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D:\Dev\marsu-dasboard-rev2\marsu-pwa-dashboard\py_scripts\"/>
    </mc:Choice>
  </mc:AlternateContent>
  <xr:revisionPtr revIDLastSave="0" documentId="13_ncr:1_{FA02DB84-F9E1-43A2-A68C-2F4A294D0F4B}" xr6:coauthVersionLast="47" xr6:coauthVersionMax="47" xr10:uidLastSave="{00000000-0000-0000-0000-000000000000}"/>
  <bookViews>
    <workbookView minimized="1" xWindow="12900" yWindow="345" windowWidth="7935" windowHeight="10800" activeTab="2" xr2:uid="{00000000-000D-0000-FFFF-FFFF00000000}"/>
  </bookViews>
  <sheets>
    <sheet name="Higher Education (Op1)" sheetId="1" r:id="rId1"/>
    <sheet name="Higher Education (Op2)" sheetId="2" r:id="rId2"/>
    <sheet name="Higher Education (Oc1)" sheetId="3" r:id="rId3"/>
    <sheet name="Higher Education (Oc2)" sheetId="4" r:id="rId4"/>
    <sheet name="Advanced Education_SC (Op1)" sheetId="5" r:id="rId5"/>
    <sheet name="Advanced Education (Op2)" sheetId="6" r:id="rId6"/>
    <sheet name="Advanced Ed (Oc)" sheetId="7" r:id="rId7"/>
    <sheet name="Research Program (Op and Oc)" sheetId="8" r:id="rId8"/>
    <sheet name="Extension Program (Op1 and Op3)" sheetId="9" r:id="rId9"/>
    <sheet name="Extension Program (Op2)" sheetId="10" r:id="rId10"/>
    <sheet name="Extension Program (Oc)" sheetId="11" r:id="rId11"/>
    <sheet name="Legend" sheetId="12" r:id="rId12"/>
    <sheet name="Sheet1" sheetId="13" r:id="rId13"/>
  </sheets>
  <externalReferences>
    <externalReference r:id="rId14"/>
    <externalReference r:id="rId15"/>
  </externalReferences>
  <calcPr calcId="181029"/>
  <extLst>
    <ext uri="GoogleSheetsCustomDataVersion2">
      <go:sheetsCustomData xmlns:go="http://customooxmlschemas.google.com/" r:id="rId20" roundtripDataChecksum="cY74OCNoRFzuPc7sTvbbtFPaVMm5BYMoygaJIlTLQik="/>
    </ext>
  </extLst>
</workbook>
</file>

<file path=xl/calcChain.xml><?xml version="1.0" encoding="utf-8"?>
<calcChain xmlns="http://schemas.openxmlformats.org/spreadsheetml/2006/main">
  <c r="M75" i="9" l="1"/>
  <c r="L75" i="9"/>
  <c r="K75" i="9"/>
  <c r="O79" i="9" s="1"/>
  <c r="J75" i="9"/>
  <c r="I75" i="9"/>
  <c r="H75" i="9"/>
  <c r="I76" i="9" s="1"/>
  <c r="G73" i="9"/>
  <c r="G72" i="9"/>
  <c r="G71" i="9"/>
  <c r="G70" i="9"/>
  <c r="G69" i="9"/>
  <c r="G68" i="9"/>
  <c r="G67" i="9"/>
  <c r="G66" i="9"/>
  <c r="G65" i="9"/>
  <c r="G64" i="9"/>
  <c r="G63" i="9"/>
  <c r="G62" i="9"/>
  <c r="G61" i="9"/>
  <c r="G60" i="9"/>
  <c r="G59" i="9"/>
  <c r="G58" i="9"/>
  <c r="G57" i="9"/>
  <c r="G56" i="9"/>
  <c r="G55" i="9"/>
  <c r="G54" i="9"/>
  <c r="G53" i="9"/>
  <c r="G52" i="9"/>
  <c r="G51" i="9"/>
  <c r="G50" i="9"/>
  <c r="G49" i="9"/>
  <c r="G48" i="9"/>
  <c r="G47" i="9"/>
  <c r="G46" i="9"/>
  <c r="G45" i="9"/>
  <c r="G44" i="9"/>
  <c r="G43" i="9"/>
  <c r="G42" i="9"/>
  <c r="G41" i="9"/>
  <c r="G40" i="9"/>
  <c r="G39" i="9"/>
  <c r="G38" i="9"/>
  <c r="G37" i="9"/>
  <c r="G36" i="9"/>
  <c r="G35" i="9"/>
  <c r="G34" i="9"/>
  <c r="G33" i="9"/>
  <c r="G32" i="9"/>
  <c r="G31" i="9"/>
  <c r="G30" i="9"/>
  <c r="G29" i="9"/>
  <c r="G28" i="9"/>
  <c r="G27" i="9"/>
  <c r="G26" i="9"/>
  <c r="G25" i="9"/>
  <c r="G23" i="9"/>
  <c r="G22" i="9"/>
  <c r="G21" i="9"/>
  <c r="G75" i="9" s="1"/>
  <c r="F15" i="7"/>
  <c r="E15" i="7"/>
  <c r="D15" i="7"/>
  <c r="C15" i="7"/>
  <c r="K34" i="6"/>
  <c r="L34" i="6" s="1"/>
  <c r="N31" i="6"/>
  <c r="N30" i="6"/>
  <c r="J30" i="6"/>
  <c r="I30" i="6"/>
  <c r="H30" i="6"/>
  <c r="G30" i="6"/>
  <c r="F30" i="6"/>
  <c r="E30" i="6"/>
  <c r="C22" i="5"/>
  <c r="E21" i="5"/>
  <c r="D21" i="5"/>
  <c r="C21" i="5"/>
  <c r="E1386" i="4"/>
  <c r="C1385" i="4"/>
  <c r="E1110" i="4"/>
  <c r="D28" i="3"/>
  <c r="E27" i="3"/>
  <c r="D27" i="3"/>
  <c r="J57" i="2"/>
  <c r="M56" i="2"/>
  <c r="J58" i="2" s="1"/>
  <c r="M55" i="2"/>
  <c r="I55" i="2"/>
  <c r="H55" i="2"/>
  <c r="G55" i="2"/>
  <c r="F55" i="2"/>
  <c r="E55" i="2"/>
  <c r="D55" i="2"/>
  <c r="D53" i="1"/>
  <c r="C54" i="1" s="1"/>
  <c r="C55" i="1" s="1"/>
  <c r="C53" i="1"/>
  <c r="K57" i="2" l="1"/>
  <c r="E1425" i="4" l="1"/>
  <c r="C1424" i="4"/>
</calcChain>
</file>

<file path=xl/sharedStrings.xml><?xml version="1.0" encoding="utf-8"?>
<sst xmlns="http://schemas.openxmlformats.org/spreadsheetml/2006/main" count="7132" uniqueCount="2991">
  <si>
    <t>HIGHER EDUCATION PROGRAM</t>
  </si>
  <si>
    <t>Output Indicator 1: Percentage of undergraduate students enrolled in CHED-identified and RDC-identified priority programs</t>
  </si>
  <si>
    <t xml:space="preserve">1. List undergraduate programs in ALL campuses </t>
  </si>
  <si>
    <t>2. Spell out program name</t>
  </si>
  <si>
    <t>3. Incomplete entries will be DISREGARDED</t>
  </si>
  <si>
    <t xml:space="preserve">REFERENCE: </t>
  </si>
  <si>
    <t>CHED Memoranudm Order no. 5 s. 2019</t>
  </si>
  <si>
    <t>MEANS OF VERIFICATION</t>
  </si>
  <si>
    <t>1) Duly certified enrolment list 1st Sem FY 2021-2022</t>
  </si>
  <si>
    <t xml:space="preserve">2) For programs claimed as priority but are not listed in CMO 5 s.2019, RDC or any similar </t>
  </si>
  <si>
    <t xml:space="preserve">    government council resolution/certification</t>
  </si>
  <si>
    <t>PROGRAM NAME</t>
  </si>
  <si>
    <r>
      <rPr>
        <b/>
        <sz val="10"/>
        <color rgb="FF000000"/>
        <rFont val="Tahoma"/>
        <family val="2"/>
      </rPr>
      <t xml:space="preserve">NO. OF ENROLLMENT 
</t>
    </r>
    <r>
      <rPr>
        <sz val="10"/>
        <color rgb="FF000000"/>
        <rFont val="Tahoma"/>
        <family val="2"/>
      </rPr>
      <t>(1st Semester AY 2021-2022)</t>
    </r>
  </si>
  <si>
    <t>SUPPORTING DOCUMENTS</t>
  </si>
  <si>
    <t>CHED-IDENTIFIED / 
RDC-IDENTIFIED PRIORITY PROGRAMS</t>
  </si>
  <si>
    <t>NEITHER</t>
  </si>
  <si>
    <t>BOAC CAMPUS-Tanza, Boac, Marinduque</t>
  </si>
  <si>
    <t>Annex A: RDC Resolution
Annex B: Board Resolution
Annex C: Enrolment report</t>
  </si>
  <si>
    <t>Bachelor of Science in Civil Engineering</t>
  </si>
  <si>
    <t>Bachelor of Science in Electronics Engineering</t>
  </si>
  <si>
    <t>Bachelor of Science in Computer Engineering</t>
  </si>
  <si>
    <t>Bachelor of Science in Electrical Engineering</t>
  </si>
  <si>
    <t>Bachelor of Science in Mechanical Engineering</t>
  </si>
  <si>
    <t>Bachelor of Secondary Education</t>
  </si>
  <si>
    <t>Bachelor of Culture and Arts Education</t>
  </si>
  <si>
    <t>Bachelor of Technology and Livelihood Education</t>
  </si>
  <si>
    <t>Bachelor of Science in Industrial Technology</t>
  </si>
  <si>
    <t>Bachelor of Science in Information Technology</t>
  </si>
  <si>
    <t>Bachelor of Science in Information System</t>
  </si>
  <si>
    <t>Bachelor of Arts major in English</t>
  </si>
  <si>
    <t>Bachelor of Arts in Communication</t>
  </si>
  <si>
    <t>Bachelor of Science in Social Works</t>
  </si>
  <si>
    <t>Bachelor of Science in Environmental Science</t>
  </si>
  <si>
    <t>Bachelor of Science in Entrepreneurship-Entrepreneurial Management</t>
  </si>
  <si>
    <t>Bachelor of Science in Tourism Management</t>
  </si>
  <si>
    <t>Bachelor of Science in Accounting Information System</t>
  </si>
  <si>
    <t>Bachelor of Science in Business Administration</t>
  </si>
  <si>
    <t>Bachelor of Science in Accountancy</t>
  </si>
  <si>
    <t>Bachelor of Science in Law Enforcement Administration</t>
  </si>
  <si>
    <t>Bachelor of Science in Public Administration</t>
  </si>
  <si>
    <t>Bachelor of Science in Nursing</t>
  </si>
  <si>
    <t>Diploma in Midwifery</t>
  </si>
  <si>
    <t>GASAN CAMPUS-Pinggan, Gasan, Marinduque</t>
  </si>
  <si>
    <t>Bachelor of Science in Fisheries</t>
  </si>
  <si>
    <t>SANTA CRUZ CAMPUS-Matalaba, Santa Cruz, Marinduque</t>
  </si>
  <si>
    <t>Bachelor of Elementary Education</t>
  </si>
  <si>
    <t>Bachelor of Arts in Political Science</t>
  </si>
  <si>
    <t>TORRIJOS CAMPUS-Poctoy, Torrijos, Marinduque</t>
  </si>
  <si>
    <t>Bachelor of Science in Agriculture</t>
  </si>
  <si>
    <t>Bachelor in Agricultural Technology</t>
  </si>
  <si>
    <t>Bachelor of Science in Entrepreneurship-Agri-Business</t>
  </si>
  <si>
    <t>Diploma in Agricultural Technology</t>
  </si>
  <si>
    <t>Certificate in Agricultural Science</t>
  </si>
  <si>
    <t>Total</t>
  </si>
  <si>
    <t>Grand  Total</t>
  </si>
  <si>
    <t>Percentage</t>
  </si>
  <si>
    <t>Prepared by:</t>
  </si>
  <si>
    <t>GEMMA A. TIROL</t>
  </si>
  <si>
    <t>Name &amp; Signature</t>
  </si>
  <si>
    <t>Date</t>
  </si>
  <si>
    <t>Approved by</t>
  </si>
  <si>
    <t>VICTORIANO R. REGIO, Ph.D.</t>
  </si>
  <si>
    <t>Output Indicator 2: Percentage of undergraduate programs with accreditation</t>
  </si>
  <si>
    <t>1. List undergraduate programs in ALL campuses</t>
  </si>
  <si>
    <r>
      <rPr>
        <sz val="10"/>
        <color rgb="FF000000"/>
        <rFont val="Tahoma"/>
        <family val="2"/>
      </rPr>
      <t xml:space="preserve">2. Choose </t>
    </r>
    <r>
      <rPr>
        <b/>
        <sz val="10"/>
        <color rgb="FF000000"/>
        <rFont val="Tahoma"/>
        <family val="2"/>
      </rPr>
      <t>ACCREDITATION LEVEL/STATUS</t>
    </r>
    <r>
      <rPr>
        <sz val="10"/>
        <color rgb="FF000000"/>
        <rFont val="Tahoma"/>
        <family val="2"/>
      </rPr>
      <t xml:space="preserve"> (tick ONE from </t>
    </r>
    <r>
      <rPr>
        <b/>
        <sz val="10"/>
        <color rgb="FF000000"/>
        <rFont val="Tahoma"/>
        <family val="2"/>
      </rPr>
      <t>column A-F</t>
    </r>
    <r>
      <rPr>
        <sz val="10"/>
        <color rgb="FF000000"/>
        <rFont val="Tahoma"/>
        <family val="2"/>
      </rPr>
      <t>)</t>
    </r>
  </si>
  <si>
    <r>
      <rPr>
        <sz val="10"/>
        <color rgb="FF000000"/>
        <rFont val="Tahoma"/>
        <family val="2"/>
      </rPr>
      <t xml:space="preserve">3. Please indicate period of validity, including programs with </t>
    </r>
    <r>
      <rPr>
        <b/>
        <sz val="10"/>
        <color rgb="FF000000"/>
        <rFont val="Tahoma"/>
        <family val="2"/>
      </rPr>
      <t>CANDIDATE STATUS (CS), VALIDITY PERIOD AS OF DECEMBER 31, 2021</t>
    </r>
  </si>
  <si>
    <r>
      <rPr>
        <sz val="10"/>
        <color rgb="FF000000"/>
        <rFont val="Tahoma"/>
        <family val="2"/>
      </rPr>
      <t xml:space="preserve">4. For programs that are </t>
    </r>
    <r>
      <rPr>
        <b/>
        <sz val="10"/>
        <color rgb="FF000000"/>
        <rFont val="Tahoma"/>
        <family val="2"/>
      </rPr>
      <t>NOT ACCREDITED (NA)</t>
    </r>
    <r>
      <rPr>
        <sz val="10"/>
        <color rgb="FF000000"/>
        <rFont val="Tahoma"/>
        <family val="2"/>
      </rPr>
      <t>, indicate the reason for non-accreditation in column 5. Choose from drop-down list</t>
    </r>
  </si>
  <si>
    <t>5. Incomplete entries will be DISREGARDED</t>
  </si>
  <si>
    <t>MEANS OF VERIFCATION:</t>
  </si>
  <si>
    <t>Accreditation certificates; if certificates are not available, AACCUP letter/notice/resolution of accredited programs</t>
  </si>
  <si>
    <t>YEAR OF INITIAL OPERATION</t>
  </si>
  <si>
    <t>STATUS</t>
  </si>
  <si>
    <r>
      <rPr>
        <b/>
        <sz val="10"/>
        <color rgb="FF000000"/>
        <rFont val="Tahoma"/>
        <family val="2"/>
      </rPr>
      <t xml:space="preserve">PERIOD OF VALIDITY 
</t>
    </r>
    <r>
      <rPr>
        <sz val="10"/>
        <color rgb="FF000000"/>
        <rFont val="Tahoma"/>
        <family val="2"/>
      </rPr>
      <t>(Accreditation)</t>
    </r>
  </si>
  <si>
    <r>
      <rPr>
        <b/>
        <sz val="10"/>
        <color rgb="FF000000"/>
        <rFont val="Tahoma"/>
        <family val="2"/>
      </rPr>
      <t xml:space="preserve">REMARKS 
</t>
    </r>
    <r>
      <rPr>
        <sz val="10"/>
        <color rgb="FF000000"/>
        <rFont val="Tahoma"/>
        <family val="2"/>
      </rPr>
      <t>(for column 4)</t>
    </r>
  </si>
  <si>
    <t>SUPPORTING 
DOCUMENTS</t>
  </si>
  <si>
    <t>(A)</t>
  </si>
  <si>
    <t>(B)</t>
  </si>
  <si>
    <t>(C)</t>
  </si>
  <si>
    <t>(D)</t>
  </si>
  <si>
    <t xml:space="preserve">(E) </t>
  </si>
  <si>
    <t xml:space="preserve">(F) </t>
  </si>
  <si>
    <r>
      <rPr>
        <b/>
        <sz val="10"/>
        <color rgb="FF000000"/>
        <rFont val="Tahoma"/>
        <family val="2"/>
      </rPr>
      <t>FROM</t>
    </r>
    <r>
      <rPr>
        <sz val="10"/>
        <color rgb="FF000000"/>
        <rFont val="Tahoma"/>
        <family val="2"/>
      </rPr>
      <t xml:space="preserve">
(mm/dd/yyyy)</t>
    </r>
  </si>
  <si>
    <r>
      <rPr>
        <b/>
        <sz val="10"/>
        <color rgb="FF000000"/>
        <rFont val="Tahoma"/>
        <family val="2"/>
      </rPr>
      <t>TO</t>
    </r>
    <r>
      <rPr>
        <sz val="10"/>
        <color rgb="FF000000"/>
        <rFont val="Tahoma"/>
        <family val="2"/>
      </rPr>
      <t xml:space="preserve">
(mm/dd/yyyy)</t>
    </r>
  </si>
  <si>
    <t>Level 1</t>
  </si>
  <si>
    <t>Level 2</t>
  </si>
  <si>
    <t>Level 3</t>
  </si>
  <si>
    <t>Level 4</t>
  </si>
  <si>
    <t>CS</t>
  </si>
  <si>
    <t>NA</t>
  </si>
  <si>
    <t>BOAC CAMPUS - Tanza, Boac Marinduque</t>
  </si>
  <si>
    <t xml:space="preserve">Annex A: Accreditation Certification
Annex B: Other proof for identifying programs as not accreditable
</t>
  </si>
  <si>
    <t>1990-1991</t>
  </si>
  <si>
    <t xml:space="preserve">March 2018 </t>
  </si>
  <si>
    <t>February 2022</t>
  </si>
  <si>
    <t>BS in Civil Engineering</t>
  </si>
  <si>
    <t>1986-1987</t>
  </si>
  <si>
    <t>May 16, 2021</t>
  </si>
  <si>
    <t>May 15, 2025</t>
  </si>
  <si>
    <t>BS in Electrical Engineering</t>
  </si>
  <si>
    <t>1998-1999</t>
  </si>
  <si>
    <t>BS in Computer Engineering</t>
  </si>
  <si>
    <t>2008-2009</t>
  </si>
  <si>
    <t>July 1, 2021</t>
  </si>
  <si>
    <t>June 30, 2025</t>
  </si>
  <si>
    <t>BS in Electronics and Communication Engineering</t>
  </si>
  <si>
    <t>BS in Information System</t>
  </si>
  <si>
    <t>January 1, 2020</t>
  </si>
  <si>
    <t>December 31, 2023</t>
  </si>
  <si>
    <t>BS in Information Technology</t>
  </si>
  <si>
    <t xml:space="preserve">BS in Industrial Technology </t>
  </si>
  <si>
    <t>1977-1978</t>
  </si>
  <si>
    <t>AB in Communication</t>
  </si>
  <si>
    <t>2007-2008</t>
  </si>
  <si>
    <t>October 2021</t>
  </si>
  <si>
    <t>October 2025</t>
  </si>
  <si>
    <t>AB in English</t>
  </si>
  <si>
    <t>2006-2007</t>
  </si>
  <si>
    <t>BS in Entrepreneurship</t>
  </si>
  <si>
    <t>BS in Nursing</t>
  </si>
  <si>
    <t>BS in Law Enforcement Administration</t>
  </si>
  <si>
    <t>November 1, 2018</t>
  </si>
  <si>
    <t>October 31, 2022</t>
  </si>
  <si>
    <t xml:space="preserve">Bachelor of Public Administration </t>
  </si>
  <si>
    <t>2012-2013</t>
  </si>
  <si>
    <t>July 1, 2019</t>
  </si>
  <si>
    <t>June 30, 2022</t>
  </si>
  <si>
    <t>BS in Social Work</t>
  </si>
  <si>
    <t xml:space="preserve">BS in Mechanical Engineering </t>
  </si>
  <si>
    <t>2013-2014</t>
  </si>
  <si>
    <t>Bachelor of Science in Environmental  Science</t>
  </si>
  <si>
    <t>October 16, 2020</t>
  </si>
  <si>
    <t>October 15, 2022</t>
  </si>
  <si>
    <t>BS in Accounting Technology(now Accounting Information System)</t>
  </si>
  <si>
    <t>2018-2019</t>
  </si>
  <si>
    <t xml:space="preserve">BS in Tourism Management </t>
  </si>
  <si>
    <t>Bachelor in Culture &amp; Arts Education</t>
  </si>
  <si>
    <t>Not Accreditable</t>
  </si>
  <si>
    <t>Bachelor in Technology &amp; Livelihood Education</t>
  </si>
  <si>
    <t>2019-2020</t>
  </si>
  <si>
    <t>STA. CRUZ CAMPUS BRANCH , Barangay Matalaba, Sta. Cruz, Marinduque</t>
  </si>
  <si>
    <t xml:space="preserve">Bachelor of Elementary Education </t>
  </si>
  <si>
    <t>1993-1994</t>
  </si>
  <si>
    <t xml:space="preserve">December 16, 2020 </t>
  </si>
  <si>
    <t>December 15, 2024</t>
  </si>
  <si>
    <t>AB in Political Science</t>
  </si>
  <si>
    <t>July 2021</t>
  </si>
  <si>
    <t>June 2025</t>
  </si>
  <si>
    <t>1999-2000</t>
  </si>
  <si>
    <t>TORRIJOS CAMPUS BRANCH, Barangay Poctoy, Torrijos, Marinduque</t>
  </si>
  <si>
    <t xml:space="preserve">Bachelor in Agricultural Technology                   (Diploma in Agricultural Technology) </t>
  </si>
  <si>
    <t>1997-1998</t>
  </si>
  <si>
    <r>
      <rPr>
        <sz val="10"/>
        <color theme="1"/>
        <rFont val="Tahoma"/>
        <family val="2"/>
      </rPr>
      <t xml:space="preserve">Bachelor of Science in Entrepreneurship - </t>
    </r>
    <r>
      <rPr>
        <i/>
        <sz val="10"/>
        <color theme="1"/>
        <rFont val="Tahoma"/>
        <family val="2"/>
      </rPr>
      <t>Agricultural Business</t>
    </r>
  </si>
  <si>
    <t>2011-2012</t>
  </si>
  <si>
    <t xml:space="preserve"> Bachelor of Science in Agriculture </t>
  </si>
  <si>
    <t>GASAN CAMPUS BRANCH, Barangay Banuyo, Gasan, Marinduque</t>
  </si>
  <si>
    <t>1996-1997</t>
  </si>
  <si>
    <t>Did not apply 
for Accreditation</t>
  </si>
  <si>
    <t>OVERALL</t>
  </si>
  <si>
    <t xml:space="preserve">Total number of ACRED Programs </t>
  </si>
  <si>
    <t>Total number of ACRED'L Programs</t>
  </si>
  <si>
    <t>RAOUL J.  MAGCAMIT</t>
  </si>
  <si>
    <t>February 7, 2022</t>
  </si>
  <si>
    <t>DIOSDADO P. ZULUETA, FFCP, DPA</t>
  </si>
  <si>
    <t>February 8, 2022</t>
  </si>
  <si>
    <t>Outcome Indicator 1: Percentage of first-time licensure exam takers that pass the licensure exams</t>
  </si>
  <si>
    <t>1. List board programs in ALL campuses</t>
  </si>
  <si>
    <r>
      <rPr>
        <sz val="10"/>
        <color rgb="FF000000"/>
        <rFont val="Tahoma"/>
        <family val="2"/>
      </rPr>
      <t xml:space="preserve">2. Values for Columns 2, 3, and 4 should only include those that fall within </t>
    </r>
    <r>
      <rPr>
        <b/>
        <sz val="10"/>
        <color rgb="FF000000"/>
        <rFont val="Tahoma"/>
        <family val="2"/>
      </rPr>
      <t>FY 2021</t>
    </r>
  </si>
  <si>
    <t>MEANS OF VERIFICATION:</t>
  </si>
  <si>
    <t>PRC results</t>
  </si>
  <si>
    <r>
      <rPr>
        <b/>
        <sz val="10"/>
        <color rgb="FF000000"/>
        <rFont val="Tahoma"/>
        <family val="2"/>
      </rPr>
      <t>EXAM DATE</t>
    </r>
    <r>
      <rPr>
        <sz val="10"/>
        <color rgb="FF000000"/>
        <rFont val="Tahoma"/>
        <family val="2"/>
      </rPr>
      <t xml:space="preserve">
(mm/dd/yyyy)</t>
    </r>
  </si>
  <si>
    <r>
      <rPr>
        <b/>
        <sz val="10"/>
        <color rgb="FF000000"/>
        <rFont val="Tahoma"/>
        <family val="2"/>
      </rPr>
      <t>NO. OF TAKERS</t>
    </r>
    <r>
      <rPr>
        <sz val="10"/>
        <color rgb="FF000000"/>
        <rFont val="Tahoma"/>
        <family val="2"/>
      </rPr>
      <t xml:space="preserve">
(1st Time)</t>
    </r>
  </si>
  <si>
    <r>
      <rPr>
        <b/>
        <sz val="10"/>
        <color rgb="FF000000"/>
        <rFont val="Tahoma"/>
        <family val="2"/>
      </rPr>
      <t>NO. OF PASSERS</t>
    </r>
    <r>
      <rPr>
        <sz val="10"/>
        <color rgb="FF000000"/>
        <rFont val="Tahoma"/>
        <family val="2"/>
      </rPr>
      <t xml:space="preserve">
(1st Time)</t>
    </r>
  </si>
  <si>
    <t>MAIN CAMPUS/TANZA, BOAC, MARINDUQUE</t>
  </si>
  <si>
    <t>November 21-22, 2021 &amp; July 2021</t>
  </si>
  <si>
    <t>Bachelor of Science in  Social Work</t>
  </si>
  <si>
    <t>August 24-26, 2021</t>
  </si>
  <si>
    <t xml:space="preserve">Annex A: PRC / Marina Official Results
</t>
  </si>
  <si>
    <t>Bacelor of Science in Electrical Engineering</t>
  </si>
  <si>
    <t>September 5-6, 2021</t>
  </si>
  <si>
    <t>October 24-25, 2021</t>
  </si>
  <si>
    <t>November 14-15, 2021</t>
  </si>
  <si>
    <t>August, 2021</t>
  </si>
  <si>
    <t>TORRIJOS CAMPUS/POCTOY, TORRIJOS, MARINDUQUE</t>
  </si>
  <si>
    <t>November 9-11, 2021</t>
  </si>
  <si>
    <t>GASAN CAMPUS/BANUYO, GASAN, MARINDUQUE</t>
  </si>
  <si>
    <t>October 6-7, 2021</t>
  </si>
  <si>
    <t>TOTAL</t>
  </si>
  <si>
    <t>PERCENTAGE</t>
  </si>
  <si>
    <t>JANINE JOIE M. ROCHA</t>
  </si>
  <si>
    <t>Outcome Indicator 2: Percentage of graduates (2 years prior) that are employed</t>
  </si>
  <si>
    <t>1. List programs offered in ALL campuses</t>
  </si>
  <si>
    <r>
      <rPr>
        <sz val="9"/>
        <color rgb="FF000000"/>
        <rFont val="Tahoma"/>
        <family val="2"/>
      </rPr>
      <t>2. Choose status</t>
    </r>
    <r>
      <rPr>
        <b/>
        <vertAlign val="superscript"/>
        <sz val="9"/>
        <color rgb="FF000000"/>
        <rFont val="Tahoma"/>
        <family val="2"/>
      </rPr>
      <t>1</t>
    </r>
    <r>
      <rPr>
        <sz val="9"/>
        <color rgb="FF000000"/>
        <rFont val="Tahoma"/>
        <family val="2"/>
      </rPr>
      <t xml:space="preserve"> (Employed, Unemployed, Not tracked from drop-down list)</t>
    </r>
  </si>
  <si>
    <t>3. Submit duly certified Report of Graduates (FY 2019)</t>
  </si>
  <si>
    <t xml:space="preserve">4. The minimum number of graduates tracked  must be equal to or higher than the targeted number of employed graduates </t>
  </si>
  <si>
    <t>5. The denominator is the total number of graduates in FY 2019</t>
  </si>
  <si>
    <t>6. Incomplete entries will be DISREGARDED</t>
  </si>
  <si>
    <t>NAME OF GRADUATE</t>
  </si>
  <si>
    <t>STATUS
(Employed, Unemployed, Not tracked)</t>
  </si>
  <si>
    <t>NAME OF COMPANY / 
TYPE OF BUSINESS</t>
  </si>
  <si>
    <t>(FY 2019)</t>
  </si>
  <si>
    <t>Campus 1 (Boac Campus)</t>
  </si>
  <si>
    <t xml:space="preserve">Annex A: Graduate Tracer Study or Summary of results of survey on employment
Annex B: Official list of 2016 graduates
</t>
  </si>
  <si>
    <t>CERTEZA, DARWIN PAUL MANDIA</t>
  </si>
  <si>
    <t>Employed</t>
  </si>
  <si>
    <t>YTRON INTNL. Inc , MAKATI CITY</t>
  </si>
  <si>
    <t>EMBING, GIANELA ARA FE LARGA</t>
  </si>
  <si>
    <t>Philippine Deposit Insurance Corporation</t>
  </si>
  <si>
    <t>GARNIEL, CHRISTILLEN MARIE MALVAR</t>
  </si>
  <si>
    <t>Not Tracked</t>
  </si>
  <si>
    <t>JINAO, JENNETH LAKIP</t>
  </si>
  <si>
    <t>LABAY, ALLEN LOGATOC</t>
  </si>
  <si>
    <t>IQVIA</t>
  </si>
  <si>
    <t>LABRADOR, KAECILYN MAYORGA</t>
  </si>
  <si>
    <t>Infocom Technologies - Mega One Bldg. Sampaloc Manila</t>
  </si>
  <si>
    <t>LAMAN, NOEL PERFIÑAN</t>
  </si>
  <si>
    <t>LIMPIADA, SUNSHINE LAROSA</t>
  </si>
  <si>
    <t>LORINO, KIARAH AUBREY MALAPAD</t>
  </si>
  <si>
    <t>LOZANO, PATRICIA MAY BABASA</t>
  </si>
  <si>
    <t>LOZANTA, ARLAN PAULO LUISAGA</t>
  </si>
  <si>
    <t>Teleperformance</t>
  </si>
  <si>
    <t>LUPIG, JANINE MOLDOGO</t>
  </si>
  <si>
    <t>Sterling Paper Group of Companies . 2302 Sterling Paper Pasong Tamo Extension Makati City</t>
  </si>
  <si>
    <t>MABIOG, MICHAEL LAWRENCE MABUNGA</t>
  </si>
  <si>
    <t>Boac LGU / Isok 1, Boac, Marinduque</t>
  </si>
  <si>
    <t>MALDECINO, RYAN KENNETH MALPAL</t>
  </si>
  <si>
    <t>MALUBAG, WILMAR MALACAS</t>
  </si>
  <si>
    <t>Post Office</t>
  </si>
  <si>
    <t>MANAHAN, STEPHANIE MONROYO</t>
  </si>
  <si>
    <t>Security Bank Corporation; Makati City</t>
  </si>
  <si>
    <t>MANGUBAT, MHARJUNE NUÑEZ</t>
  </si>
  <si>
    <t>Provincial Capitol</t>
  </si>
  <si>
    <t>MARMOL, MA. ANGELICA MAAÑO</t>
  </si>
  <si>
    <t>Dunkin Donut;s Mandaluyong City</t>
  </si>
  <si>
    <t>MATARUNDO, ARJAY NABIA</t>
  </si>
  <si>
    <t>Municipality of Boac</t>
  </si>
  <si>
    <t>MINDORO, JASMIN SAGUID</t>
  </si>
  <si>
    <t>Marinduque Provincial Government, Bangbangalon Boac Marinduque</t>
  </si>
  <si>
    <t>MOLBOG, RAM JUSTINE MARIE MAAÑO</t>
  </si>
  <si>
    <t>PCCW Solutions, Pasig City</t>
  </si>
  <si>
    <t>MONSANTO, RECHELLE ANN SOL</t>
  </si>
  <si>
    <t>Skyes</t>
  </si>
  <si>
    <t>MORALES, LIZA LIEZL LECAROS</t>
  </si>
  <si>
    <t>MUHI, EMMALOU MAAÑO</t>
  </si>
  <si>
    <t>Security Bank Centre 6776 Ayala Avenue, Makati City</t>
  </si>
  <si>
    <t>OLAÑO, ANGELLINE MAGTANONG</t>
  </si>
  <si>
    <t>Broadlink Integration and Services Inc.</t>
  </si>
  <si>
    <t>PEÑARANDA, LIEZEL PARALEJAS</t>
  </si>
  <si>
    <t>Unemployed</t>
  </si>
  <si>
    <t>PRIVADO, NONETTA ROSE HERNANDEZ</t>
  </si>
  <si>
    <t>RETARDO, JOHN JOEMAR NARANJO</t>
  </si>
  <si>
    <t>RIVADENERA, MARLO DEL MUNDO</t>
  </si>
  <si>
    <t>STRADCOM / LAND TRANSPORTATION OFFICE ( LTO)</t>
  </si>
  <si>
    <t>RODRIGUEZ, CLAUDETTE LAMBON</t>
  </si>
  <si>
    <t>ROYALE HOMES MARKETING CORPORATION</t>
  </si>
  <si>
    <t>ROSALES, JERICO ABOROT</t>
  </si>
  <si>
    <t>SAEZ, JOVELLE BARRUN</t>
  </si>
  <si>
    <t>SALCEDO, MARFELIE URBANO</t>
  </si>
  <si>
    <t>Concentrix - North Edsa Site</t>
  </si>
  <si>
    <t>YANGCO, ROGEL JOSHUA MANAY</t>
  </si>
  <si>
    <t>Office of the Congressman - District Office</t>
  </si>
  <si>
    <t>ALMONTE, CHRISTINE JOY ABU*</t>
  </si>
  <si>
    <t>ALMONTE, MCDEAN ROGEL</t>
  </si>
  <si>
    <t>AVESTRUZ, JOHN LYOD GITO</t>
  </si>
  <si>
    <t>BACON, ANGELICO JANDUSAY</t>
  </si>
  <si>
    <t>SITEL</t>
  </si>
  <si>
    <t>BACON, ROSEBERT RAYOS</t>
  </si>
  <si>
    <t>BACURIN, JOHN CHRISTIAN CHAVEZ</t>
  </si>
  <si>
    <t>BAÑEGA, AVEGAIL LUZ</t>
  </si>
  <si>
    <t>Mototek Cycle Parts &amp; Accessories/Caloocan Branch</t>
  </si>
  <si>
    <t>BESMONTE, ROBERT JOSEF SAN JOSE</t>
  </si>
  <si>
    <t>NCH Customer support services, Pasay City</t>
  </si>
  <si>
    <t>CACHO, A-JAY FERNANDEZ</t>
  </si>
  <si>
    <t>CUADRASAL, HANNAH MAE LAMOC</t>
  </si>
  <si>
    <t>DE LUNA, EMERSON PALOMARES</t>
  </si>
  <si>
    <t>DOST</t>
  </si>
  <si>
    <t>DIMAANO, KIMIEL SETH</t>
  </si>
  <si>
    <t>DIMAAYO, ALLAN MADRIÑO</t>
  </si>
  <si>
    <t>PLDT/Boac</t>
  </si>
  <si>
    <t>DIMAGIBA, EDWARD JORDAN</t>
  </si>
  <si>
    <t>Marinduque State College</t>
  </si>
  <si>
    <t>DIOKNO, LAWRENCE BENITEZ</t>
  </si>
  <si>
    <t>MSC (present)</t>
  </si>
  <si>
    <t>FABRIGAS, RICA PACALDA</t>
  </si>
  <si>
    <t>First IP Consultancy and Technical Services Co.</t>
  </si>
  <si>
    <t>FATALLA, CRISTINE REGINIO</t>
  </si>
  <si>
    <t>Alabang Muntinlupa</t>
  </si>
  <si>
    <t>GARBO, SHELLA MARIE LUCI</t>
  </si>
  <si>
    <t>HISTORILLO, JELYN BOLIVAL</t>
  </si>
  <si>
    <t>INTIA, MC KINLY MABATO</t>
  </si>
  <si>
    <t>24/7 ai Philippines</t>
  </si>
  <si>
    <t>JALIMBAWA, IVY ROSE MONTEROSO</t>
  </si>
  <si>
    <t>A-RISHA General Merchandise</t>
  </si>
  <si>
    <t>JANDA, JANELLE BERNADINE BENEMER</t>
  </si>
  <si>
    <t>Paragua Pawshop and Financial Services</t>
  </si>
  <si>
    <t>JANDUSAY, JEFFRE ILAGAN</t>
  </si>
  <si>
    <t>PAIRCARGO NAIA Terminal 1, PAIRCARGO Pasay City</t>
  </si>
  <si>
    <t>KIM, SEUNG BEOM</t>
  </si>
  <si>
    <t>LANOT, PAUL LEANDRO LAMAC</t>
  </si>
  <si>
    <t>LARIRIT, JESSAMER DE GUZMAN</t>
  </si>
  <si>
    <t>C&amp;S Apparel Mfg. Inc, Santa Maria, Bulacan</t>
  </si>
  <si>
    <t>LARRACAS, DYNA MARIE MAAÑO</t>
  </si>
  <si>
    <t>LASAC, EDERLYN</t>
  </si>
  <si>
    <t>LAYLAY, SKID ROBERT MONTERO</t>
  </si>
  <si>
    <t>Marinduque Provincial Government/ Santol, Boac, Marinduque</t>
  </si>
  <si>
    <t>LIMPOT, SHAINE FRANZ LUMALANG</t>
  </si>
  <si>
    <t>LINESES, LEO ANDREW MABUTE</t>
  </si>
  <si>
    <t>LOGATOC, STAR CHRISTELLE RAMORAN</t>
  </si>
  <si>
    <t>LUMALANG, JESSABEL NAPOLITANO</t>
  </si>
  <si>
    <t>LUMALANG, MARGIE DELA CRUZ</t>
  </si>
  <si>
    <t>Puregold</t>
  </si>
  <si>
    <t>MAAPOY, KATE ANGELA SENA</t>
  </si>
  <si>
    <t>e79 Systems Inc.</t>
  </si>
  <si>
    <t>MACARANG, CHERRIE KATE ORTEGA</t>
  </si>
  <si>
    <t>Palawan Pawnshop</t>
  </si>
  <si>
    <t>MAGALANG, PAUL BEJAY BENESISTO</t>
  </si>
  <si>
    <t>MALABAYABAS, EDWARD MASCARIÑAS</t>
  </si>
  <si>
    <t>MALABAYABAS, RHONER KEVIN ABLING</t>
  </si>
  <si>
    <t>MALANGIS, GAIL KRYSTEL JABAT</t>
  </si>
  <si>
    <t>Pjlhuillier</t>
  </si>
  <si>
    <t>MALAPIT, RIO TIERO</t>
  </si>
  <si>
    <t>MAMING, CRISTEL SARILI</t>
  </si>
  <si>
    <t>MANRIQUE, DULCENEA DENICE MAGCAMIT</t>
  </si>
  <si>
    <t>MARAMBA, JOANNA MARIELLE PALMA</t>
  </si>
  <si>
    <t>MARANDA, CHRISTINE ANGELA LINCALLO</t>
  </si>
  <si>
    <t>DPWH- MARDEO,</t>
  </si>
  <si>
    <t>MARQUEZ, GLADYS MONTEALEGRE</t>
  </si>
  <si>
    <t>IBP</t>
  </si>
  <si>
    <t>MASUCOL, CRISTINE KAYE</t>
  </si>
  <si>
    <t>MATRE, JEHORAN JIM RAPSING</t>
  </si>
  <si>
    <t>MERCENE, JUSTINE LUDEL VILLAMOR</t>
  </si>
  <si>
    <t>Marinduque Midwest College: Gasan Marinduque</t>
  </si>
  <si>
    <t>MERCOLESIA, ZAIRHYA MAYRONETTE GUANTIA</t>
  </si>
  <si>
    <t>PSA-AGB Building, Nepomuceno cor Del Mundo Sts., San Miguel, Boac, Marinduque.</t>
  </si>
  <si>
    <t>MIRANDA, MAYCEL LINCALLO</t>
  </si>
  <si>
    <t>MIRONES, CZARLYN MADERAZO</t>
  </si>
  <si>
    <t>Johanna's Chicken Processing Center Inc./ Bocohan, Lucena City</t>
  </si>
  <si>
    <t>MISTIOLA, PAULINE JOY JANDUSAY</t>
  </si>
  <si>
    <t>MOGOL, HAROLD MARQUEZ</t>
  </si>
  <si>
    <t>PSA MARINDUQUE
SAN MIGUEL,BOAC,MARINDUQUE</t>
  </si>
  <si>
    <t>MONLEON, CHRISTIAN LEAL</t>
  </si>
  <si>
    <t>Mototek Cycle Parts and Accessories</t>
  </si>
  <si>
    <t>MONTALBAN, KIM IRA LICOS</t>
  </si>
  <si>
    <t>MONTEAGUDO, ETHEL LAMBON</t>
  </si>
  <si>
    <t>MONTENEGRO, KAYCEE MAGNAYE</t>
  </si>
  <si>
    <t>MONTEREY, NOVY ARRIOLA</t>
  </si>
  <si>
    <t>NALING, ROSE MADEL GALANG</t>
  </si>
  <si>
    <t>NARZOLES, RACHAEL ANN LAMPAS</t>
  </si>
  <si>
    <t>NAVAL, EDRIAN MANTARING</t>
  </si>
  <si>
    <t>NORIEGA, MARK STEVEN MAGYAYA</t>
  </si>
  <si>
    <t>OCTA, DONABELLE REVILLA</t>
  </si>
  <si>
    <t>Accenture Inc.</t>
  </si>
  <si>
    <t>OLA, JOHN BRYAN</t>
  </si>
  <si>
    <t>OSACDIN, JULIUS CENIT NACAWILI</t>
  </si>
  <si>
    <t>Mogpog MPS</t>
  </si>
  <si>
    <t>PAGDANGANAN, MARIANNE MADLA</t>
  </si>
  <si>
    <t>PHINMA ST.JUDE COLLEGE MANILA *Dimasalang cor, Don Quijote st. Sampaloc,Manila 1008 Metro Manila</t>
  </si>
  <si>
    <t>PAHILAGMAGO, DENVER SAMARITA</t>
  </si>
  <si>
    <t>Accenture INC</t>
  </si>
  <si>
    <t>PELAYO, KEITH ALEXANDRA LANDIG</t>
  </si>
  <si>
    <t>Denz Trading and Manpower Specialist</t>
  </si>
  <si>
    <t>PINEDA, PATRICK SARTILLO</t>
  </si>
  <si>
    <t>PIZARRA, ROSE ANNE REIG</t>
  </si>
  <si>
    <t>RECAÑA, DIANE FABREGAS</t>
  </si>
  <si>
    <t>REY, VANESSA SALAMAT</t>
  </si>
  <si>
    <t>Commission on Election</t>
  </si>
  <si>
    <t>REYES, RICHARD ANGELO BORJA</t>
  </si>
  <si>
    <t>RIMANDO, ANTHONY PIMENTEL</t>
  </si>
  <si>
    <t>RIVAMONTE, RENATO III MANGUI</t>
  </si>
  <si>
    <t>ROMASANTA, TRICIA MAE EUDEN</t>
  </si>
  <si>
    <t>SADIWA, CAMILLE POLINAR</t>
  </si>
  <si>
    <t>SAEZ, MARIA WENDY MANDITA</t>
  </si>
  <si>
    <t>Pan Asia Manpower and General Services Inc.</t>
  </si>
  <si>
    <t>SAGUID, JAIMLEVY SEMILLA</t>
  </si>
  <si>
    <t>National Data and Surveying Services</t>
  </si>
  <si>
    <t>SEÑO, JONATHAN MABUTI</t>
  </si>
  <si>
    <t>SEÑO, KIMBERLY ROSE LUPIG</t>
  </si>
  <si>
    <t>Sitel, 1 Doña Julia Vargas Ave, Pasig, Metro Manila</t>
  </si>
  <si>
    <t>SERDEÑA, JEAN CRISTINE SANCHEZ</t>
  </si>
  <si>
    <t>Quaerito Qualitas Inc. Makati City</t>
  </si>
  <si>
    <t>SOLITO, ANGELO EVANGELISTA</t>
  </si>
  <si>
    <t xml:space="preserve">ONE FIVE INVESTMENT HOLDINGS INC. , Mandaluyong, Metro Manila, </t>
  </si>
  <si>
    <t>TORREGROSA, HAROLD NIKKO MONTARIL</t>
  </si>
  <si>
    <t>VASQUEZ, MARVIN MALINAO</t>
  </si>
  <si>
    <t>BS Industrial Technology (Automotive Technology)</t>
  </si>
  <si>
    <t>BUÑAG, RENE CEASAR VALDEZ</t>
  </si>
  <si>
    <t>CRUZADO, REY JOHN FELLIZAR</t>
  </si>
  <si>
    <t>FIGURACION, MARVIN PETILLA</t>
  </si>
  <si>
    <t>LANCION, PATRICK LIMPIADA</t>
  </si>
  <si>
    <t>MDC EQUIPMENT SOLUTION INC</t>
  </si>
  <si>
    <t>LANDOY, JOHN ROBERT LAMBON</t>
  </si>
  <si>
    <t>LANOT, BENMAR LARGO</t>
  </si>
  <si>
    <t>Public Servant</t>
  </si>
  <si>
    <t>LAZO, OLIVER LUMAGUI</t>
  </si>
  <si>
    <t>Kairos Cargo Group Inc.</t>
  </si>
  <si>
    <t>LUARCA, MARK JOSEPH MANUEVO</t>
  </si>
  <si>
    <t>LUMALANG, EJ CARL VALEZA</t>
  </si>
  <si>
    <t>LUNAR, JOHN ALI OSMILLO</t>
  </si>
  <si>
    <t xml:space="preserve">Kairos Cargo Group Inc./ olumbia Complex, Brngy. Sto. Niño, Parañaque City 
</t>
  </si>
  <si>
    <t>MACARANG, CHRISTIAN MONESIT</t>
  </si>
  <si>
    <t>ZIDCAR MOTOR PARTS INC. 60 B Cardiz St. Brgy. Tatalon Quezon City</t>
  </si>
  <si>
    <t>MAGDURULAN, MEDEL LOPE</t>
  </si>
  <si>
    <t>Makati Development Corporation</t>
  </si>
  <si>
    <t>MALAMIG, SHERWIN LAZO</t>
  </si>
  <si>
    <t>MALARAYAP, JIMMY MONTERAS</t>
  </si>
  <si>
    <t>MALVAR, EARL KIT FIANSAN</t>
  </si>
  <si>
    <t>MAMPUSTI, JAKE JOEVEN LLANES</t>
  </si>
  <si>
    <t>Mechanics</t>
  </si>
  <si>
    <t>MAMPUSTI, JOEMEL BIBAT</t>
  </si>
  <si>
    <t>MARIQUINA, JOHN MATTHEW MENOR</t>
  </si>
  <si>
    <t>MARQUEZ, DAVID PAUL NILO</t>
  </si>
  <si>
    <t>Hyperkem and Machineries Inc.</t>
  </si>
  <si>
    <t>MENDEJA, CHRISTIAN MARK EBRO</t>
  </si>
  <si>
    <t>Capitol (PEO)</t>
  </si>
  <si>
    <t>MOLBOG, ALFRED MUSNIT</t>
  </si>
  <si>
    <t>MUHI, ANJO MALUBAG</t>
  </si>
  <si>
    <t>Makati Development corporation</t>
  </si>
  <si>
    <t>NABOS, JERWIN LAZO</t>
  </si>
  <si>
    <t>Makati development corp. Asiapro (western bicutan taguig)</t>
  </si>
  <si>
    <t>NALING, JAY MARK LANOT</t>
  </si>
  <si>
    <t>OLA, NATHANIEL MAAC</t>
  </si>
  <si>
    <t>Municipal of Mogpog</t>
  </si>
  <si>
    <t>REANZARES, STEVEN LLENA</t>
  </si>
  <si>
    <t>RBA auto care center imus cavite</t>
  </si>
  <si>
    <t>RETARDO, JOSEPH ROGELIO</t>
  </si>
  <si>
    <t>REY, KEN MONTEREY</t>
  </si>
  <si>
    <t>RICOHERMOSO, LEONARD PALATINO</t>
  </si>
  <si>
    <t>VIZARRA, KIM JEREMY DEL MUNDO</t>
  </si>
  <si>
    <t>37 Kamias road barangay pinyahan quezon city</t>
  </si>
  <si>
    <t>BS Industrial Technology  (Drafting Technology)</t>
  </si>
  <si>
    <t>ANDRADE, JAY-AR ZULUETA*</t>
  </si>
  <si>
    <t>MODAIR MANILA CO. LTD., INC. 223 Salcedo Cor. Gamboa St., Legaspi Village, San Lorenzo City of Makati</t>
  </si>
  <si>
    <t>ESGUERRA, ANGELO MALAMIG</t>
  </si>
  <si>
    <t>FERNANDEZ, JUAN MIGUEL LORETO</t>
  </si>
  <si>
    <t>FIEDALAN, JOHN CARL ZAMORA</t>
  </si>
  <si>
    <t>HIRONDO, MICHAEL JAYE WAJE</t>
  </si>
  <si>
    <t>Spec-master / #4 Bernal St. Rosario Pasig City</t>
  </si>
  <si>
    <t>HISTORILLO, ETHEL CONSTANTINO</t>
  </si>
  <si>
    <t>HIZOLE, YVES IAN NAZARENO</t>
  </si>
  <si>
    <t>JANDA, JERICK NABOS</t>
  </si>
  <si>
    <t>Cainta Rizal</t>
  </si>
  <si>
    <t>LABAGUIS, MARK CHRISTOPHER LIMPOT</t>
  </si>
  <si>
    <t>Mercury Drug</t>
  </si>
  <si>
    <t>LACERNA, REYNALD</t>
  </si>
  <si>
    <t>LACERNA, RICHARD BONION</t>
  </si>
  <si>
    <t>Inquar Industries Inc</t>
  </si>
  <si>
    <t>LAMARCA, APRIL JOYCE ARCEGA</t>
  </si>
  <si>
    <t>ISAGANI M MARTINEZ CONSULTING ENGINEERS(IMM-CE) / UNIT 1007 CITYLAND 10 TOWER 2 #154 H.V DELA COSTA ST. SALCEDO. VILLAGE MAKATY CITY METRO MANILA</t>
  </si>
  <si>
    <t>LAMBON, LESLIE BULUSAN</t>
  </si>
  <si>
    <t>LANDOY, FREDELYN LUCI</t>
  </si>
  <si>
    <t>LAURESTA, CHAINLEE SARMIENTO</t>
  </si>
  <si>
    <t>LAZARTE, JOHN RUSSEL PIGUERRA</t>
  </si>
  <si>
    <t>Calvelo Engineered System Corporation 
8F The Valero Tower, Valero St. Salcedo Village, Makati City</t>
  </si>
  <si>
    <t>LEGASPI, SHANE ANN MATAYA</t>
  </si>
  <si>
    <t>DILG</t>
  </si>
  <si>
    <t>LILLES, RALF LAURENCE MORALES</t>
  </si>
  <si>
    <t>LINESES, LANCE LAWRENCE MALARAYAP</t>
  </si>
  <si>
    <t>LLAVE, MARK JOSEPH OLIVAR</t>
  </si>
  <si>
    <t>LOLONG, IAN CHARLES LEONARD MATRE</t>
  </si>
  <si>
    <t>Wu-Kong Industries</t>
  </si>
  <si>
    <t>LOPEZ, NEIL JOSEPH JULAO</t>
  </si>
  <si>
    <t>LUCI, JEREMY CALDEA</t>
  </si>
  <si>
    <t>LUMALANG, EDEM CLYDE PENIEL SIGUE</t>
  </si>
  <si>
    <t>LUNA, ARA VEA MANSALAPUS</t>
  </si>
  <si>
    <t>MACALOOD, ROLLEN NABOS</t>
  </si>
  <si>
    <t>MALAPAD, VILMA MANUBA</t>
  </si>
  <si>
    <t>IMMCE Company</t>
  </si>
  <si>
    <t>MALELANG, JERVIE MURILLO</t>
  </si>
  <si>
    <t>MALIMATA, ARSEL LABAYNA</t>
  </si>
  <si>
    <t>MALINAO, FRENCH EMMERICH ALMEDA</t>
  </si>
  <si>
    <t>Modair Ltd.,Co.</t>
  </si>
  <si>
    <t>MALITAO, MARIEL MANAHAN</t>
  </si>
  <si>
    <t>MALVAR, MARVIN BALAURO</t>
  </si>
  <si>
    <t>MANAOG, JEFF ALLEN NEBREJA</t>
  </si>
  <si>
    <t>QROJ Services</t>
  </si>
  <si>
    <t>MANGUBAT, JOHN PAUL BENITEZ</t>
  </si>
  <si>
    <t>MUDAIR</t>
  </si>
  <si>
    <t>MANUBA, BERNARD LEYNES</t>
  </si>
  <si>
    <t>D.M CONSUNJI</t>
  </si>
  <si>
    <t>MAPACPAC, RUSTOM NATAL</t>
  </si>
  <si>
    <t>MARCELINO, RICHARD ZATA</t>
  </si>
  <si>
    <t>MARCIANO, CHRISTINE HERNANDEZ</t>
  </si>
  <si>
    <t>Construction Line Inc.</t>
  </si>
  <si>
    <t>MASCAREÑAS, JAKE MOTOL</t>
  </si>
  <si>
    <t>MATINING, JOHN CRIS MURILLO</t>
  </si>
  <si>
    <t>MATINING, MARIA CRISTINA MURILLO</t>
  </si>
  <si>
    <t>MATRE, LEE JOHN OLORES</t>
  </si>
  <si>
    <t>MENDEJA, KENDRICK MARTE</t>
  </si>
  <si>
    <t>MENDEJA, MARVIN PANTOJA</t>
  </si>
  <si>
    <t>MENDROS, JOMARI MALINAO</t>
  </si>
  <si>
    <t>MINGI, MARK KENNETH LEAL</t>
  </si>
  <si>
    <t>MIRANDA, CARL VINCENT MURILLO</t>
  </si>
  <si>
    <t>MIRONES, AYRA MOLBOG</t>
  </si>
  <si>
    <t>MIRONES, KRISTIN MARIE MIRANDA</t>
  </si>
  <si>
    <t>MOLBOG, HAZEL JANE LAZO</t>
  </si>
  <si>
    <t>RGJ Electrosystem Inc.</t>
  </si>
  <si>
    <t>MONROYO, RINNA AMMIEL OGAYRE</t>
  </si>
  <si>
    <t>MURILLO, HAZEL JANDA</t>
  </si>
  <si>
    <t>NABOS, DANIEL NALING</t>
  </si>
  <si>
    <t>NAGUTOM, ERIC JOHN</t>
  </si>
  <si>
    <t>NATAL, JHASMYNE MARTE</t>
  </si>
  <si>
    <t>OLPOT, IRISH JOY MURILLO</t>
  </si>
  <si>
    <t>ONTE, FIZA GARCIA</t>
  </si>
  <si>
    <t>ORBIZO, RIZZA RICAFLANCA</t>
  </si>
  <si>
    <t>PANTOJA, JAYSON PELAEZ</t>
  </si>
  <si>
    <t>PAR, JOHN MARK MAAÑO</t>
  </si>
  <si>
    <t>PATRANA, Jr. PAPA GOLINGAY</t>
  </si>
  <si>
    <t>PEÑARUBIA, ERRUEL JALAMANAN</t>
  </si>
  <si>
    <t>PINEDA, JIMMUEL HIZOLE</t>
  </si>
  <si>
    <t>MODAIR</t>
  </si>
  <si>
    <t>PIZARRA, LYKA PERFIÑAN</t>
  </si>
  <si>
    <t>Agchem Company</t>
  </si>
  <si>
    <t>PORNELA, ARIES ASNE</t>
  </si>
  <si>
    <t>RELLIN, JAY FRANKLIN HONORICA</t>
  </si>
  <si>
    <t>REMOLIN, NEIL PEREGRIN</t>
  </si>
  <si>
    <t>REY, ROBERT Jr. DEL MUNDO</t>
  </si>
  <si>
    <t>REYES, JOHN PAUL BALGUA</t>
  </si>
  <si>
    <t>RICAFLANCA, CHRISTIAN LARGA</t>
  </si>
  <si>
    <t>SAN JUAN, JEROME MENDEJA</t>
  </si>
  <si>
    <t>VILLARUEL, JAMIE ALOJADO</t>
  </si>
  <si>
    <t>VILLAVICENCIO, GERALD FABRERO</t>
  </si>
  <si>
    <t>BS Industrial Technology  (Electrical Technology)</t>
  </si>
  <si>
    <t>AGUIFLOR, PANCHO Jr. LAMPAS*</t>
  </si>
  <si>
    <t>Sunpack</t>
  </si>
  <si>
    <t>BALLESTEROS, BERNARD ORACION</t>
  </si>
  <si>
    <t>CASTILLO, MARK VINCENT LOZANO</t>
  </si>
  <si>
    <t>CHAVEZ, MC JAYSON ZOLETA</t>
  </si>
  <si>
    <t>Spec-Master Inc.</t>
  </si>
  <si>
    <t>EMPEDRAD, REYNALDO Jr. MUHI</t>
  </si>
  <si>
    <t>JAGONG, ABEL SALES</t>
  </si>
  <si>
    <t>Century Pacific Inc.; Biñan Laguna</t>
  </si>
  <si>
    <t>JARDELEZA, HEDWIG LOTILLA</t>
  </si>
  <si>
    <t>JASMIN, EDISON MOLBOG</t>
  </si>
  <si>
    <t>Agricultural Office</t>
  </si>
  <si>
    <t>LAMAR, ERICKSON MADLA</t>
  </si>
  <si>
    <t>LANOT, CESAR Jr. NATAL</t>
  </si>
  <si>
    <t>Hyundai</t>
  </si>
  <si>
    <t>LAUDEREZ, HERBERT LADERAS</t>
  </si>
  <si>
    <t>LAYLAY, LESTER JOHN CAMARINES</t>
  </si>
  <si>
    <t>LEDESMA, MARK JULIUS MARQUEZ</t>
  </si>
  <si>
    <t>LEDESMA, RENATO ARJAY OLIVEROS</t>
  </si>
  <si>
    <t>Hyundai elavator/brgy.dona imelda quezon city</t>
  </si>
  <si>
    <t>LINGA, JAY BALASBAS</t>
  </si>
  <si>
    <t>LINGON, Jr. CLIFFORD REY</t>
  </si>
  <si>
    <t>LINGON, OLIVER MALIMATA</t>
  </si>
  <si>
    <t>LIYAG, WILMER LAWIG</t>
  </si>
  <si>
    <t>Spec Master inc. no. 4 Bernal St. Rosario Pasig City</t>
  </si>
  <si>
    <t>MAGTURO, ANJO MORONG</t>
  </si>
  <si>
    <t>MAJABA, JEROME DIOLATA</t>
  </si>
  <si>
    <t>MERCADER, ROMMEL Jr. MORENO</t>
  </si>
  <si>
    <t>MIRAMBIL, ASHLY FONTONOZA</t>
  </si>
  <si>
    <t>spec master inc. Pasig</t>
  </si>
  <si>
    <t>MONTERAS, CARL MICHAEL FUGABAN</t>
  </si>
  <si>
    <t>MORALES, PATRICK SEAN PARREÑO</t>
  </si>
  <si>
    <t>MORALES, SAM MORRISS OQUIAS</t>
  </si>
  <si>
    <t>MORENO, REYMARK HONORICA</t>
  </si>
  <si>
    <t>OLAVIDEZ, NATHANIEL OLIVEROS</t>
  </si>
  <si>
    <t>OLIVEROS, ARJAY MAGNO</t>
  </si>
  <si>
    <t>PAGALING, RHOD ARVIN SAGER</t>
  </si>
  <si>
    <t>PAGTOLON-AN, FRANDEL SIENA</t>
  </si>
  <si>
    <t>PALATINO, NELMARK RODELAS</t>
  </si>
  <si>
    <t>PALSE, JOSEPH MEDENILLA</t>
  </si>
  <si>
    <t>PANTOJA, CHARLES KLIEN MAMBIL</t>
  </si>
  <si>
    <t>PAR, ARNOLD EPA</t>
  </si>
  <si>
    <t>Vipa-R Muntinlupa</t>
  </si>
  <si>
    <t>PEDERNAL, GERALD MONTEREY</t>
  </si>
  <si>
    <t>Megawide Construction Corp.</t>
  </si>
  <si>
    <t>PEDERNAL, GERYMIE PEREDA</t>
  </si>
  <si>
    <t>PIGUERRA, ARCHIE ITURALDE</t>
  </si>
  <si>
    <t>PIGUERRA, CEDRICK LABARDA</t>
  </si>
  <si>
    <t>RICOHERMOZO, BILLY JOHN MAHUSAY</t>
  </si>
  <si>
    <t>RODELAS, Jr. ARIEL BELONO</t>
  </si>
  <si>
    <t>SACE, AUSTINIEL SADIWA</t>
  </si>
  <si>
    <t>SADIWA, ISAGANI Jr. AZUELDO</t>
  </si>
  <si>
    <t>SADIWA, IVAN NAZARENO</t>
  </si>
  <si>
    <t>Vista Land</t>
  </si>
  <si>
    <t>SANTILLAN, ROMEL NABOS</t>
  </si>
  <si>
    <t>Hyundaii</t>
  </si>
  <si>
    <t>SARIO, JEFFREY MEDRAN</t>
  </si>
  <si>
    <t>TAYO, MARK ANGELO MAIGTING</t>
  </si>
  <si>
    <t>TORREGROSA, BON JET CEDRICH MONTARIL</t>
  </si>
  <si>
    <t>VITTO, LIMARK REYNOSO</t>
  </si>
  <si>
    <t>YAMBAO, AMRC JOSEPH LORENZO</t>
  </si>
  <si>
    <t>BS Industrial Technology (Foods Technology)</t>
  </si>
  <si>
    <t>ALFANTE, MA. KRISHNA PELAEZ</t>
  </si>
  <si>
    <t>CONSUELO, Jr. JOSEPH SOLAS</t>
  </si>
  <si>
    <t>DE BELEN, VERGEL PASTRANA</t>
  </si>
  <si>
    <t>ASA PHILIPPINES FOUNDATION INC.</t>
  </si>
  <si>
    <t>ESPIRITU, REYNAN VELOZ</t>
  </si>
  <si>
    <t>max's restaurant sucat Prañaque branch</t>
  </si>
  <si>
    <t>FLORES, ANGELICA BUBAN</t>
  </si>
  <si>
    <t>FRAYRE, LYZILANE GRACE SALES</t>
  </si>
  <si>
    <t>JASMIN,MICHELLE MOLBOG</t>
  </si>
  <si>
    <t>LEAL, JOHN ERICK VITTO</t>
  </si>
  <si>
    <t>Max's Group</t>
  </si>
  <si>
    <t>LIGERALDE, CERES JANET MACUNAT</t>
  </si>
  <si>
    <t>LOZANTA, DAISYREE BASTONA</t>
  </si>
  <si>
    <t>Monde MY San Corporation</t>
  </si>
  <si>
    <t>MABUTI, MELGAR MADLA</t>
  </si>
  <si>
    <t>MAGDURULAN, RONNA BELMORES</t>
  </si>
  <si>
    <t>MAJABA, NEZZA MAY GRANADO</t>
  </si>
  <si>
    <t>MALITAO, MARY MAE LIWANAGAN</t>
  </si>
  <si>
    <t>Making Fine Beverages Corp. / 213 Banawe St. Quezon City</t>
  </si>
  <si>
    <t>MALVAR, DEZIRRE FAE MARTES</t>
  </si>
  <si>
    <t>Atomy philippines (caypombo winner center) Isok 1 boac, marinduque</t>
  </si>
  <si>
    <t>MAMING, CHERRY MAE SARILE</t>
  </si>
  <si>
    <t>MAMPLATA, TOMAS RUEL NARITO</t>
  </si>
  <si>
    <t>MANGUBAT, RIZZA MORALES</t>
  </si>
  <si>
    <t>Romaro Marketing / Manila</t>
  </si>
  <si>
    <t>MANOOS, JUSTINE NAMBIO</t>
  </si>
  <si>
    <t>Government Volunteer</t>
  </si>
  <si>
    <t>MARTE, LEIRA MONCADA</t>
  </si>
  <si>
    <t>MENDROS, JULIE ANN APULI</t>
  </si>
  <si>
    <t>MORENO, OLIVER HONORICA</t>
  </si>
  <si>
    <t>Powerminds of Asia Inc. Quezon Ave.</t>
  </si>
  <si>
    <t>NARDO, Jr. MACARIO PACHECO</t>
  </si>
  <si>
    <t>Yamaha</t>
  </si>
  <si>
    <t>PERILLA, MARY JEAN MIRONES</t>
  </si>
  <si>
    <t>PINEDA, LIEZAL ANN PANTOJA</t>
  </si>
  <si>
    <t>Makati City , POWERLANE 
I assigned Maxs SM Sucat</t>
  </si>
  <si>
    <t>QUIRANTE, CLAIRE ANGELICA JINANG</t>
  </si>
  <si>
    <t>RAMIRO, TRICIA MAE CRUZADO</t>
  </si>
  <si>
    <t>REGALIA, GERALD DE LUNA</t>
  </si>
  <si>
    <t>Max's group Inc.</t>
  </si>
  <si>
    <t>SAJUL, KRIS DIANNE PERLAS</t>
  </si>
  <si>
    <t>Powerminds of Asia Inc. / 25 Richwell Building, No. 25 Quezon Ave. Brgy. Lourdes, Quezon City.</t>
  </si>
  <si>
    <t>SOL, JENNY MAE ARVEZO</t>
  </si>
  <si>
    <t>SUMO, JASMINE MANTARING</t>
  </si>
  <si>
    <t>VITERBO, LIYKENT HERMOSA</t>
  </si>
  <si>
    <t>YPANTO, MICKO JANDUSAY</t>
  </si>
  <si>
    <t>J&amp;T BOAC/ TABI BOAC</t>
  </si>
  <si>
    <t>BS Industrial Technology (Mechanical Technology)</t>
  </si>
  <si>
    <t>CERNAL, JEROME FRIAS</t>
  </si>
  <si>
    <t>CONSTANTINO, JHON PIGUERRA</t>
  </si>
  <si>
    <t>Rostech phils Inc.</t>
  </si>
  <si>
    <t>CRUZADO, IMMANUEL ACERA</t>
  </si>
  <si>
    <t>M- Plus Plastic Manufacturing/Municipal Government of Torrijos</t>
  </si>
  <si>
    <t>GONZALES, DEEJAY PALATINO</t>
  </si>
  <si>
    <t>JALOS, MARK JUNE LAWIG</t>
  </si>
  <si>
    <t>JULAO, ARJEL KIM DEL MUNDO</t>
  </si>
  <si>
    <t>LIMPIADA, ELGIN</t>
  </si>
  <si>
    <t>Rostech</t>
  </si>
  <si>
    <t>LINGON, CARL JONOASPHER MAGDURULAN</t>
  </si>
  <si>
    <t>HYUNDAI ELEVATOR AND ESCALATOR SERVICES PHILIPPINES</t>
  </si>
  <si>
    <t>LOGMAO, KRISTIAN MOLATO</t>
  </si>
  <si>
    <t>MANDAC, ROMMEL MAAC</t>
  </si>
  <si>
    <t>Marinduque Provincial Hospital</t>
  </si>
  <si>
    <t>MANSALAPUS, CHARLES LIMPIADA</t>
  </si>
  <si>
    <t>DATE ROLLER GLOBAL CORP. #4 TRINIDAD ST. CANUMAY EAST VALENZUELA CITY</t>
  </si>
  <si>
    <t>MANTALA, SAM NIEL CEREN MASCAREÑAS</t>
  </si>
  <si>
    <t>MANZO, ERIC SANCHEZ</t>
  </si>
  <si>
    <t>MARCIANO, JAMEL LADLAD</t>
  </si>
  <si>
    <t>Date roller global corporation. #3 trinidad st canumay east valenzuela city</t>
  </si>
  <si>
    <t>MELAYA, SHYRUSSE MAMPUSTI</t>
  </si>
  <si>
    <t>MOGOL, KIRK LEE MARQUEZ</t>
  </si>
  <si>
    <t>MOLBOG, CHRISTIAN MARK OPEÑA</t>
  </si>
  <si>
    <t>MOLBOG, HILBERT LAZO</t>
  </si>
  <si>
    <t>Municipality of Mogpog</t>
  </si>
  <si>
    <t>PAGUYAN, FRANKLYN LIMBO</t>
  </si>
  <si>
    <t>PARAS, JEROME LASIC</t>
  </si>
  <si>
    <t>PEDUEÑO, KIER LARRAQUEL</t>
  </si>
  <si>
    <t>SCHENEIDER ELECTRIC</t>
  </si>
  <si>
    <t>PORLEY, DARYN REY TAYUCO</t>
  </si>
  <si>
    <t>Concentrix</t>
  </si>
  <si>
    <t>REJANO, SHERWIN</t>
  </si>
  <si>
    <t>LA SUERTE CIGAR AND CIGARETTE FACTORY KM 14 SOUTH SUPERHIGHWAY PARAÑAQUE CITY</t>
  </si>
  <si>
    <t>SALVACION, EVAN JOSEPH</t>
  </si>
  <si>
    <t>YLANAN, JOHN VICTOR SALVADOR</t>
  </si>
  <si>
    <t>BS Industrial Technology (Refrigeration &amp; Air-Conditioning Technology)</t>
  </si>
  <si>
    <t>LANDOY, RICKY LAZO</t>
  </si>
  <si>
    <t>MONSANTO, BENIDICK MACARANG</t>
  </si>
  <si>
    <t>Delivery helper</t>
  </si>
  <si>
    <t>MONTERAS, DINNO LEDESMA</t>
  </si>
  <si>
    <t>PAEZ, ESTELITO Jr. PERILLA</t>
  </si>
  <si>
    <t>PATIGDAS, GERALD OLIVAR</t>
  </si>
  <si>
    <t>Assistant</t>
  </si>
  <si>
    <t>SILVA, MICHAEL MACDON</t>
  </si>
  <si>
    <t>TORMON, DARIUS JOGNO</t>
  </si>
  <si>
    <t>Technician</t>
  </si>
  <si>
    <t>BS Industrial Technology (Welding &amp; Fabrication Technology)</t>
  </si>
  <si>
    <t>LUCI, JANDREI LANDIG</t>
  </si>
  <si>
    <t>MAJABA, JUSTIN JOSE SAGUINSIN</t>
  </si>
  <si>
    <t>MANGANA, MAKI AUREADA</t>
  </si>
  <si>
    <t>San Miguel Yamamura, Canlubang Calamba, Laguna City</t>
  </si>
  <si>
    <t>MATRE, SHERWIN BUENAVENTURA</t>
  </si>
  <si>
    <t>MOLDON, CHRISTIAN RICABLANCA</t>
  </si>
  <si>
    <t>FRANKE</t>
  </si>
  <si>
    <t>MORONG, RONEL JINAO</t>
  </si>
  <si>
    <t xml:space="preserve">Two-Year Craftsman Course (Automotive Technology)   </t>
  </si>
  <si>
    <t>JARDINIANO, LAURENCE LEMUEL MAYAMAYA</t>
  </si>
  <si>
    <t>ube costom garage /gitnang bayan mogpog marinduque</t>
  </si>
  <si>
    <t>LIBANAN, JOHN CHRISTOPHER MANZANO</t>
  </si>
  <si>
    <t>LINGA, JOLAN MALIMATA</t>
  </si>
  <si>
    <t>LIPORADA, RHIO JAGONG</t>
  </si>
  <si>
    <t>LOGDAT, MICHAEL MANDIA</t>
  </si>
  <si>
    <t>LOPE, REGIE REJANO</t>
  </si>
  <si>
    <t>LOZANTA, RICO INSIGNE</t>
  </si>
  <si>
    <t>MAGYAYA, JOVAN MOVILLON</t>
  </si>
  <si>
    <t>MANDIA, SHERWIN PELENDIANA</t>
  </si>
  <si>
    <t>MASANGKAY, ARJIE JAMILLA</t>
  </si>
  <si>
    <t>MERENCILLO, JESS TUNGALA</t>
  </si>
  <si>
    <t>MONTOYO, REYSON BATAYOLA</t>
  </si>
  <si>
    <t>Priceless Saver Mart(boac marinduque)</t>
  </si>
  <si>
    <t>MORENO, RICHARD LEYBAG</t>
  </si>
  <si>
    <t>NAZARENO, JAMES BRYAN FERRER</t>
  </si>
  <si>
    <t>PANELO, JOHN WHYNDEL LAMBON</t>
  </si>
  <si>
    <t>EMPOWERED CONSUMERISM</t>
  </si>
  <si>
    <t>QUIJANO, JOHN ERIC FAJUTAGANA</t>
  </si>
  <si>
    <t>REGALADO, RYAN JOSE DE GALICIA</t>
  </si>
  <si>
    <t>SORNO, RAMIL LOS BAÑOS</t>
  </si>
  <si>
    <t>VITTO, CHRISTIAN PERALTA</t>
  </si>
  <si>
    <t>Two-Year Craftsman Course (Drafting Technology)</t>
  </si>
  <si>
    <t>EVAGELISTA, RHEA JANE ZOLETA</t>
  </si>
  <si>
    <t>GT 168 Mall Santol Boac</t>
  </si>
  <si>
    <t>LANOT, FATHIMA CHRISTINE HUSSIN</t>
  </si>
  <si>
    <t>LEAL, JOMARI MIRHAN</t>
  </si>
  <si>
    <t>MALABAYABAS, EDUARD LANDIG</t>
  </si>
  <si>
    <t>MERCENE, JERVIN MODIONG</t>
  </si>
  <si>
    <t>MERENCILLO, RENAN MALABAYABAS</t>
  </si>
  <si>
    <t>RAMIREZ, JOHN MICHAEL GUEVARRA</t>
  </si>
  <si>
    <t>SOL, EARL JOHN ARVEZO</t>
  </si>
  <si>
    <t>Two-Year Craftsman Course (Electrical Technology)</t>
  </si>
  <si>
    <t>GINGOYON, VONZ KARL MANTALA</t>
  </si>
  <si>
    <t>HIZOLE, JEFFREY LUZARES</t>
  </si>
  <si>
    <t>32nd 5th avenue Bonifacio Global City</t>
  </si>
  <si>
    <t>LETRIRO, ERICK JOHN MAGCAMIT</t>
  </si>
  <si>
    <t>Barangay Pawa (Sangguniang Barangay/Sangguniang Kabataan)</t>
  </si>
  <si>
    <t>LOGMAO, JOHN LESTER LADLAD</t>
  </si>
  <si>
    <t>MANGUBAT, JOEMAR TISORNA</t>
  </si>
  <si>
    <t>MONROYO, Jr. ARJAY OLPOT</t>
  </si>
  <si>
    <t>MORONG, GHERICA DEL CASTILLO</t>
  </si>
  <si>
    <t>PAR, JERIC DALIT</t>
  </si>
  <si>
    <t>PATIGDAS, MARLO OLIVER</t>
  </si>
  <si>
    <t>RICAFORT, BILL MCDONNELL REGENCIA</t>
  </si>
  <si>
    <t>SOLETA, VENMAR LAMAC</t>
  </si>
  <si>
    <t>Two-Year Craftsman Course (Foods Technology)</t>
  </si>
  <si>
    <t>AFAN, HAROLD LOPE</t>
  </si>
  <si>
    <t>CARISIOSA, KENNIEL LAMANILAO</t>
  </si>
  <si>
    <t>DAVID, ROWENA LUNA</t>
  </si>
  <si>
    <t>Adis Resort Hotel &amp; Restaurant</t>
  </si>
  <si>
    <t>FRIAS, JOYCE ANN REJANO</t>
  </si>
  <si>
    <t>JAWILI, PRINCESS SAIRA MARCIANO</t>
  </si>
  <si>
    <t>LATON, REVA MAE GONZALES</t>
  </si>
  <si>
    <t>LAYLAY, JOHN WILFRED LOLONG</t>
  </si>
  <si>
    <t>Provincial Agriculture Office , Santol, Boac</t>
  </si>
  <si>
    <t>LUZADAS, MARY KEITH AMISOLA</t>
  </si>
  <si>
    <t>MALAJACAN, MARK JOHN MIRAMBIL</t>
  </si>
  <si>
    <t>CENTURY PACIFIC FOOD INC./LIIP Mamplasan, Biñan Laguna</t>
  </si>
  <si>
    <t>MANRIQUE, JOHN CHRISTIAN MONTERAS</t>
  </si>
  <si>
    <t>MARAPAO, GRETEL ELLORICO</t>
  </si>
  <si>
    <t>MATINING, KRISTINE KAYE SAJUL</t>
  </si>
  <si>
    <t>SMCO SALITRAN CAVITE</t>
  </si>
  <si>
    <t>MEDRANO, MYLENE MEDINA</t>
  </si>
  <si>
    <t>MONTIEL, JERWIN CYRUS REY</t>
  </si>
  <si>
    <t>MONTUYA, KIMBERLY MEDINA</t>
  </si>
  <si>
    <t>NOBLEZA, RAQUEL MAZON</t>
  </si>
  <si>
    <t>SUPLEO, SHEDILYN SOLETA</t>
  </si>
  <si>
    <t>Two-Year Craftsman Course (Mechnical Technology)</t>
  </si>
  <si>
    <t>LACERNA, RHINELAND LUMALANG</t>
  </si>
  <si>
    <t>Bachelor of Public Administration</t>
  </si>
  <si>
    <t>ADRAN, ANGELICA MALAPAD</t>
  </si>
  <si>
    <t>ARINGO, ALICE MONTEAGUDO</t>
  </si>
  <si>
    <t>ARRIOLA, DOAN AMADO</t>
  </si>
  <si>
    <t>BAUSTISTA, CAMILLE MEDINA</t>
  </si>
  <si>
    <t>DE LEON, CLARICEL ABRIGO</t>
  </si>
  <si>
    <t>Megaworld Corporation-Omniworx Inc.</t>
  </si>
  <si>
    <t>DIAZ, MA. THERESA MATIMTIM</t>
  </si>
  <si>
    <t>DB Shenker Philippines</t>
  </si>
  <si>
    <t>JAGONG, DRIZALYNE DEL MUNDO</t>
  </si>
  <si>
    <t>DAR</t>
  </si>
  <si>
    <t>JORNADAL, MILDRED MELAYA</t>
  </si>
  <si>
    <t>LAGRAN, JAYVEE FIRMEZA</t>
  </si>
  <si>
    <t>LASIC, GILDA ORNEDO</t>
  </si>
  <si>
    <t>PPIC-Philippine Power Industries Corp.</t>
  </si>
  <si>
    <t>LOLONG, JHON JOSEPH LOVIDAD</t>
  </si>
  <si>
    <t>APCO-Marinduque-Agricultural Program Coordinating Office</t>
  </si>
  <si>
    <t>MALAPAD, MARIAN MANUBA</t>
  </si>
  <si>
    <t>DAR, Tanza, Boac, Marinduque</t>
  </si>
  <si>
    <t>MALILOM, GLAIZA MANUBA</t>
  </si>
  <si>
    <t>MEgaworld corp. / Taguig city</t>
  </si>
  <si>
    <t>MANGUBAT, DIANNE OGAYRE</t>
  </si>
  <si>
    <t>RIOS, BEVERLY MANSALAPUS</t>
  </si>
  <si>
    <t>Municipality of Mogpog (DILG office)</t>
  </si>
  <si>
    <t>SAGUID, SHELHA SEMILLA</t>
  </si>
  <si>
    <t>Barista Box</t>
  </si>
  <si>
    <t>SENA, JEDEDIAH MAMENG</t>
  </si>
  <si>
    <t>ABC Construction Firm</t>
  </si>
  <si>
    <t>SOL, CELINE PREZA</t>
  </si>
  <si>
    <t>SOL, SHAINA ROSE LUMALANG</t>
  </si>
  <si>
    <t>ZULUETA, MICHELLE PIGUERRA</t>
  </si>
  <si>
    <t>DSWD</t>
  </si>
  <si>
    <t>BS Entrepreneurship (Major - Enterprise Management)</t>
  </si>
  <si>
    <t>ABALOS, CATHERINE QUIRONA</t>
  </si>
  <si>
    <t>FUBU - Crissa</t>
  </si>
  <si>
    <t>ABRENCILLO, MA. CLEA LARGA</t>
  </si>
  <si>
    <t>LSERV Corp- PDIC</t>
  </si>
  <si>
    <t>BEGUIRRAS, EULOGIO HISTORILLO</t>
  </si>
  <si>
    <t>BUSTAMANTE, DIVINE GRACE BENOSA</t>
  </si>
  <si>
    <t>CARIAGA, IRENE SENA</t>
  </si>
  <si>
    <t>LServ Corp.- 21st Floor Petron Mega Plaza Building, 358 Sen. Gil Puyat Ave., Makati City 1200</t>
  </si>
  <si>
    <t>CERILLA, KRISTEL JANE SANCHEZ</t>
  </si>
  <si>
    <t>DENR PENRO Marinduque</t>
  </si>
  <si>
    <t>CHA, JUDY ANN SALUDES</t>
  </si>
  <si>
    <t>CHAVEZ, CHARLLOTTE ZACARIAS</t>
  </si>
  <si>
    <t>CONTRERAS, CATILYN HONORICA</t>
  </si>
  <si>
    <t>Fruitas</t>
  </si>
  <si>
    <t>DAMOT, OLIVER MALABAYABAS</t>
  </si>
  <si>
    <t>Mercury Drug, Boac</t>
  </si>
  <si>
    <t>DIAMANTE, JULLIE KAYE FRIAS</t>
  </si>
  <si>
    <t>Real Estate</t>
  </si>
  <si>
    <t>DUMLAO, JOHN FERDINAND NERIAS</t>
  </si>
  <si>
    <t>EBERO, ROVELYN LIGUIT</t>
  </si>
  <si>
    <t>Motorcentral Group of Companies(Yamaha)</t>
  </si>
  <si>
    <t>EVANGELISTA, LESLIE ANDREA MANSALAPUS</t>
  </si>
  <si>
    <t>Araneta Group of Company</t>
  </si>
  <si>
    <t>EVANGELISTA, SAMANTHA JOY MANSALAPUS</t>
  </si>
  <si>
    <t>FAJELAN, KHIMNELL SAPUNGAN</t>
  </si>
  <si>
    <t>FRAYRE, KATELEEN JOY SALVA</t>
  </si>
  <si>
    <t>ENOZ English Philippines Inc.</t>
  </si>
  <si>
    <t>JORNADAL, JANE CAMILLE MELAYA</t>
  </si>
  <si>
    <t>Governor's Office</t>
  </si>
  <si>
    <t>LINGA, JESSA TORRES</t>
  </si>
  <si>
    <t>LINGA, MARISOL JIMENA</t>
  </si>
  <si>
    <t>Polylite Industrial Corporation</t>
  </si>
  <si>
    <t>LOGDAT, ALYSSA REGENCIA</t>
  </si>
  <si>
    <t>LOGDAT, JESSA MAY BANGHE</t>
  </si>
  <si>
    <t>Sunlife Grepa Financial</t>
  </si>
  <si>
    <t>LOPE, JHOANA MARIE LABAGUIS</t>
  </si>
  <si>
    <t>ROMANTIC BABOY
XENTRO MALL, ANTIPOLO CITY</t>
  </si>
  <si>
    <t>LUARCA, SHARMAINE MANUEVO</t>
  </si>
  <si>
    <t>LUISAGA, RONALD Jr. MADRIÑO</t>
  </si>
  <si>
    <t>LUNA, LHEY ANN MANGANA</t>
  </si>
  <si>
    <t>SVI Inc. SM Mall of Asia</t>
  </si>
  <si>
    <t>MAAC, JOHN PAUL PATRIARCA</t>
  </si>
  <si>
    <t>Lazada PH (EJAPKI)</t>
  </si>
  <si>
    <t>MADRIGAL, PRINCESS LEOREN LINGATONG</t>
  </si>
  <si>
    <t>MADROÑIO, NIDA ARNADO</t>
  </si>
  <si>
    <t>Empire East Land Holdings Inc.</t>
  </si>
  <si>
    <t>MAGCULANG, NORIELYN TAGNIPEZ</t>
  </si>
  <si>
    <t>MAGCULANG, SHARMAINE CARCAMO</t>
  </si>
  <si>
    <t>Petromaxx,Sawi,Boac,Marinduque</t>
  </si>
  <si>
    <t>MAGDURULAN, JHOANNA ROSE ENTINA</t>
  </si>
  <si>
    <t>MALING, MARILOU BALTERO</t>
  </si>
  <si>
    <t>MANGUERA, JULIE MARIE VALENTINO</t>
  </si>
  <si>
    <t>MANUBA, MARY JOY ZARA</t>
  </si>
  <si>
    <t>Automotive Icon</t>
  </si>
  <si>
    <t>MAPACPAC, KAREN MASCAREÑAS</t>
  </si>
  <si>
    <t>MAPACPAC, SHERALYN LARRACAS</t>
  </si>
  <si>
    <t>Municipality of Mogpog ( Business Permits and Licensing Office)</t>
  </si>
  <si>
    <t>MARCIANO, CHERYLL MORENO</t>
  </si>
  <si>
    <t>MLHUILLIER PAWNSHOP INC.</t>
  </si>
  <si>
    <t>MARCIANO, JENNY ANN NAGUTOM</t>
  </si>
  <si>
    <t>MARQUEZ, BRIAN MANUEVO</t>
  </si>
  <si>
    <t>Asic , Quezon City</t>
  </si>
  <si>
    <t>MATAYA, ELWIN ZOLETA</t>
  </si>
  <si>
    <t>MIRAMBIL, MONICA LARGADO</t>
  </si>
  <si>
    <t>Volunteer as Learning Support Aide</t>
  </si>
  <si>
    <t>MONSANTO, ROMMER DE LUNA</t>
  </si>
  <si>
    <t>ASA Philippines Foundation INC</t>
  </si>
  <si>
    <t>MURILLO, MEYNARD YSON</t>
  </si>
  <si>
    <t>PHILIPPINE DEPOSIT INSURANCE CORPORATION (PDIC) 3rd - 10th Floor SSS Building 6782 Ayala Avenue, corner V.</t>
  </si>
  <si>
    <t>MUTYA, RIECHIEL LUNA</t>
  </si>
  <si>
    <t>NAGUTOM, DARREL JIMENEZ</t>
  </si>
  <si>
    <t>PSTC - Marinduque Prov.Capitol</t>
  </si>
  <si>
    <t>NARDO, ANGELIE ANN ALCANTARA</t>
  </si>
  <si>
    <t>NAZARENO, MA. HAZEL JOY MALABAYABAS</t>
  </si>
  <si>
    <t>OLA, ANTOINETTE JANE MONTELLANO</t>
  </si>
  <si>
    <t>24.7 ai</t>
  </si>
  <si>
    <t>OLA, DEMPSEY LINCALLO</t>
  </si>
  <si>
    <t>OLA, MARY JOY TUSCANO</t>
  </si>
  <si>
    <t>GT168 Mall, Santol Boac</t>
  </si>
  <si>
    <t>OLA, MICKA MALPAL</t>
  </si>
  <si>
    <t>Clarity Home Loans. Canberra, Austrilia</t>
  </si>
  <si>
    <t>OLIVERIA, JELLY MUTIA</t>
  </si>
  <si>
    <t>PIZARRA, ETHEL MAE QUIZANA</t>
  </si>
  <si>
    <t>Sitel, One Julia Vargas, Ortigas, Pasig City</t>
  </si>
  <si>
    <t>PRECLARO, OLIVER SOLAS</t>
  </si>
  <si>
    <t>LSERV Assigned in PDIC, Ayala Makati</t>
  </si>
  <si>
    <t>RAMOS, SHENLY JUDITH PALAMING</t>
  </si>
  <si>
    <t>REGIO, CHRIS MARY ACELO</t>
  </si>
  <si>
    <t>RENIEDO, CHRIZIA MAE MACUNAT</t>
  </si>
  <si>
    <t>RETARDO, ROBELYN MORENO</t>
  </si>
  <si>
    <t>GML CARGO FORWARDER AND COURIER EXPRESS INT'L, INC.
BANGKAL, MAKATI</t>
  </si>
  <si>
    <t>SADIWA, DARLENE MAY</t>
  </si>
  <si>
    <t>LSERV CORPORATION/ PETRON MEGA PLAZA BLDG. 358 Sen. Gil J. Puyat Makati City</t>
  </si>
  <si>
    <t>SAGER, CHRISTIAN POL SACE</t>
  </si>
  <si>
    <t>MMG II DB Schenker / Brgy.San antonio Magsaysay, San Pedro, Laguna</t>
  </si>
  <si>
    <t>SAGUID, VIENA KHATE</t>
  </si>
  <si>
    <t>CNT Promo and Ads Specialist Inc.</t>
  </si>
  <si>
    <t>SAGUNDO, NELLEN FABAYOS</t>
  </si>
  <si>
    <t>SEÑO, KHRISTINA CHASANDRA ARRIOLA</t>
  </si>
  <si>
    <t>MARINDUQUE STATE COLLEGE</t>
  </si>
  <si>
    <t>SOBREVEGA, MARIA JAY FERNANDEZ</t>
  </si>
  <si>
    <t>Recent( Green Horizon fortune trading Corp 5.11 Tactical Philippines )</t>
  </si>
  <si>
    <t>SOL, JAMAICA ROSE ARVEZO</t>
  </si>
  <si>
    <t>SOSA, PRINCESS DIANNE SOBERANO</t>
  </si>
  <si>
    <t>Puregold Boac</t>
  </si>
  <si>
    <t>SOTTO, JINKY SAEZ</t>
  </si>
  <si>
    <t>SOTTO, MADEL CHA</t>
  </si>
  <si>
    <t>TORMON, TERESA JOGNO</t>
  </si>
  <si>
    <t>HC Consumer Finance Phil.</t>
  </si>
  <si>
    <t>VELASCO, JOSE JOHNSON CATINA</t>
  </si>
  <si>
    <t>Star Honda Inc.</t>
  </si>
  <si>
    <t>VILLA, LUZ CLARITA MANRIQUE</t>
  </si>
  <si>
    <t>VILLANUEVA, ABEGAIL ROGELIO</t>
  </si>
  <si>
    <t>VILLANUEVA, ADELYN BORRETA</t>
  </si>
  <si>
    <t>Lemtech</t>
  </si>
  <si>
    <t>VILLANUEVA, ANNALYN ROGELIO</t>
  </si>
  <si>
    <t>VITTO, JANICE SADIA</t>
  </si>
  <si>
    <t>ZOLETA, MADELYN LEDESMA</t>
  </si>
  <si>
    <t>AGUILAR, JOYCE MAE TAGLE</t>
  </si>
  <si>
    <t>Philippine Ports Authority</t>
  </si>
  <si>
    <t>ALOJADO, BRENDA OLAVIDEZ</t>
  </si>
  <si>
    <t>BALAHAN, ABEGAIL LAYLAY</t>
  </si>
  <si>
    <t>Waltermart Supermarket</t>
  </si>
  <si>
    <t>BANDIGAS, MAYDEN SALUDO</t>
  </si>
  <si>
    <t>Central Lumber Corporation</t>
  </si>
  <si>
    <t>DURAL, CEDRICK FRIAS</t>
  </si>
  <si>
    <t>Adis Hotel and Restaurant. Ihatub boac</t>
  </si>
  <si>
    <t>GONZALES, AZINETH SAGER</t>
  </si>
  <si>
    <t>Optum Global Solutions</t>
  </si>
  <si>
    <t>JIMENA, ERIC MASCAREÑAS</t>
  </si>
  <si>
    <t>Motorcentral</t>
  </si>
  <si>
    <t>LAROSA, ALTHEA LYRA MAZON</t>
  </si>
  <si>
    <t>LGU- Boac</t>
  </si>
  <si>
    <t>LARGA, JOMAR JOI SACEDOR</t>
  </si>
  <si>
    <t>LAZARTE, LORENA MATIMTIM</t>
  </si>
  <si>
    <t>Infant Jesus</t>
  </si>
  <si>
    <t>LINGA, JULIE ANN RAYMUNDO</t>
  </si>
  <si>
    <t>Ardent World Inc.</t>
  </si>
  <si>
    <t>LUARCA, MARIE LOURENCE JINANG</t>
  </si>
  <si>
    <t>Sangguniang Panlalawigan</t>
  </si>
  <si>
    <t>MABUNGA, ROCHELL REGENCIA</t>
  </si>
  <si>
    <t>DTI-Sta.Cruz, Marinduque</t>
  </si>
  <si>
    <t>MABUTOT, REBECCA MONTECLARO</t>
  </si>
  <si>
    <t>ENOZ</t>
  </si>
  <si>
    <t>MACALOOD, MARINETH MONREAL</t>
  </si>
  <si>
    <t>MAGCAMIT, JOHN CHRISTIAN REY MEDENILLA</t>
  </si>
  <si>
    <t>Sangguniang Barangay ng Tabi.</t>
  </si>
  <si>
    <t>MAGCULANG, ABEGAIL MALCO</t>
  </si>
  <si>
    <t>DSWD Marinduque</t>
  </si>
  <si>
    <t>MALVAR, CHRISTINE KAE MARTES</t>
  </si>
  <si>
    <t>MANGGOL, CYREL JOYCE LABAGUIS</t>
  </si>
  <si>
    <t>I-Design</t>
  </si>
  <si>
    <t>MANRIQUE, ADEL ANSHENETTE MARAPIA</t>
  </si>
  <si>
    <t>MARCIANO, YEDDA MARIE MONTERAS</t>
  </si>
  <si>
    <t>MATRE, MALYN ROSE LARA</t>
  </si>
  <si>
    <t>Iontech</t>
  </si>
  <si>
    <t>MAYO, JOLINE GLYDEL DE TORRES</t>
  </si>
  <si>
    <t>MAYORES, JHENY YUMO</t>
  </si>
  <si>
    <t>Sykes Asia, Shaw 500 Mandaluyong City</t>
  </si>
  <si>
    <t>MENDIJA, ALONA JAVIER</t>
  </si>
  <si>
    <t>Telus international Philippines</t>
  </si>
  <si>
    <t>MERCOLESIA, LOREN LINGON</t>
  </si>
  <si>
    <t>Cinema,Movieworld</t>
  </si>
  <si>
    <t>MONTERAS, SHANNA MAE SAROCAM</t>
  </si>
  <si>
    <t>PPCI Boac</t>
  </si>
  <si>
    <t>MONTERAS, SONIA ROSE MERCENE</t>
  </si>
  <si>
    <t>Provincial Health Office</t>
  </si>
  <si>
    <t>MONTEROZO, VANESSA JEAN REGENCIA</t>
  </si>
  <si>
    <t>MONTON, LADYLYN RIOFLORIDO</t>
  </si>
  <si>
    <t>Rustan's Group of Companies</t>
  </si>
  <si>
    <t>NALING, SHAREN OLA</t>
  </si>
  <si>
    <t>McTan Grill</t>
  </si>
  <si>
    <t>NAPAL, BIANCA NICOLE LABAY</t>
  </si>
  <si>
    <t>ABS-CBN</t>
  </si>
  <si>
    <t>NAVARRO, KATHERINE PALE LINGA</t>
  </si>
  <si>
    <t>Sim Insurance Management and Services</t>
  </si>
  <si>
    <t>ORILLA, SOPHIA YVETE PLATA</t>
  </si>
  <si>
    <t>PALOMARES, DEBBIE TREZIA REY</t>
  </si>
  <si>
    <t>Optum Global Solution Science Hub Tower 1, Turin St, Taguig, Metro Manila</t>
  </si>
  <si>
    <t>PANUCULAN, KIM JOSHUA MERCADER</t>
  </si>
  <si>
    <t>PELENDIANA, EDUARD JINANG</t>
  </si>
  <si>
    <t>QUIJANO, DIMPLE RODIL</t>
  </si>
  <si>
    <t>ROSALES, AIRA SHANE ANDRADE</t>
  </si>
  <si>
    <t>Post Office-Sta.Cruz,Marinduque</t>
  </si>
  <si>
    <t>SADIWA, MARICON PELAEZ</t>
  </si>
  <si>
    <t>Global Integrated Contact Facilities, Inc.</t>
  </si>
  <si>
    <t>SAPUNGAN, JAN ERIKA AGUILAR</t>
  </si>
  <si>
    <t>ABS-CBN Shared Service Center, PTE., LTD.</t>
  </si>
  <si>
    <t>SIGUE, DERYL KAI SENA</t>
  </si>
  <si>
    <t>Municipal Information &amp; Library Services Section</t>
  </si>
  <si>
    <t>STO. DOMINGO, JUDIE JAMBALOS</t>
  </si>
  <si>
    <t>TUBOLA, MARY CLYDE LOUISSE SEVILLA</t>
  </si>
  <si>
    <t>PDOHO MARINDUQUE</t>
  </si>
  <si>
    <t>VERTUCIO, GIEMEL MALAPAD</t>
  </si>
  <si>
    <t>YAMAHA MOTOR PHILIPPINES 
2/F Twin Oaks Place 1, 750 Shaw Boulevard cor. Plymouth St. Greenfield District, Mandaluyong City (Barangay: Highway Hills; Street: Shaw Blvd;</t>
  </si>
  <si>
    <t>VILLANUEVA, LIV IVYLANE SALES</t>
  </si>
  <si>
    <t>LGU (Boac)</t>
  </si>
  <si>
    <t>VITTO, JANICE SADIA
ZOLETA, MADELYN LEDESMA</t>
  </si>
  <si>
    <t>Bachelor of Arts in Communication Arts</t>
  </si>
  <si>
    <t>LEYNES, JOSHUA BIÑAS</t>
  </si>
  <si>
    <t>UCIT Philippines</t>
  </si>
  <si>
    <t>ARRIESGADO, MA. REALYN JAQUECA</t>
  </si>
  <si>
    <t>SH ESL CENTER PHIL. INC; Ortigas Center, Pasig City</t>
  </si>
  <si>
    <t>BRIONES, CHARMAINE MALABAYABAS</t>
  </si>
  <si>
    <t>BUNDALIAN, KIMBERLY LINCALLO</t>
  </si>
  <si>
    <t>RL Montalbo General Merchandise</t>
  </si>
  <si>
    <t>CAÑA, ANGELICA MAYORES</t>
  </si>
  <si>
    <t>Ipoex</t>
  </si>
  <si>
    <t>CONSTANTINO, KINDRAH JAVIER</t>
  </si>
  <si>
    <t>Marinduque Provincial Government</t>
  </si>
  <si>
    <t>DECENA, KAYZELLE JOY HIZOLE</t>
  </si>
  <si>
    <t>Telus International Philippines</t>
  </si>
  <si>
    <t>DELOS REYES, MABEL PELAEZ</t>
  </si>
  <si>
    <t>DENOSTA, EDRALIN MAE REVILLOZA</t>
  </si>
  <si>
    <t>Alorica</t>
  </si>
  <si>
    <t>GANUB, JAYVIE JINANG</t>
  </si>
  <si>
    <t>E-Teleconnect</t>
  </si>
  <si>
    <t>GRATE, LEAN ARVIN DIAZ</t>
  </si>
  <si>
    <t>VXI</t>
  </si>
  <si>
    <t>HISTORILLO, LORELYN LOLONG</t>
  </si>
  <si>
    <t>Upprime Online Teaching and training Center</t>
  </si>
  <si>
    <t>HUELGAS, DHIANNA MONLEON</t>
  </si>
  <si>
    <t>Local Government Unit (LGU) - Boac</t>
  </si>
  <si>
    <t>JAGONG, CHRISAL MATINING</t>
  </si>
  <si>
    <t>JASA, AIZA DECENA</t>
  </si>
  <si>
    <t>JINANG, ZAIRA LUCI</t>
  </si>
  <si>
    <t>LAMAC, KATE RESURRECCION</t>
  </si>
  <si>
    <t>LARRAQUEL, OLIVIA OLIVA</t>
  </si>
  <si>
    <t>Cielo Inc.</t>
  </si>
  <si>
    <t>LAZARTE, AICA ITURALDE</t>
  </si>
  <si>
    <t>LLANTE, JOHN PAUL LUMAGUI</t>
  </si>
  <si>
    <t>BCM MNL</t>
  </si>
  <si>
    <t>LOSANTAS, CRESELYN GEZZLE ANN OSMILLO</t>
  </si>
  <si>
    <t>MABUNGA, ANGEL MAE YAP</t>
  </si>
  <si>
    <t>CONCENTRIX, AYALA NORTH EXCHANGE MAKATI</t>
  </si>
  <si>
    <t>MADRIAGA, VINCE JUSTIN ROLAND SALAMAT</t>
  </si>
  <si>
    <t>MAGALANG, XYRYN JAYNE BENESISTO</t>
  </si>
  <si>
    <t>MAGNO, RIZALYN MAAS</t>
  </si>
  <si>
    <t>MALARAYAP, APRIL ROSE ARGATE</t>
  </si>
  <si>
    <t>LMD PESO</t>
  </si>
  <si>
    <t>MALCO, ELLA SOPHIA VALDEPEÑA</t>
  </si>
  <si>
    <t>Department of Public Works and Highways</t>
  </si>
  <si>
    <t>MALIMATA, ARLETTE LABAYNA</t>
  </si>
  <si>
    <t>Alorica Philippines, MJ Plaza, Makati City</t>
  </si>
  <si>
    <t>MALUBAG, MARIENETH LALO</t>
  </si>
  <si>
    <t>MHRDC (DOST MIMAROPA)</t>
  </si>
  <si>
    <t>MAMENG, JOANNA LUHA</t>
  </si>
  <si>
    <t>SH ESL Center; 3202 Tycoon Center, Brgy. San Antonio, Pearl Drive St; Pasig City</t>
  </si>
  <si>
    <t>MANLISIS, JOHN EARL MARTINEZ</t>
  </si>
  <si>
    <t>Marinduque Midwest College</t>
  </si>
  <si>
    <t>MARQUEZ, IRISH CUETO</t>
  </si>
  <si>
    <t>Adi’s Resort, Hotel and Restaurant</t>
  </si>
  <si>
    <t>MASCAREÑAS, CLARISSA MACALOOD</t>
  </si>
  <si>
    <t>Marinduque Provincial Capitol</t>
  </si>
  <si>
    <t>MASCULINO, DANNICAH MABUNGA</t>
  </si>
  <si>
    <t>Progrizive Inc.</t>
  </si>
  <si>
    <t>MEDINA, SHENA-MAY FELLIZAR</t>
  </si>
  <si>
    <t>Marinduque Provincial Capitol PESO Office</t>
  </si>
  <si>
    <t>MENDEJA, JERMELYN LOLONG</t>
  </si>
  <si>
    <t>Concentrix CVG Philippines</t>
  </si>
  <si>
    <t>MENDOZA, DONNA RIO SALMORIN</t>
  </si>
  <si>
    <t>TeleTech</t>
  </si>
  <si>
    <t>MILITAR, KIMBERLYN RAYOS</t>
  </si>
  <si>
    <t>MONTALBAN, DONNA LUMABAN</t>
  </si>
  <si>
    <t>ESTI Boac</t>
  </si>
  <si>
    <t>MORONG, BENILDA MORALES</t>
  </si>
  <si>
    <t>PARALEJAS, PRINCESS JANE MALIMATA</t>
  </si>
  <si>
    <t>PASTORFIDE, MARIELLE PORTENTO</t>
  </si>
  <si>
    <t>HRD Singapore Pte., Ltd.
Block 3 Cavite Economic Zone II General Trias Philippines</t>
  </si>
  <si>
    <t>PEREDA, CHRISTINE JOY PIZARRA</t>
  </si>
  <si>
    <t>REY, EVELYN MATRE</t>
  </si>
  <si>
    <t>Minido Preschool, Inc. Isok 1 Boac</t>
  </si>
  <si>
    <t>ROLDAN, ANGELICA ROBLES</t>
  </si>
  <si>
    <t>ENOZ English Philippines Incorporated, Pasig City</t>
  </si>
  <si>
    <t>ROLDAN, PRINCESS MAMADOR</t>
  </si>
  <si>
    <t>LAMCOR</t>
  </si>
  <si>
    <t>SALAZAR, KYLA MARIE MAGALANG</t>
  </si>
  <si>
    <t>BCM Manila; Ortigas Pasig</t>
  </si>
  <si>
    <t>SALES, CHARLYNN MAY ECHON</t>
  </si>
  <si>
    <t>SARMIENTO, VIDA LLENA GARCIA</t>
  </si>
  <si>
    <t>SEMILLA, HAYDEN SAPUNGAN</t>
  </si>
  <si>
    <t>Marinduque Council for Environmental Concerns</t>
  </si>
  <si>
    <t>SOLSONA, EDELYN FAJUTAG</t>
  </si>
  <si>
    <t>TOLENTINO, DANICA ZOLETA</t>
  </si>
  <si>
    <t>Card Bank Inc.</t>
  </si>
  <si>
    <t>VILLARON, MITCH JENNY PUENTE</t>
  </si>
  <si>
    <t>Romantic Baboy</t>
  </si>
  <si>
    <t>VILLAVICENCIO, WELUCIE JOY QUIJANO</t>
  </si>
  <si>
    <t>LGU Buenavista</t>
  </si>
  <si>
    <t>WAQUIZ, DEENA LIGGAYU</t>
  </si>
  <si>
    <t>SH ESL, Inc.</t>
  </si>
  <si>
    <t>Bachelor of Science in Social Work</t>
  </si>
  <si>
    <t>ALCARAZ, FRED JAY</t>
  </si>
  <si>
    <t>ARELLANO, RHEA MAE LAGUIAB</t>
  </si>
  <si>
    <t>Tulay ng Kabataan Foundation Inc.</t>
  </si>
  <si>
    <t>EBERO, DIANNE LAFUENTE</t>
  </si>
  <si>
    <t>Tulay ng Kabataan Foundation, Inc
#94 Kalayaan Avenue Diliman Quezon City</t>
  </si>
  <si>
    <t>ESMEDIANA, ANDITA PATROCINIO</t>
  </si>
  <si>
    <t>ESTRADA, JULIUS LARRACAS</t>
  </si>
  <si>
    <t>Asa Philippines Foundations Inc.</t>
  </si>
  <si>
    <t>FABUL, ROSALIE YANSON</t>
  </si>
  <si>
    <t>HOLISTIC APPROACH SYSTEMS</t>
  </si>
  <si>
    <t>FERRER, APPLE JOY SOLAS</t>
  </si>
  <si>
    <t>HERNANDEZ, MARIA LOREN MONTECLARO</t>
  </si>
  <si>
    <t>JALIMBAWA, NAIRA LINGA</t>
  </si>
  <si>
    <t>CITYSUPER ALABANG LANDMARK INC</t>
  </si>
  <si>
    <t>JANDULONG, MARION GRACE LINGA</t>
  </si>
  <si>
    <t>JINANG, BABELYN REGIS</t>
  </si>
  <si>
    <t>JULAO, MHARVIN ENRIQUEZ</t>
  </si>
  <si>
    <t>Sim Insurance Management Services (Gasan,Marinduque)</t>
  </si>
  <si>
    <t>JUSTINIANO, JOMEL FERRER</t>
  </si>
  <si>
    <t>LAMAC, MARY ANN MENDEJA</t>
  </si>
  <si>
    <t>PSWD- Silungan Center / Capitol, Santol, Boac</t>
  </si>
  <si>
    <t>LARGA, MONICA SADIWA</t>
  </si>
  <si>
    <t>LARGADO, COLEEN MASCAREÑAS</t>
  </si>
  <si>
    <t>DEPARTMENT OF SOCIAL WELFARE AND DEVELOPMENT NATIONAL CAPITAL REGION</t>
  </si>
  <si>
    <t>LARGADO, JOHN JOSHUA DIAZ</t>
  </si>
  <si>
    <t>DSWD-NCR</t>
  </si>
  <si>
    <t>LEYNES, BERNADINE SUENO</t>
  </si>
  <si>
    <t>Department of Social Welface and Development - National Capital Region /DSWD-NCR</t>
  </si>
  <si>
    <t>LOTILLA, XANDRA LEI ANN MANUBA</t>
  </si>
  <si>
    <t>MSWDO- Marketsit, Mogpog Marinduque</t>
  </si>
  <si>
    <t>LOTO, FRISAME HINTAY</t>
  </si>
  <si>
    <t>LOTO, JAY-FREY FLORALDE</t>
  </si>
  <si>
    <t>LUCI, JOANA REY HERNANDEZ</t>
  </si>
  <si>
    <t>MAAPOY, DIANA ROSE MELAYO</t>
  </si>
  <si>
    <t>Municipality of Mogpog- LDRRMO</t>
  </si>
  <si>
    <t>MABANGO, MIEKO LARGO</t>
  </si>
  <si>
    <t>MABATO, JESSIECA REJANO</t>
  </si>
  <si>
    <t>MABUNGA, CATHERINE SOLAS</t>
  </si>
  <si>
    <t>DSWD / Santol, Boac Marinduque</t>
  </si>
  <si>
    <t>MACALOOD, RECCA MAE LUISAGA</t>
  </si>
  <si>
    <t>MAHAGUAY, LENY</t>
  </si>
  <si>
    <t>MALAPIT, GARRET LOISE NARDO</t>
  </si>
  <si>
    <t>Philippine Statistic Authority</t>
  </si>
  <si>
    <t>MALAYLAY, MARYLYN MONGOC</t>
  </si>
  <si>
    <t>Municipality of Mogpog; Marinduque</t>
  </si>
  <si>
    <t>MALAYLAY, ROSSINI AGUILAR</t>
  </si>
  <si>
    <t>Marina Hotel</t>
  </si>
  <si>
    <t>MALITAO, ANGELICA ROSE MATAYA</t>
  </si>
  <si>
    <t>Department of Social Welfare and Development</t>
  </si>
  <si>
    <t>MAMING, JOSEPH PRIEVE</t>
  </si>
  <si>
    <t>National Housing Authority; Maharlika, Taguig City</t>
  </si>
  <si>
    <t>MANTAL, MARY JOY REANZARES</t>
  </si>
  <si>
    <t>Municipality of Torrijos, Poblacion, Torrijos, Marinduque</t>
  </si>
  <si>
    <t>MANUBAC, AL-AMAR PAREDES</t>
  </si>
  <si>
    <t>PAIR CARGO</t>
  </si>
  <si>
    <t>MARCELO, JOSHUA BUTLER</t>
  </si>
  <si>
    <t>MUNICIPAL SOCIAL WELFARE AND DEVELOPMENT OFFICE -LGU MOGPOG</t>
  </si>
  <si>
    <t>MARITANA, GERALDINE ROLLOQUE</t>
  </si>
  <si>
    <t>DOLE/ Santol,Boac, Marinduque</t>
  </si>
  <si>
    <t>MEDENILLA, FLORIE ANN SAPALLO</t>
  </si>
  <si>
    <t>Provincial social welfare and development office</t>
  </si>
  <si>
    <t>MEDIANA, DHAREL ROMASANTA</t>
  </si>
  <si>
    <t>ASA Philippine Foundation</t>
  </si>
  <si>
    <t>METIN, JUDY ANN LABOG</t>
  </si>
  <si>
    <t>LGU Torrijos/Municipal Social Welfare and Development Office</t>
  </si>
  <si>
    <t>MISTAL, MA. CAMILLE LOGMAO</t>
  </si>
  <si>
    <t>MOLBOG, JOY ANN MURILLO</t>
  </si>
  <si>
    <t>MOLBOG, MAE BERNADETTE ALVAREZ</t>
  </si>
  <si>
    <t>Canary Company</t>
  </si>
  <si>
    <t>MONTEAGUDO, JULIE MABUNGA</t>
  </si>
  <si>
    <t>MONTELLANO, LEAN MIRAMBIL</t>
  </si>
  <si>
    <t>MONTERAS, KRISZA JANE MERCENE</t>
  </si>
  <si>
    <t>MORALES, JOHN FRANCIS SOTTA</t>
  </si>
  <si>
    <t>NALING, WHYN CHEE LEYNES</t>
  </si>
  <si>
    <t>Marinduque State College, Office of Human Resource Management &amp; Development Office, Tanza Boac Marinduque</t>
  </si>
  <si>
    <t>NAMBIO, JULIE ANN MAMING</t>
  </si>
  <si>
    <t>OGAYRE, RHIENA ANN MERENCILLO</t>
  </si>
  <si>
    <t>Mission to the World Philippine Foundation Inc.,</t>
  </si>
  <si>
    <t>ORENCIO, SHANIA SHANE MARCIANO</t>
  </si>
  <si>
    <t>ORNOS, KHERLYN TALOZA</t>
  </si>
  <si>
    <t>PAMFILO, MARIVIC JANDUSAY</t>
  </si>
  <si>
    <t>MUNICIPAL SOCIAL WELFARE AND DEVELOPMENT OFFICE (MSWDO) - Torrijos</t>
  </si>
  <si>
    <t>PARAS, MARY LOU LABAGUIS</t>
  </si>
  <si>
    <t>PASTRANA, DARYL JAY MANDALIHAN</t>
  </si>
  <si>
    <t>GT Istruktura</t>
  </si>
  <si>
    <t>PESTAÑO, VIRL RICH DIANNE NAVISA</t>
  </si>
  <si>
    <t>Municipality of Buenavista</t>
  </si>
  <si>
    <t>PRIVADO, JENNY SALES</t>
  </si>
  <si>
    <t>QUIJANO, JENNY LYN MAGDALITA</t>
  </si>
  <si>
    <t>REGENCIA, RACHIELLE ANN ITURALDE</t>
  </si>
  <si>
    <t>MSWDO-Sta.Cruz</t>
  </si>
  <si>
    <t>REJANO, DIANNE JOY DIANGCO</t>
  </si>
  <si>
    <t>RILI, MARIA MECAELA MARMOL</t>
  </si>
  <si>
    <t>RIOFLORIDO, ZYRELLE MAE</t>
  </si>
  <si>
    <t>Marinduque State College Office of the College President Tanza, Boac, Marinduque</t>
  </si>
  <si>
    <t>RODELAS, JESSA MANGUERA</t>
  </si>
  <si>
    <t>SADIUA, JERICKA PILAR</t>
  </si>
  <si>
    <t>SAJUL, MA. PRINCESS LINGA</t>
  </si>
  <si>
    <t>SAPORNA, KRISTINE MANAHAN</t>
  </si>
  <si>
    <t>SARIO, JOHN ROBERT ROMEY</t>
  </si>
  <si>
    <t>SAYASA, LANIE SELDAS</t>
  </si>
  <si>
    <t>VILLAVICENCIO, IVIE SEVILLA</t>
  </si>
  <si>
    <t>VITTO, RONABELLE ROCHA</t>
  </si>
  <si>
    <t>ABRENCILLO, MARK JOVIL LARGA</t>
  </si>
  <si>
    <t>Philippine Iron Construction and Marine Works, Inc.</t>
  </si>
  <si>
    <t>ALMONTE, DARYL DAVE RECTO</t>
  </si>
  <si>
    <t>ALMONTE, MCNEIEL ROGEL</t>
  </si>
  <si>
    <t>FFCRUZ &amp; CO., INC., 800 EDSA, West Camias, Quezon City</t>
  </si>
  <si>
    <t>BABIERA, JANNETTE LABAY</t>
  </si>
  <si>
    <t>SUNWEST Construction Company and Corporation</t>
  </si>
  <si>
    <t>BARDELOSA, MICHAEL JOSHUA JUAN</t>
  </si>
  <si>
    <t>BEREBER, ANNA MARGARITA MANTARING</t>
  </si>
  <si>
    <t>Bauer Foundations Philippines Inc.</t>
  </si>
  <si>
    <t>BERSOTO, JAY RYAN MIRANDA</t>
  </si>
  <si>
    <t>GTJ CONSTRUCTION, Burgos St., Brgy. Pag asa, Sta. Cruz, Marinduque</t>
  </si>
  <si>
    <t>BUNDALIAN, SHIRIN BELANO</t>
  </si>
  <si>
    <t>CAMAY, BRIAN REVILLA</t>
  </si>
  <si>
    <t>Marinduque Technical Training Center; Napo, Santa Cruz,</t>
  </si>
  <si>
    <t>CASTILLO, LYZA MARIE FERRER</t>
  </si>
  <si>
    <t>CFC Fiber Construction Corporation/ Fairview QC</t>
  </si>
  <si>
    <t>CASTILLO, MARC ERIS PERMEJO</t>
  </si>
  <si>
    <t>KMDI; QUEZON CITY</t>
  </si>
  <si>
    <t>CLUTARIO, MARLON LEYNES</t>
  </si>
  <si>
    <t>Petron Mega Plaza, Makati</t>
  </si>
  <si>
    <t>CUADRASAL, RIZAL DEE LAMOC</t>
  </si>
  <si>
    <t>DPWH-MarDEO, Bambangalon,</t>
  </si>
  <si>
    <t>DE CLARO, MARK ARON HERNANDEZ</t>
  </si>
  <si>
    <t>Sunwest Construction</t>
  </si>
  <si>
    <t>DELA ROSA, MACARIO MARTICIO</t>
  </si>
  <si>
    <t>JER CONSULT CORP. PROJECT MANAGER</t>
  </si>
  <si>
    <t>DELOS REYES, JAIME MASCAREÑAS</t>
  </si>
  <si>
    <t>DY, OLIVERIA, JANE VIBAR</t>
  </si>
  <si>
    <t>Kengi Timber Manufacturing (KTM) Lambaréné, Gabon</t>
  </si>
  <si>
    <t>FADRIQUELA, LEONIZA MORALES</t>
  </si>
  <si>
    <t>GROUNDWORX CONSTRUCTION (LAGRO, QUEZON CITY)</t>
  </si>
  <si>
    <t>FIDELINO, CYRUS JAY MABUNGA</t>
  </si>
  <si>
    <t>Formtech Builders Corp.</t>
  </si>
  <si>
    <t>GUEVARA, MC DANIEL SEÑO</t>
  </si>
  <si>
    <t>GTJ Construction; Pagasa Sta. Cruz Marinduque</t>
  </si>
  <si>
    <t>HERNANDEZ, KIM ALEXIS SOLITO</t>
  </si>
  <si>
    <t>MILITARY/PASAY CITY</t>
  </si>
  <si>
    <t>HISTORILLO, ROY ARVIN CUETO</t>
  </si>
  <si>
    <t>HIZOLE, NEIL DARROLD JARABE</t>
  </si>
  <si>
    <t>makati City</t>
  </si>
  <si>
    <t>JAMILLA, PRINCE IAN ROMASANTA</t>
  </si>
  <si>
    <t>TRIPLE JOHNES Q. CONSTRUCTION/Lipa, Sta. Cruz, Marinduque</t>
  </si>
  <si>
    <t>JASA, AIDA OLANDA</t>
  </si>
  <si>
    <t>Monocrete Construction Philippines Inc./ Taguig City</t>
  </si>
  <si>
    <t>JASMIN, JIMUELLE JAN JIMENA</t>
  </si>
  <si>
    <t>JAVIER, CHRISTINE SHAIRA JOY ROSALES</t>
  </si>
  <si>
    <t>JUSTINIANO, ALLETTE MARIE MALVAR</t>
  </si>
  <si>
    <t>Monocrete Construction Philippines Inc.</t>
  </si>
  <si>
    <t>LABOG, JONATHAN MAMING</t>
  </si>
  <si>
    <t>Integrated Contractor and Plumbing Works Inc.; Quezon City</t>
  </si>
  <si>
    <t>LAGRIA, AARON JOSHUA JALOS</t>
  </si>
  <si>
    <t>Bauer Foundation Philippines Inc.</t>
  </si>
  <si>
    <t>LALIC, CHRISMEL SEÑO</t>
  </si>
  <si>
    <t>Cii AC Facade Philippines Inc; Lawang Bato, Valenzuela City</t>
  </si>
  <si>
    <t>LAMAC, ELVIE ROMEROSO</t>
  </si>
  <si>
    <t>DPWH Marinduque DEO; Bangbangalon, Boac, Marinduque</t>
  </si>
  <si>
    <t>LANARIO, CLARISSE JOY SANTOS</t>
  </si>
  <si>
    <t>Mevbuilt Incorporated</t>
  </si>
  <si>
    <t>LARGADO, GRACE NOREEN OLA</t>
  </si>
  <si>
    <t>JIMonsanto</t>
  </si>
  <si>
    <t>LASAC, JOSEPH ERNESTO HIRONDO</t>
  </si>
  <si>
    <t>Sunwest Construction &amp; Development Corporation</t>
  </si>
  <si>
    <t>LAURENTE, DAVE LAURENZE MOGOL</t>
  </si>
  <si>
    <t>Licton Industrial Corp. Valenzuela City</t>
  </si>
  <si>
    <t>LEDESMA, PRINCESS MAE MARQUEZ</t>
  </si>
  <si>
    <t>RS Tagala , Isok2 Boac ,Marinduque</t>
  </si>
  <si>
    <t>LICON, PATRICIA JOY MAMADOR</t>
  </si>
  <si>
    <t>LITONJUA, MARYKHYLE GAYUTIN</t>
  </si>
  <si>
    <t>LOGDAT, KRIZZA MAY ZULUETA</t>
  </si>
  <si>
    <t>MAAC, KIMBERLY LIWANAGAN</t>
  </si>
  <si>
    <t>GT-Istruktura Corp./ #6Lt. L. Wood Admiral Village Brgy. Dolores Taytay Rizal</t>
  </si>
  <si>
    <t>MABIOG, ROMEO Jr. FRIAS</t>
  </si>
  <si>
    <t>Dominic Construction, Inc.; Mandaluyong City</t>
  </si>
  <si>
    <t>MABUTE, MONA LIMPIADA</t>
  </si>
  <si>
    <t>MADRIÑO, RIO OGAYRE</t>
  </si>
  <si>
    <t>Sunwest Construction and Development Corp</t>
  </si>
  <si>
    <t>MAGCAMIT, RICHEL MEDENILLA</t>
  </si>
  <si>
    <t>Elry Consumer good Trading</t>
  </si>
  <si>
    <t>MAGYAYA, JEAN MARIE MAÑANITA</t>
  </si>
  <si>
    <t>Marinduque Provincial Government - Provincial Engineer's Office</t>
  </si>
  <si>
    <t>MAJABA, AR JAY SALES</t>
  </si>
  <si>
    <t>SCDC Marinduque Bangbangalon Boac</t>
  </si>
  <si>
    <t>MALACAS, LERIO ANN CLAIRE MABUTI</t>
  </si>
  <si>
    <t>Magnetron Development and Construction Corporation; Boac,</t>
  </si>
  <si>
    <t>MALANGIS, CLAIRE DIANNE MAYO</t>
  </si>
  <si>
    <t>Marinduque State College - Physical Plant Management</t>
  </si>
  <si>
    <t>MAMING, ROLAN REY</t>
  </si>
  <si>
    <t>MAMPUSTI, ABIGAIL FRANCISCO</t>
  </si>
  <si>
    <t>MAMPUSTI, HERAND MATAAC</t>
  </si>
  <si>
    <t>MANGANA, HERSHEY LOGMAO</t>
  </si>
  <si>
    <t>RSME Tech / Las Piñas</t>
  </si>
  <si>
    <t>MANTAL, HAZEL JOY AZORES</t>
  </si>
  <si>
    <t>JS &amp; V Construction Company</t>
  </si>
  <si>
    <t>MARINDUQUE, MYRLA SALIBIO</t>
  </si>
  <si>
    <t>Sto. Cristo Construction and Trading Inc.; Bataan/ Lipa,SCM</t>
  </si>
  <si>
    <t>MASANGKAY, JOHN RICK ANTAZO</t>
  </si>
  <si>
    <t>MASCAREÑAS, MONETTE MIRANDA</t>
  </si>
  <si>
    <t>Wall Vision Corp.</t>
  </si>
  <si>
    <t>MASCAREÑAS, TYRONE KIM MANDAC</t>
  </si>
  <si>
    <t>LGU BOAC</t>
  </si>
  <si>
    <t>MAUZAR, RONNEL PANTOJA</t>
  </si>
  <si>
    <t>Build Great Construction and Decoration , Taguig, Metro-Manila</t>
  </si>
  <si>
    <t>MENDEJA, PAUL JOHN M.</t>
  </si>
  <si>
    <t>MENDOZA, EARLJOHN MARL MACAYAON</t>
  </si>
  <si>
    <t>MERCOLESIA, LYNETTE LINGON</t>
  </si>
  <si>
    <t>MIAO, MERNIE OGAYRE</t>
  </si>
  <si>
    <t>Elite-Betans;Quezon City</t>
  </si>
  <si>
    <t>MOGOL, DEMIEL JOHN SADIM</t>
  </si>
  <si>
    <t>Selegna Construction Corporation / Gil Puyat Ave. Makati City</t>
  </si>
  <si>
    <t>MOGOL, JOHN DAVID YANCHA</t>
  </si>
  <si>
    <t>MOLATO, CARLO NUÑEZ</t>
  </si>
  <si>
    <t>RFViñas Construction</t>
  </si>
  <si>
    <t>MOLBOG, JIENRICH MARCKOE REVILLA</t>
  </si>
  <si>
    <t>MOLBOG, SAYEEH DIANNE MILAMBILING</t>
  </si>
  <si>
    <t>DPWH Brgy. Bangbangalon, Boac, Marinduque</t>
  </si>
  <si>
    <t>MOLBOG, WENDY PALOMARES</t>
  </si>
  <si>
    <t>Provincial Engrng Office</t>
  </si>
  <si>
    <t>MOLDON, JESTONI MANGAOANG</t>
  </si>
  <si>
    <t>MSC - Physical Plant Management Office</t>
  </si>
  <si>
    <t>MONCADA, JOHN LEO ORTEGA</t>
  </si>
  <si>
    <t>Department of Public Works and Highways(Marinduque)</t>
  </si>
  <si>
    <t>MONTALBAN, RHUELICHU MUTYA</t>
  </si>
  <si>
    <t>MONTARIN, JOCELLE CASTILLO</t>
  </si>
  <si>
    <t>MONTAS, EUGENE MONTIEL</t>
  </si>
  <si>
    <t>JB KONSTRUCTURA</t>
  </si>
  <si>
    <t>MONTERA, JAYLORD OCAMPO</t>
  </si>
  <si>
    <t>MORALES, ALYZA MALANGIS</t>
  </si>
  <si>
    <t>MOREDO, CHRISTINE MAE MAGALANG</t>
  </si>
  <si>
    <t>Kenneth &amp; Mock Designs Inc. / 8 Mercury Bagumbayan, Quezon City</t>
  </si>
  <si>
    <t>MORENO, JOLINA MAAÑO</t>
  </si>
  <si>
    <t>KCD Builders Corporation, Laguna</t>
  </si>
  <si>
    <t>MOTOL, SHERLY ANN PASTORAL</t>
  </si>
  <si>
    <t>Municipl Engeneering Office</t>
  </si>
  <si>
    <t>NABARTEY, GLENN MUHI</t>
  </si>
  <si>
    <t>RR Encabo Constructors, Inc.</t>
  </si>
  <si>
    <t>NAMBIO, JOHN ROBERT TRESQUEO</t>
  </si>
  <si>
    <t>NEPOMUCENO, AUBREY LOGMAO</t>
  </si>
  <si>
    <t>Formtech Builders Corp / San Andre Bukid, Malate Manila</t>
  </si>
  <si>
    <t>NERVIOL, JOWENA MABUTE</t>
  </si>
  <si>
    <t>Multi Development and Construction Corporation (MDCC) Company address: 11F clipp center, 11f ave. cor. 39th st BGC, taguig city Project Site: okada manila (manila bay resort)</t>
  </si>
  <si>
    <t>NIEVA, JENNIFER</t>
  </si>
  <si>
    <t>Kenneth &amp; Mock Designs, Inc. 8 Mercury Avenue, Bagumbayan, Quezon City</t>
  </si>
  <si>
    <t>NUÑEZ, VAL JOSEPH MANGALINDAN</t>
  </si>
  <si>
    <t>OLIVAR, LORRAINE ANN OCENA</t>
  </si>
  <si>
    <t>E.F.C. Construction</t>
  </si>
  <si>
    <t>OLPOT, AHRA LORAINE MACABIOG</t>
  </si>
  <si>
    <t>OLPOT, JOHN HERBERT MALABAYABAS</t>
  </si>
  <si>
    <t>ICPWI/Quezon City</t>
  </si>
  <si>
    <t>OSMILLO, JAY CHRISTIAN MAGCAMIT</t>
  </si>
  <si>
    <t>Handiture Builders Corp.</t>
  </si>
  <si>
    <t>PACRIS, JAYSUN LANARIO</t>
  </si>
  <si>
    <t>Colliers International Philippines Inc. assigned at Idesia Dasmariñas Cavite</t>
  </si>
  <si>
    <t>PAHILAGMAGO, JENEL REPOBLO</t>
  </si>
  <si>
    <t>GBCCGI , Quezon City</t>
  </si>
  <si>
    <t>PAMPOLA, JEROME KEVEN FIECAS</t>
  </si>
  <si>
    <t>CLM Builders</t>
  </si>
  <si>
    <t>PARIÑO, RODERICK FAJUTAGANA</t>
  </si>
  <si>
    <t>RS Tagala Corporation</t>
  </si>
  <si>
    <t>PEDERNAL, MARK VENCENT MAULA</t>
  </si>
  <si>
    <t>No.7b Balete Drive New Manila .Q.C</t>
  </si>
  <si>
    <t>PEÑA, RICA ADANA REGIS</t>
  </si>
  <si>
    <t>Department of Public Works and Highways Marinduque</t>
  </si>
  <si>
    <t>PEÑAFLORIDA, ALVIN QUINDOZA</t>
  </si>
  <si>
    <t>Primus @Knowledge Specialist Inc. 3rd flr OAC bldg. San Miguel Ave. Ortigad Center Pasig City.</t>
  </si>
  <si>
    <t>PEREGRIN, ISRAEL HERNANDEZ</t>
  </si>
  <si>
    <t>GTJ Constructions Brgy. Pag-asa, Sta. Cruz</t>
  </si>
  <si>
    <t>PINEDA, JUDIETH REGENCIA</t>
  </si>
  <si>
    <t>Triple Johnes Q. Construction Lipa, Sta. Cruz, Marinduque</t>
  </si>
  <si>
    <t>PROFUGO, SIR JOHN REYES</t>
  </si>
  <si>
    <t>RR Encabo Constructors Inc. #40 Ashley st., North Fairview Subd., Quezon City</t>
  </si>
  <si>
    <t>QUARTEROS, CHARLENE AMPELOQUIO</t>
  </si>
  <si>
    <t>JQG Construction</t>
  </si>
  <si>
    <t>RABAGO, MA. MANETH NECESARIO</t>
  </si>
  <si>
    <t>FORMTECH BUILDERS CORP / RM 204 DONA MERCEDES BLDG. SAN ANDRES MALATE MANILA</t>
  </si>
  <si>
    <t>RABE, SHAWLIN LANDOY</t>
  </si>
  <si>
    <t>Multi Development and Construction Corporation</t>
  </si>
  <si>
    <t>REAÑO, Jr. RODOLFO VILLALVA</t>
  </si>
  <si>
    <t>Forest Lake Dev. Inc.</t>
  </si>
  <si>
    <t>REGENCIA, MELSUETO DIONA</t>
  </si>
  <si>
    <t>CONDE CONSTRUCTION, TAYABAS QUEZON CITY</t>
  </si>
  <si>
    <t>REGENCIA, VIEL JANDEE LAMPAS</t>
  </si>
  <si>
    <t>DD Rosal Construction</t>
  </si>
  <si>
    <t>REJANO, ROMNICK JAY REY</t>
  </si>
  <si>
    <t>WALL VISION CORP. ,SANDOVAL PINAGBUHATAN PASIG CITY</t>
  </si>
  <si>
    <t>REYES, JOHN VINCENT BALGUA</t>
  </si>
  <si>
    <t>PHILIPPINE POWER INDUSTRIES CORPORATION NO.16 MOTHER IGNACIA ST. 4th flr. Norfil Building Quezon City.</t>
  </si>
  <si>
    <t>RICAMARA, JOHN REVEE PLATA</t>
  </si>
  <si>
    <t>RR Encabo Constructors Inc.</t>
  </si>
  <si>
    <t>RICAPLAZA, JESSELLE PALMA</t>
  </si>
  <si>
    <t>RIOFLORIDO, FAYE STEPHANIE REY</t>
  </si>
  <si>
    <t>2294 ALEGRIA ALTA BLDG. MAKATI CITY</t>
  </si>
  <si>
    <t>RIVADENIERA, TRISHA MARIE DE MESA</t>
  </si>
  <si>
    <t>RIVADINIERA, REGIRALD LABATETE</t>
  </si>
  <si>
    <t>FIRST MAKEEN construction. Boac Marinduque
2021 Blue eagle cobstruction. Santa Cruz, Marinduque</t>
  </si>
  <si>
    <t>ROBLES, SHERYL VIZARRA</t>
  </si>
  <si>
    <t>Performance Builders &amp; Developers Corp. #34 Emerald St. Fairview Quezon City</t>
  </si>
  <si>
    <t>RODELAS, JEREMIAH LOPEZ</t>
  </si>
  <si>
    <t>Smart Virtual Assistants / Ohio USA</t>
  </si>
  <si>
    <t>RODRIGUEZ, MAUREEN MISTIOLA</t>
  </si>
  <si>
    <t>MDCC</t>
  </si>
  <si>
    <t>ROSALES, DARYL ANDRE MELECIA</t>
  </si>
  <si>
    <t>DMCI Homes</t>
  </si>
  <si>
    <t>SACE, ARIANNE MAY SADIWA</t>
  </si>
  <si>
    <t>SADIAN, AUBREY MARIA LOUISE SAWAY</t>
  </si>
  <si>
    <t>SANTOS, JOSHUA REYDEN OSORIO</t>
  </si>
  <si>
    <t>SAPUNGAN, MARK JAYSON TAN</t>
  </si>
  <si>
    <t>JFAM Construction Services/ Pasay City</t>
  </si>
  <si>
    <t>SERDEÑA, SHIELA MARIE SANCHEZ</t>
  </si>
  <si>
    <t>SOLOMON, MIKEE CAPARAS</t>
  </si>
  <si>
    <t>SOTTA, JAYRALD MONTOYA</t>
  </si>
  <si>
    <t>Engineer City Hall of Antipolo, ANTIPOLO CITY, RIZAL</t>
  </si>
  <si>
    <t>JINANG, JOANNE MARIE MANLISIS</t>
  </si>
  <si>
    <t>Great Idea Business Solutions corp. / Antipolo City, Rizal</t>
  </si>
  <si>
    <t>LALATA, MARY GRACE MAUZAR</t>
  </si>
  <si>
    <t>QROI Network Services Inc.</t>
  </si>
  <si>
    <t>MAALINDOG, JOSE FRANCO DE MESA</t>
  </si>
  <si>
    <t>Motorcentral Group Company ( Star Honda)</t>
  </si>
  <si>
    <t>MEDENILLA, DOHN ROBERT SAN JUAN</t>
  </si>
  <si>
    <t>PHIVOLCS - C.P. Garcia Ave., Diliman, Quezon City</t>
  </si>
  <si>
    <t>MONLEON, CHARLES DARWIN QUINTO</t>
  </si>
  <si>
    <t>Fuji Xerox Document Management Solutions</t>
  </si>
  <si>
    <t>NAMBIO, JOHN MAR ABAINZA</t>
  </si>
  <si>
    <t>Anjel's PC Care &amp; Gen. Mdse.</t>
  </si>
  <si>
    <t>PADASAS, ALESSANDRA MAE MENORCA</t>
  </si>
  <si>
    <t>PAGUYAN, MIKE LIMBO</t>
  </si>
  <si>
    <t>ZTE Philippines Inc. /Cebu Business Park, Cebu City, Cebu</t>
  </si>
  <si>
    <t>REGENCIA, BRYLE CHRISTIAN PALENTINO</t>
  </si>
  <si>
    <t>First Life Financial Co Inc.</t>
  </si>
  <si>
    <t>SEDA, DHOREEN FAYE SIENA</t>
  </si>
  <si>
    <t>QROi Network Services, Inc.</t>
  </si>
  <si>
    <t>SENA, ELEAH GRACIEL MAPACPAC</t>
  </si>
  <si>
    <t>DPWH, Marinduque DEO</t>
  </si>
  <si>
    <t>BUÑAG, JHON ROHNELL MOGOL</t>
  </si>
  <si>
    <t>FURTO, FORTUNATO BOY STO. DOMINGO</t>
  </si>
  <si>
    <t>Megawide Construction Corporation</t>
  </si>
  <si>
    <t>JAWILI, CHRISTIAN BALDE</t>
  </si>
  <si>
    <t>URC</t>
  </si>
  <si>
    <t>LAMPAS, EDESSA JANE MARASIGAN</t>
  </si>
  <si>
    <t>Hyatt Elevators and Escalators Corporation; Mandaluyong City</t>
  </si>
  <si>
    <t>LARGADO, PATRICK LOUIS SADIM</t>
  </si>
  <si>
    <t>LAROSA, RHEA JAMBALOS</t>
  </si>
  <si>
    <t>Gigatech. Inc. (Paranaque City)</t>
  </si>
  <si>
    <t>LIVELO, KELVIN MALINAO</t>
  </si>
  <si>
    <t>NPC - Boac Diesel Power Plant</t>
  </si>
  <si>
    <t>LIWANAGAN, ANGEL JHUN RIOFLORIDO</t>
  </si>
  <si>
    <t>LOXON PHILIPPINES inc. Pasig city</t>
  </si>
  <si>
    <t>MABUTE, CHRISTOPHER NOEL DEL MUNDO</t>
  </si>
  <si>
    <t>LGB ECBS INC. SOCORRO CUBAO QUEZON CITY</t>
  </si>
  <si>
    <t>MACDON, ANGELO ELLAMIL</t>
  </si>
  <si>
    <t>ROMAGO INC.</t>
  </si>
  <si>
    <t>MALAGOTNOT, JERIL LUHA</t>
  </si>
  <si>
    <t>MERENCILLO, JHENER DE CHAVEZ</t>
  </si>
  <si>
    <t>Sun Valley Drive Paranaque City</t>
  </si>
  <si>
    <t>MUHI, JOHN EDZEL JOGNO</t>
  </si>
  <si>
    <t>DPWH - Bangbangalon, Boac, Marinduque</t>
  </si>
  <si>
    <t>PALERMO, LEMUEL JIMENEZ</t>
  </si>
  <si>
    <t>PEDERNAL, RAZEL VILLANUEVA</t>
  </si>
  <si>
    <t>PEREZ, JHUD MENDRICK GUEVARRA</t>
  </si>
  <si>
    <t>PERLAS, JENELLE MANUBA</t>
  </si>
  <si>
    <t>GT Istruktura Corp.</t>
  </si>
  <si>
    <t>PIELAGO, JULIE ANN REA</t>
  </si>
  <si>
    <t>NPC</t>
  </si>
  <si>
    <t>PIELAGO, ROWEL REA</t>
  </si>
  <si>
    <t>REANZARES, JESSA PAR</t>
  </si>
  <si>
    <t>Municipality of Torrijos</t>
  </si>
  <si>
    <t>RECALDE, MARK JAYSON PIGUERRA</t>
  </si>
  <si>
    <t>Park Trade Center, Ayala Alabang</t>
  </si>
  <si>
    <t>REGENCIA, RODERICK PIGUERRA</t>
  </si>
  <si>
    <t>Floshbuilt Corp.</t>
  </si>
  <si>
    <t>REGIO, GUILMAR JOHN PUERTOLLANO</t>
  </si>
  <si>
    <t>RODRIGUEZ, BERNARD MALIKSI</t>
  </si>
  <si>
    <t>Emperador Distillers Inc. Binan City, Laguna</t>
  </si>
  <si>
    <t>ROMASANTA, MONICA PALOMARES</t>
  </si>
  <si>
    <t>ROSALES, JOMAR ZULUETA</t>
  </si>
  <si>
    <t>Netsolar Inc. Ortigas Pasig City</t>
  </si>
  <si>
    <t>SADICON, MAILA MABATO</t>
  </si>
  <si>
    <t>SAJUL, MARGIE MARAGGUN</t>
  </si>
  <si>
    <t>SOTTO, LEONEL OLIVEROS</t>
  </si>
  <si>
    <t>Bachelor of Science in Electronics &amp; Communication Engineering</t>
  </si>
  <si>
    <t>BUENAVENTURA, GIRLIE JARABE</t>
  </si>
  <si>
    <t>MSC/ Tanza, Boac</t>
  </si>
  <si>
    <t>JALOS, NYRELLE ATANACIO</t>
  </si>
  <si>
    <t>LABAGUIS, MARIA LUISA MENDOZA</t>
  </si>
  <si>
    <t>HUAWEI</t>
  </si>
  <si>
    <t>LUCI, RHICA MAE LOQUIDAS</t>
  </si>
  <si>
    <t>MANUBA, CHRISTIAN TABORNA</t>
  </si>
  <si>
    <t>MATAAC, KATHLEEN HALIBAS</t>
  </si>
  <si>
    <t>MEDINA, LESTER JAMES BAYONGASAN</t>
  </si>
  <si>
    <t>MILAMBILING, JESTAR NEIL DELA PEÑA</t>
  </si>
  <si>
    <t>MONTARIN, JUDY CASTILLO</t>
  </si>
  <si>
    <t>Accenture Inc., Boni Mandaluyong</t>
  </si>
  <si>
    <t>MONTIEL, LEXYL FRIAS</t>
  </si>
  <si>
    <t>NATAL, CHRISTIAN HERNANDEZ</t>
  </si>
  <si>
    <t>Wuhan Fiberhome Int'l Technologies Inc., 19D RUFINO PACIFIC TOWER, AYALA AVE., SAN LORENZO 1223, CITY OF MAKATI, NCR, FOURTH DISTRICT</t>
  </si>
  <si>
    <t>NAZARENO, ROSE ANN SARCIA</t>
  </si>
  <si>
    <t>NEPOMUCENO, ROMDEL SMYTH MANDALIHAN</t>
  </si>
  <si>
    <t>LGU Boac</t>
  </si>
  <si>
    <t>PARADERO, JEANETTE ROMASANTA</t>
  </si>
  <si>
    <t>Samsung Electro-Mechanics Philippines, CORP.</t>
  </si>
  <si>
    <t>PEÑARROYO, MONICA LABAGUES</t>
  </si>
  <si>
    <t>Provincial Capitol Boac Marinduque</t>
  </si>
  <si>
    <t>PIELAGO, MA. TRIZHA IVY MERCENE</t>
  </si>
  <si>
    <t>RODRIGUEZ, IVYLYN MALIKSI</t>
  </si>
  <si>
    <t>SOTTO, MARK ERWIN JAY OLIVEROS</t>
  </si>
  <si>
    <t>BUGAYONG, MICHAEL LAGATA</t>
  </si>
  <si>
    <t>Mccaferri / Biñan, Laguna</t>
  </si>
  <si>
    <t>DELA CRUZ, JOHN DIETER MENDIOLA</t>
  </si>
  <si>
    <t>JOGNO, RENZO MONGIS</t>
  </si>
  <si>
    <t>Airoclad Incorporated</t>
  </si>
  <si>
    <t>LABAGUIS, JOHN JAIRO VELASCO</t>
  </si>
  <si>
    <t>Municiplality of Mogpog</t>
  </si>
  <si>
    <t>LABAGUIS, MARK BRYAN MABOLO</t>
  </si>
  <si>
    <t>LABATETE, JOHN RAYMOND MAZON</t>
  </si>
  <si>
    <t>LABAY, RHON IVAN ZULUETA</t>
  </si>
  <si>
    <t>National Power Corporation (Jomalig Diesel Power Plant)</t>
  </si>
  <si>
    <t>LANOT, AUBREY MUHI</t>
  </si>
  <si>
    <t>LARGA, FREDDIE LAURESTA</t>
  </si>
  <si>
    <t>Bureau of Fire Protection /Brgy Parian Calamba Laguna City</t>
  </si>
  <si>
    <t>LOLONG, JOBERT LOVIDAD</t>
  </si>
  <si>
    <t>Integrated Construction and Plumbing Works Inc.</t>
  </si>
  <si>
    <t>MA. COLL, MARICEL BODANG</t>
  </si>
  <si>
    <t>MAPACPAC, JOHN ROMAR MEDENILLA</t>
  </si>
  <si>
    <t>MARIMON, PEPITO Jr. RELLIN</t>
  </si>
  <si>
    <t>METIN, HOMER LABOG</t>
  </si>
  <si>
    <t>MORALES, REYMARK PALO</t>
  </si>
  <si>
    <t>Accenture, Quezon City</t>
  </si>
  <si>
    <t>OLA, ALFREDO HANYVAL MAYORES</t>
  </si>
  <si>
    <t>OLA, JAYSON NISPEROS</t>
  </si>
  <si>
    <t>REDUGERIO, NIKKO LUISAGA</t>
  </si>
  <si>
    <t>SAGER, KELVIN JAMES SADICON</t>
  </si>
  <si>
    <t>Two-Year Associate in Civil Engineering</t>
  </si>
  <si>
    <t>LANDOY, RODELYN GOSTOER</t>
  </si>
  <si>
    <t>New Plaza Aurora Commercial Corporation</t>
  </si>
  <si>
    <t>ALVAREZ, KRISTINE JEWEL PEREDA</t>
  </si>
  <si>
    <t>Antipolo Doctors Hospital</t>
  </si>
  <si>
    <t>LADERAS, JAMES ANDREW VILLARUEL</t>
  </si>
  <si>
    <t>Antipolo Doctors Hospital (Brgy.San Roque, Lores Country Homes, Dollar Street Block23 Lot4, Antipolo Rizal)</t>
  </si>
  <si>
    <t>MANTARING, COLEEN REJANO</t>
  </si>
  <si>
    <t>antipolo doctors hospital/ manuel L quezon ext. Antipolo rizal</t>
  </si>
  <si>
    <t>MARCIANO, ROVELLE DEVEZA</t>
  </si>
  <si>
    <t>NAMBIO, ALYANNA BHIANCA JALAC</t>
  </si>
  <si>
    <t>YAÑEZ, STEPHANIE MIRALLES</t>
  </si>
  <si>
    <t>ST. LUKE'S MEDICAL CENTER-GLOBAL CITY 
32ND AND 5TH AVENUE, BONIFACIO GLOBAL CITY, TAGUIG CITY METRO MANILA</t>
  </si>
  <si>
    <t>ALCERA, JUDE ARAO</t>
  </si>
  <si>
    <t>ESPIRITU, ERNEST KARL ILLORIN</t>
  </si>
  <si>
    <t>Bureau of Fire Protection</t>
  </si>
  <si>
    <t>JALOS, ELLAINE MARTILLANO</t>
  </si>
  <si>
    <t>DBPSC</t>
  </si>
  <si>
    <t>LLAGUNO, AYA MAE SAGUID</t>
  </si>
  <si>
    <t>LLAVE, ROSE ANNE JANDUSAY</t>
  </si>
  <si>
    <t>MACABURAS, ASHLEY JANE CANDELARIA</t>
  </si>
  <si>
    <t>DOST- FANRI</t>
  </si>
  <si>
    <t>MALAGOTNOT, ANGELICA GENERAL</t>
  </si>
  <si>
    <t>DENR</t>
  </si>
  <si>
    <t>MALINAO, SHERWIN AGSANGRI</t>
  </si>
  <si>
    <t>Sanguniang Barangay, INO</t>
  </si>
  <si>
    <t>MANGCOY, RODALYN RICOHERMOSO</t>
  </si>
  <si>
    <t>Angelina F. Francisco, CPA</t>
  </si>
  <si>
    <t>MENOR, PAUL MEINARD LUZARES</t>
  </si>
  <si>
    <t>NABING, CLARENCE REI DRECE</t>
  </si>
  <si>
    <t>DENR- PENRO Marinduque</t>
  </si>
  <si>
    <t>NOLOS, RONNEL COMIA</t>
  </si>
  <si>
    <t>Mapua University</t>
  </si>
  <si>
    <t>NUEVA, JOHN KEVIN MALING</t>
  </si>
  <si>
    <t>POPCOM- MIMAROPA</t>
  </si>
  <si>
    <t>OLA, KATE SHIENDLE MUHI</t>
  </si>
  <si>
    <t>ORLANDA, DEITHER JAY NAMBIO</t>
  </si>
  <si>
    <t>PACLIBAR, WINELYN LOTO</t>
  </si>
  <si>
    <t>MAPUA/DENR</t>
  </si>
  <si>
    <t>REFUGIA, CHRISTINE LAURIE MAY MASCAREÑAS</t>
  </si>
  <si>
    <t>PAL</t>
  </si>
  <si>
    <t>ROLDAN, ERICKA QUINDOZA</t>
  </si>
  <si>
    <t>SADIM, VON JACOB SALAZAR</t>
  </si>
  <si>
    <t>Masada Security Agency</t>
  </si>
  <si>
    <t>SALES, MICAH PELOBELLO</t>
  </si>
  <si>
    <t>ATENCIO, ALFIE LANETE</t>
  </si>
  <si>
    <t>My Health Clinic (SM North Edsa)</t>
  </si>
  <si>
    <t>AYO, ANALIZA CANILANZA</t>
  </si>
  <si>
    <t>ESTRELLA, LAILA ROSE REGINIO</t>
  </si>
  <si>
    <t>PUREGOLD EXTRA CANLUBANG LAGUNA
RECEIVING CLERK</t>
  </si>
  <si>
    <t>FELLIZAR, REA RIVAREZ</t>
  </si>
  <si>
    <t>Puregold, Boac</t>
  </si>
  <si>
    <t>GABO, CHRISTIAN MARC SALCEDO</t>
  </si>
  <si>
    <t>JOSUE, JOSE III GUINTO</t>
  </si>
  <si>
    <t>LA ROSA, DAN JERICK SADICON</t>
  </si>
  <si>
    <t>LABOG, ALDRIN MAGPANTAY</t>
  </si>
  <si>
    <t>MIMAROPA RUSI</t>
  </si>
  <si>
    <t>LACDANG, REX ALJHON PILAR</t>
  </si>
  <si>
    <t>LRCI Luzon Ramcycle Ins</t>
  </si>
  <si>
    <t>LAGRANA, JOSEPH AUSTINE</t>
  </si>
  <si>
    <t>beyondsigth</t>
  </si>
  <si>
    <t>LANDIG, LESTER HINAYON</t>
  </si>
  <si>
    <t>LARRACAS, IRISH MAIGTING</t>
  </si>
  <si>
    <t>Cavite</t>
  </si>
  <si>
    <t>LAYLAY, KARREN JANE NAMBIO</t>
  </si>
  <si>
    <t>MSC</t>
  </si>
  <si>
    <t>LEYNES, RYAN MINGI</t>
  </si>
  <si>
    <t>LINGA, DENNIS MALCO</t>
  </si>
  <si>
    <t>My Health Clini(Makati City)</t>
  </si>
  <si>
    <t>LINGON, JESSIE DELOS SANTOS</t>
  </si>
  <si>
    <t>LOGMAO, MORIEL RIZO</t>
  </si>
  <si>
    <t>LUHA, GLENN HERMOSA</t>
  </si>
  <si>
    <t>Crossline Security Agency Inc., Bacoor, Cavite</t>
  </si>
  <si>
    <t>MADLA, ANGELO LARGA</t>
  </si>
  <si>
    <t>Archway</t>
  </si>
  <si>
    <t>MAGCAMIT, ABEGAIL MATRE</t>
  </si>
  <si>
    <t>MALAPAJO, CHRISTOPHER MALAPAD</t>
  </si>
  <si>
    <t>Philipine National Police</t>
  </si>
  <si>
    <t>MALCO, KRISZILLE MALACAD</t>
  </si>
  <si>
    <t>MALING, MARK ARVIE MONDILLA</t>
  </si>
  <si>
    <t>MANRIQUE, JUNIE JOSHUA</t>
  </si>
  <si>
    <t>MARCIANO, AIRENE HERNANDEZ</t>
  </si>
  <si>
    <t>crimsons quad inc.</t>
  </si>
  <si>
    <t>MARQUEZ, MARLO LOPE</t>
  </si>
  <si>
    <t>MASCAREÑAS, MARC PAUL LATORRE</t>
  </si>
  <si>
    <t>MASCULINO, JEONELL PALADA</t>
  </si>
  <si>
    <t>CIIP</t>
  </si>
  <si>
    <t>MATAAC, JOHN PAUL MAURICIO</t>
  </si>
  <si>
    <t>PNP</t>
  </si>
  <si>
    <t>MATIMTIM, JERWIN NATAL</t>
  </si>
  <si>
    <t>PPA-Sta.Cruz</t>
  </si>
  <si>
    <t>MAZON, JHON MARK JHUSUA MAGAHIS</t>
  </si>
  <si>
    <t>MENDEJA, GRACE ANN LABAY</t>
  </si>
  <si>
    <t>MONTA, BERNADETTE</t>
  </si>
  <si>
    <t>Greenstar Security Agency Inc,</t>
  </si>
  <si>
    <t>PACAIGE, KIM ZULUETA</t>
  </si>
  <si>
    <t>POSTRADO, KORINA VALDEPEÑA</t>
  </si>
  <si>
    <t>RICABLANCA, KATE URIEL</t>
  </si>
  <si>
    <t>SAMADAN, JAY VINCENT DE LEON</t>
  </si>
  <si>
    <t>SARMIENTO, ARMILYN PERGIS</t>
  </si>
  <si>
    <t>SECO, JOHN JAYCEL FABELLA</t>
  </si>
  <si>
    <t>SOLLESTRE, LEONARD SALAMAT</t>
  </si>
  <si>
    <t>Bachelor of Secondary Education (Major - Biological Sciences)</t>
  </si>
  <si>
    <t>CASTILLO, ANA KATRINA REGINIO</t>
  </si>
  <si>
    <t>CASTILLO, JANE JULIENNE FERRIOL</t>
  </si>
  <si>
    <t>Holy Child Jesus Parochial School</t>
  </si>
  <si>
    <t>CERILLA, DEMLYN JALAC</t>
  </si>
  <si>
    <t>DELOS SANTOS, SARAH JANE QUIMORA</t>
  </si>
  <si>
    <t>LARRACAS, CEILOU NALING</t>
  </si>
  <si>
    <t>Marinduque Academy Inc</t>
  </si>
  <si>
    <t>LAWIG, JOHN REY LIMBO</t>
  </si>
  <si>
    <t>ST. MARY'S COLLEGE</t>
  </si>
  <si>
    <t>LINESES, JAN MAE ACIBES</t>
  </si>
  <si>
    <t>LLANTE, BABYLYN RICAFRANCA</t>
  </si>
  <si>
    <t>STI College - Rosario Cavite</t>
  </si>
  <si>
    <t>MAMING, VANIESA LABAY</t>
  </si>
  <si>
    <t>Maria Mae Academy</t>
  </si>
  <si>
    <t>MANRIQUE, MARIA FAYE SERDON</t>
  </si>
  <si>
    <t>Calamba Doctors' College</t>
  </si>
  <si>
    <t>MANUBA, AXCEL JOY HIPE</t>
  </si>
  <si>
    <t>MOREH Academy INC.</t>
  </si>
  <si>
    <t>MARTICIO, MA. MONNET MONTIANO</t>
  </si>
  <si>
    <t>MONREAL, JOHN RALPH LAGRAN</t>
  </si>
  <si>
    <t>LGU MOGPOG /Deped Marinduque</t>
  </si>
  <si>
    <t>NARZOLES, SHIELLA MAE JANDA</t>
  </si>
  <si>
    <t>Minido Preschool</t>
  </si>
  <si>
    <t>NAVISA, PERALY JOY ZOLETA</t>
  </si>
  <si>
    <t>OLIVAR, ROYZON DE LEON</t>
  </si>
  <si>
    <t>DepEd Marinduque - Sibuyao National High School</t>
  </si>
  <si>
    <t>REVILLA, MARIA BEA RILLES</t>
  </si>
  <si>
    <t>OMPSA</t>
  </si>
  <si>
    <t>SANTOS, KARREN JOYCE ELESIS</t>
  </si>
  <si>
    <t>DEPEd Rizal</t>
  </si>
  <si>
    <t>TAN, DIANALYN NABOS</t>
  </si>
  <si>
    <t>Bachelor of Secondary Education (Major - Mathematics)</t>
  </si>
  <si>
    <t>BORJA, JOYLYN RODELAS</t>
  </si>
  <si>
    <t>DE BELEN, KIMBERLY FLORES</t>
  </si>
  <si>
    <t>Mayfield Montessori Academy</t>
  </si>
  <si>
    <t>JINANG, EARVIN LANDIG</t>
  </si>
  <si>
    <t>Marinduque Technical &amp; Vocational Institute</t>
  </si>
  <si>
    <t>MAAÑO, RONAMIE JORNADAL</t>
  </si>
  <si>
    <t>MALAMIG, ROBERT POTOT</t>
  </si>
  <si>
    <t>HAWKS Prairie</t>
  </si>
  <si>
    <t>MALCO, RONAMEL SAPALARAN</t>
  </si>
  <si>
    <t>MALIMATA, JOHN LORENS LAZO</t>
  </si>
  <si>
    <t>St. Mary's College of Marinduque</t>
  </si>
  <si>
    <t>MANRIQUE, LEONA MAY NAPOLITANO</t>
  </si>
  <si>
    <t>MANRIQUE, PAUL CHRISTIAN JANDA</t>
  </si>
  <si>
    <t>MANUBA, RICA MARANDA</t>
  </si>
  <si>
    <t>Golden Values School; QC Manila</t>
  </si>
  <si>
    <t>MENDEJA, JONALYN MAMING</t>
  </si>
  <si>
    <t>DepEd Marinduque, Bonliw National High School, Bonliw, Torrijos</t>
  </si>
  <si>
    <t>MONROYO, ALLIAH MAYE MARCA</t>
  </si>
  <si>
    <t>PASTRANA, RONALYN VILLARUEL</t>
  </si>
  <si>
    <t>Department of Education (Kasily National High School)</t>
  </si>
  <si>
    <t>PIMENTEL, HEAZEL VILLARUEL</t>
  </si>
  <si>
    <t>Mayfield Montessori Academy / Quezon City</t>
  </si>
  <si>
    <t>SALON, DENIA BARELA</t>
  </si>
  <si>
    <t>Bachelor of Secondary Education (Major - Music Education)</t>
  </si>
  <si>
    <t>BRIONES, CRISTY LARGADO</t>
  </si>
  <si>
    <t>PSA</t>
  </si>
  <si>
    <t>CASTRO, APRIL BLESS</t>
  </si>
  <si>
    <t>COBRA, JOHN CHRISTOPHER LANDOY</t>
  </si>
  <si>
    <t>Chalkboard Philippines</t>
  </si>
  <si>
    <t>DE LUNA, ABEGAIL BILLONES</t>
  </si>
  <si>
    <t>ESTRELLA, ROSELLE APOSTOL</t>
  </si>
  <si>
    <t>TPSAT- Poctoy</t>
  </si>
  <si>
    <t>FAMARIN, JANE MARY DELOS SANTOS</t>
  </si>
  <si>
    <t>Accenture Inc . Cyberpark 1 Cubao Quezon city</t>
  </si>
  <si>
    <t>HERMOSA, DENNISE ARIOLA</t>
  </si>
  <si>
    <t>LABAGUIS, GLENDA SEÑO</t>
  </si>
  <si>
    <t>Glenda Labaguis</t>
  </si>
  <si>
    <t>LABAY, JOY JUSTINIANO</t>
  </si>
  <si>
    <t>Fr. Christian San Juan</t>
  </si>
  <si>
    <t>LAMBOLOTO, JOJIELYN FIDELINO</t>
  </si>
  <si>
    <t>LIGUIT, JOANNA MARI MORANDO</t>
  </si>
  <si>
    <t>Marivel Monteveros</t>
  </si>
  <si>
    <t>LLANES, KEN GENECE HONORICA</t>
  </si>
  <si>
    <t>MADERAZO, HAZEL JANE NARZOLES</t>
  </si>
  <si>
    <t>MOREH Academy Inc.</t>
  </si>
  <si>
    <t>MADERAZO, JOBEL BERNADEZ</t>
  </si>
  <si>
    <t>MALABAYABAS, HANAH LEE ALBERTO</t>
  </si>
  <si>
    <t>Provincial Capitol of Marinduque, Santol, Boac Marinduque</t>
  </si>
  <si>
    <t>MALVEDA, JASON MARVIN LEAÑO</t>
  </si>
  <si>
    <t>Inspiro</t>
  </si>
  <si>
    <t>MAMPUSTI, JEAN WEDLYN FRANCISCO</t>
  </si>
  <si>
    <t>EPSON PRECISION PHILLIPINES INC, LIMA TECHNOLOGY LIPA CITY</t>
  </si>
  <si>
    <t>MANSALAPUS, LOVELY VILLAMARIN</t>
  </si>
  <si>
    <t>MASCAREÑAS, ALLAN ROBERT RELLAMAS</t>
  </si>
  <si>
    <t>MONTIANO, ANGELICA OSMILLO</t>
  </si>
  <si>
    <t>MOTOL, IRENE MAMING</t>
  </si>
  <si>
    <t>Modern Tech; San pedro Laguna</t>
  </si>
  <si>
    <t>ORACION, JULIE ANN OLAVIDEZ</t>
  </si>
  <si>
    <t>PELOBELLO, MARIEL LARRAQUEL</t>
  </si>
  <si>
    <t>St. Joseph the Worker Academy of Marinduque Inc.</t>
  </si>
  <si>
    <t>REJANO, JULIE PEARL BADILLA</t>
  </si>
  <si>
    <t>SACE, RYAN BULANON</t>
  </si>
  <si>
    <t>LUCKY 8 STAR QUEST INC./address of the office: 35 Liberty Prime Building DM Guevarra St. Corner Esteban St. Highway Hills Mandaluyong City.</t>
  </si>
  <si>
    <t>VILLARUEL, SHERLINE SINSOA</t>
  </si>
  <si>
    <t>Bachelor of Secondary Education (Major - MAPHE)</t>
  </si>
  <si>
    <t>CONCEPCION, IRENE MURILLO</t>
  </si>
  <si>
    <t>CONCUERA, VINCE RICAPLAZA</t>
  </si>
  <si>
    <t>Santa Cruz institute</t>
  </si>
  <si>
    <t>GUTIERREZ, COLEEN ROSE MONSANTO</t>
  </si>
  <si>
    <t>LACDAO, MARK KEVIN REY</t>
  </si>
  <si>
    <t>LAGRAMA, RIELA DHEE JANDUSAY</t>
  </si>
  <si>
    <t>Moreh Academy Inc.</t>
  </si>
  <si>
    <t>LARO, CHRISTINE JANE NATAL</t>
  </si>
  <si>
    <t>LAUGO, JERICK JAYWEN LUMALANG</t>
  </si>
  <si>
    <t>LAYLAY, JDONA ROCHA</t>
  </si>
  <si>
    <t>Infant Jesus Montessori Center Annex II</t>
  </si>
  <si>
    <t>LAZO, ROCHELLE LAZO</t>
  </si>
  <si>
    <t>LORVICO, DANECA VILLA</t>
  </si>
  <si>
    <t>LGU Torrijos</t>
  </si>
  <si>
    <t>MAGBOO, DIVINE GRACE SENA</t>
  </si>
  <si>
    <t>MANUEVO, JESSA AMOR MANDALIHAN</t>
  </si>
  <si>
    <t>MATAAC, MARY GEAN MATRE</t>
  </si>
  <si>
    <t>MAUZAR, SHARINA LOSLOS</t>
  </si>
  <si>
    <t>MENDEJA, HANELETTE DELVO</t>
  </si>
  <si>
    <t>CNT PROMO ADS &amp; SPECIALIST INC.</t>
  </si>
  <si>
    <t>MICIANO, CLARIDEN MAGPARANGALAN</t>
  </si>
  <si>
    <t>MONREAL, MARIA JEAN LLANES</t>
  </si>
  <si>
    <t>MONROYO, CAMILLE MARANDA</t>
  </si>
  <si>
    <t>Philippine Statistics Authority</t>
  </si>
  <si>
    <t>MULLEDA, JOHN BENEDICT RIEGO</t>
  </si>
  <si>
    <t>St. Peter Life Plan Inc.</t>
  </si>
  <si>
    <t>NIEVA, RANKIN DEOGRACIAS</t>
  </si>
  <si>
    <t>PALMA, ANNA CZARINA FATALLA</t>
  </si>
  <si>
    <t>PILAR, JOSSA MIA LABOSTA</t>
  </si>
  <si>
    <t>REGALADO, JESSABEL PERIN</t>
  </si>
  <si>
    <t>SADIWA, NEIL AUDREY AREVALO</t>
  </si>
  <si>
    <t>TABAT, ARRA LYNNE GARCIA</t>
  </si>
  <si>
    <t>TOGONON, ZHYNE GUMINTON</t>
  </si>
  <si>
    <t>Bachelor of Secondary Education (Major - Physical Sciences)</t>
  </si>
  <si>
    <t>ATIENZA, MONREY LAYLAY</t>
  </si>
  <si>
    <t>BAROÑA, JOHN RAZEL PRIETO</t>
  </si>
  <si>
    <t>CAASI, LORNA MILLAR</t>
  </si>
  <si>
    <t>Sacred Heart School, Paranaque</t>
  </si>
  <si>
    <t>DIWATA, KRISTEL JOY SAJUL</t>
  </si>
  <si>
    <t>FERMO, ROSE ANN SARILE</t>
  </si>
  <si>
    <t>Holy Infant Parochial School</t>
  </si>
  <si>
    <t>JANDUSAY, MA. JAMILA FIEDALAN</t>
  </si>
  <si>
    <t>MABANSAG, ELAINE MARCIANO</t>
  </si>
  <si>
    <t>MARINDUQUE NATIONAL HIGH SCHOOL - ISOK I, BOAC, MARINDUQUE</t>
  </si>
  <si>
    <t>MALABAYABAS, LORIE MHAY CONDE</t>
  </si>
  <si>
    <t>MEDINA, DONNABEL BATAN</t>
  </si>
  <si>
    <t>Hinduja Global Solution</t>
  </si>
  <si>
    <t>MEDINA, KHEVIN LUMALANG</t>
  </si>
  <si>
    <t>DOLE</t>
  </si>
  <si>
    <t>MORALES, JUDELYN REY</t>
  </si>
  <si>
    <t>NABOS, GRACE CAMILLE LUHA</t>
  </si>
  <si>
    <t>PACULARIN, CHRISTIAN JAKE REGONDOLA</t>
  </si>
  <si>
    <t>Our Mother of Perpetual Succor Academy</t>
  </si>
  <si>
    <t>PENALES, BEVERLY PANER</t>
  </si>
  <si>
    <t>Rev. Fr. Christian Francis T. Regencia</t>
  </si>
  <si>
    <t>Bachelor of Secondary Education (Major - Social Studies)</t>
  </si>
  <si>
    <t>CASTILLO, JOHN FRIAS</t>
  </si>
  <si>
    <t>FLOJO, RUFFA ANGEL REVILLA</t>
  </si>
  <si>
    <t>GARCIA, REA RICAMARA</t>
  </si>
  <si>
    <t>Data Analyst/Platform Experience Associate</t>
  </si>
  <si>
    <t>LAMAN, LYCAH MAY LOLONG</t>
  </si>
  <si>
    <t>Marinduque Midwest College, Gasan</t>
  </si>
  <si>
    <t>LOGMAO, MARIELLE MORALES</t>
  </si>
  <si>
    <t>Manuel S.Enverga Institute Foundation Inc.</t>
  </si>
  <si>
    <t>MAAC, JAYNE MARRIANE MONREAL</t>
  </si>
  <si>
    <t>MABUTI, MARIA ISABEL MANAHAN</t>
  </si>
  <si>
    <t>UPPRIME</t>
  </si>
  <si>
    <t>MALAJACAN, ALMIRA LUTERTE</t>
  </si>
  <si>
    <t>MENDOZA, TRISHA MAE LASTRA</t>
  </si>
  <si>
    <t>Dating Bayan, Elem. School, Santa Cruz, Marinduque</t>
  </si>
  <si>
    <t>MONTELLANA, MARIEL MAGPANTAY</t>
  </si>
  <si>
    <t>MONTELLAÑA, RONA MAGPANTAY</t>
  </si>
  <si>
    <t>MOTOL, JOSELITO QUINDOZA</t>
  </si>
  <si>
    <t>Bk 14 lt 5 champaca st queensrow wezt molino bacoor cavite</t>
  </si>
  <si>
    <t>ORILLA, CESAR, Jr. ORNEDO</t>
  </si>
  <si>
    <t>RABI, JANNEAL VAL LAMBOLOTO</t>
  </si>
  <si>
    <t>RICAFLANCA, JOYDIE MAE SALVACION</t>
  </si>
  <si>
    <t>VILLANUEVA, MARK ANTHONY SACE</t>
  </si>
  <si>
    <t>Entrego</t>
  </si>
  <si>
    <t>AMPARO, V-VIAN NAZARENO</t>
  </si>
  <si>
    <t>DELOS SANTOS, LIEZEL MALAPIT</t>
  </si>
  <si>
    <t>DELA LUNA, BENCENT JAY HIRONDO</t>
  </si>
  <si>
    <t>LGU MOGPOG</t>
  </si>
  <si>
    <t>DUMARAN, MILKY RODAS</t>
  </si>
  <si>
    <t>teleperformance, Mckinley West Taguig</t>
  </si>
  <si>
    <t>ESCANILLA, JANEATH NAVISA</t>
  </si>
  <si>
    <t>FIEDALAN, VINA PELENDIANA</t>
  </si>
  <si>
    <t>FRESNO, ELLEN MAY LEYNES</t>
  </si>
  <si>
    <t>Alorica Company</t>
  </si>
  <si>
    <t>JALIPA, LAIZA MARIE SAJO</t>
  </si>
  <si>
    <t>LABOG, BEA DALPATAN</t>
  </si>
  <si>
    <t>LADERAS, JANELLA NARITO</t>
  </si>
  <si>
    <t>Lotto outlet- Murallon, Boac</t>
  </si>
  <si>
    <t>LADERAS, TRISHA MAE MEDALLON</t>
  </si>
  <si>
    <t>LADLAD, HANNAH LAYAG</t>
  </si>
  <si>
    <t>LAYAG, ROBELLE MAGTURO</t>
  </si>
  <si>
    <t>Marinduque Academy Inc.</t>
  </si>
  <si>
    <t>LIMPIADA, MARJORIE MONSANTO</t>
  </si>
  <si>
    <t>MAAC, NICCA MAQUEDA</t>
  </si>
  <si>
    <t>MACABIOG, SHIELA FIEGALAN</t>
  </si>
  <si>
    <t>MACAYAON, JENINE REVILLA</t>
  </si>
  <si>
    <t>MACDON, ZARAGINE TAN</t>
  </si>
  <si>
    <t>MAGPANTAY, CRISSEL BUBAN</t>
  </si>
  <si>
    <t>MAGTURO, VANGIE MALAPAD</t>
  </si>
  <si>
    <t>Famous Awesome Brand Co. Inc. / Imus Cavite</t>
  </si>
  <si>
    <t>MALUCONG, JHOANA MAE SUPERABLE</t>
  </si>
  <si>
    <t>MATIMTIM, MARY JANE NATAL</t>
  </si>
  <si>
    <t>MATRE, JOEMARI LIWANAGAN</t>
  </si>
  <si>
    <t>MAZON, ELAINE LAGRANA</t>
  </si>
  <si>
    <t>MERCOLESIA, JENNIFER LABAYNA</t>
  </si>
  <si>
    <t>Kids Ladder Christian Academy Inc.</t>
  </si>
  <si>
    <t>MERENCILLO, LALYN OLIVAR</t>
  </si>
  <si>
    <t>MONSANTO, EMALYN LARRACAS</t>
  </si>
  <si>
    <t>MUNCOS, JINNIFER</t>
  </si>
  <si>
    <t>NARZOLES, ALMA MAY MALABANA</t>
  </si>
  <si>
    <t>NERI JOCELYN ORNOS</t>
  </si>
  <si>
    <t>Municipal Agriculture Office, Boac</t>
  </si>
  <si>
    <t>ORILLA, MARIBETH ORNOS</t>
  </si>
  <si>
    <t>PAGLINAWAN, ROVELYN LEGASPI</t>
  </si>
  <si>
    <t>Golden Values School</t>
  </si>
  <si>
    <t>PASTRANA, JUBILEE CRISTY MANGUERA</t>
  </si>
  <si>
    <t>QQQ law Office, Quezon City</t>
  </si>
  <si>
    <t>RAQUIZA, CONCEPCION LACERNA</t>
  </si>
  <si>
    <t>RAYMUNDO, REYNALYN MELAYA</t>
  </si>
  <si>
    <t>SADIAN, RICA MAE</t>
  </si>
  <si>
    <t>SAMARITA, BEVERLY NALING</t>
  </si>
  <si>
    <t>Power Dimension Incorporated</t>
  </si>
  <si>
    <t>SIENA, JOSEPH SOLETA</t>
  </si>
  <si>
    <t>STO.DOMINGO, KATE LYN ISUGA</t>
  </si>
  <si>
    <t>AGREA Foundation</t>
  </si>
  <si>
    <t>TIBERIO, MARA MAE SOL</t>
  </si>
  <si>
    <t>VILLARUEL, MARY JOY CHAVEZ</t>
  </si>
  <si>
    <t>Rainbow Room Learning Center</t>
  </si>
  <si>
    <t>TOTAL NUMBER OF STUDENTS 
PER CAMPUS</t>
  </si>
  <si>
    <t>E</t>
  </si>
  <si>
    <t>UE</t>
  </si>
  <si>
    <t>NT</t>
  </si>
  <si>
    <t>Campus 2 (Sta. Cruz Campus)</t>
  </si>
  <si>
    <t>ALMONTE, BJORN ANGELO G.*</t>
  </si>
  <si>
    <t>CLAUDIO, DAISY LYN R.</t>
  </si>
  <si>
    <t>DELOS REYES, JAYSON P.</t>
  </si>
  <si>
    <t>DIALOLA, MINNIE JOY F.</t>
  </si>
  <si>
    <t>GARCIA, LORIEMAR Q.</t>
  </si>
  <si>
    <t>GRIMALDO, JERHOME R.</t>
  </si>
  <si>
    <t>JAMISON, FRANCIS LEMUEL P.</t>
  </si>
  <si>
    <t>JUNGCO, MARIANNE R.</t>
  </si>
  <si>
    <t>LAYLAY, LYKA A.</t>
  </si>
  <si>
    <t>MONTEREY, JOMAR R.</t>
  </si>
  <si>
    <t>PAGRAN, SHERYL J.</t>
  </si>
  <si>
    <t>PANGILINAN, MARJYLU O.</t>
  </si>
  <si>
    <t>PARAS, JAN OWELL P.</t>
  </si>
  <si>
    <t>PARREÑO, ANGELYN R.</t>
  </si>
  <si>
    <t>PELAEZ, MARY GRACE R.</t>
  </si>
  <si>
    <t>PEÑA, KAREN ROSE R.</t>
  </si>
  <si>
    <t>PEÑAVERDE, MARK ANGELO T.</t>
  </si>
  <si>
    <t>PIMENTEL, JOHN ANGELO M.</t>
  </si>
  <si>
    <t>PRIVADO, CHILLY ANN R.</t>
  </si>
  <si>
    <t>QUIJANO, CLARENCE DANIEL M.</t>
  </si>
  <si>
    <t>RABE, PAUL JETHRO R.</t>
  </si>
  <si>
    <t>RAZA, NOELLEN P.</t>
  </si>
  <si>
    <t>REAL, MYCEL JOYCE Q.</t>
  </si>
  <si>
    <t>RECAÑA, PATRICK JOSHUA N.</t>
  </si>
  <si>
    <t>RECTO, MYRA COLLEN TRICIA M.</t>
  </si>
  <si>
    <t>REGIO, SARAH Q.</t>
  </si>
  <si>
    <t>RESIDUO, MARLYN T.</t>
  </si>
  <si>
    <t>REVILLA, KART BRYANT C.</t>
  </si>
  <si>
    <t>REVILLOZA, LEOMART A.</t>
  </si>
  <si>
    <t>REY, MARLOU A.</t>
  </si>
  <si>
    <t>37kamias road barangay pinyahan quezon city</t>
  </si>
  <si>
    <t>RODELAS, JESSICA R.</t>
  </si>
  <si>
    <t>ROSAL, RESIE ANN R.</t>
  </si>
  <si>
    <t>TUQUERO, ADRIAN R.</t>
  </si>
  <si>
    <t>VALDEPEÑA, KAREN</t>
  </si>
  <si>
    <t>VILLANUEVA, BEA JOY E.</t>
  </si>
  <si>
    <t xml:space="preserve">BS Accounting Technology </t>
  </si>
  <si>
    <t>BERGANTIN, MARY ANN</t>
  </si>
  <si>
    <t>Municipal of Sta. Cruz</t>
  </si>
  <si>
    <t>CABRERA, GIEPHER B.</t>
  </si>
  <si>
    <t>Sta. Cruz Municipal Accounting Department</t>
  </si>
  <si>
    <t>DE LUNA, JONALYN R.</t>
  </si>
  <si>
    <t>DepEd</t>
  </si>
  <si>
    <t>DECENA, AIZEL R.</t>
  </si>
  <si>
    <t>DEL MUNDO, ROBERT A.</t>
  </si>
  <si>
    <t>ESPAYOS, NIKKA JOYCE R.</t>
  </si>
  <si>
    <t>Santa Cruz Municipal Building</t>
  </si>
  <si>
    <t>ESPINAS, QUENDEE JOY V.</t>
  </si>
  <si>
    <t>YRB Solution</t>
  </si>
  <si>
    <t>GUITANG, ALFREDA S.</t>
  </si>
  <si>
    <t>LINGA, CHERYL KATE P.</t>
  </si>
  <si>
    <t>Emme Security Group, Mandaluyong City</t>
  </si>
  <si>
    <t>MEDRANO, EMIE LOU R.</t>
  </si>
  <si>
    <t>Santa Cruz Hospital</t>
  </si>
  <si>
    <t>MONTEBON, KIMBERLY R.</t>
  </si>
  <si>
    <t>Century World Marketing</t>
  </si>
  <si>
    <t>ORDILLANO, HANNA JEDDAH P.</t>
  </si>
  <si>
    <t>PALATINO, DECELYN R.</t>
  </si>
  <si>
    <t>PALERMO, CHRISTIAN ALVIN R.</t>
  </si>
  <si>
    <t>Municipal Accounting Office (Sta. Cruz, Mdque)- 1 year work experience</t>
  </si>
  <si>
    <t>PALERMO, ELLAINE JANE R.</t>
  </si>
  <si>
    <t>Royal Care Marketing</t>
  </si>
  <si>
    <t>PALMA, LESLIE ANNE T.</t>
  </si>
  <si>
    <t>DSWD - SLP, Buenavista, Marinduque</t>
  </si>
  <si>
    <t>PAR Jr., JOHN KENNETH R.</t>
  </si>
  <si>
    <t>PARADERO, JOHN KENNETH R.</t>
  </si>
  <si>
    <t>Hino Motors Philippines Corp.</t>
  </si>
  <si>
    <t>PARONE, PRINCESS NICA P.</t>
  </si>
  <si>
    <t>Asia Brewery Inc.</t>
  </si>
  <si>
    <t>PASTRANA, LAICA R.</t>
  </si>
  <si>
    <t>Honda Traiding Philippines Corporation</t>
  </si>
  <si>
    <t>PEÑARROYO LOVELY M.</t>
  </si>
  <si>
    <t>Multi Fold Links, Inc.</t>
  </si>
  <si>
    <t>PERMEJO, FERNAN C.</t>
  </si>
  <si>
    <t>PIZARRA, BABYLYNE O.</t>
  </si>
  <si>
    <t>PRIVADO, CLARISSA P.</t>
  </si>
  <si>
    <t>Republic Powdercoat Corporation</t>
  </si>
  <si>
    <t>QUINTO, LORIELYN P.</t>
  </si>
  <si>
    <t>PARFAIT DIRECTE ENERGISANT MARKETING/ Everlasting St. Zabllero Subd. Brgy Gulang-gulang, Lucena city</t>
  </si>
  <si>
    <t>REFORMA, BUENAFLOR P.</t>
  </si>
  <si>
    <t>REVIDIZO, JENNEY ROSE R.</t>
  </si>
  <si>
    <t>REVILLA, JENNEBELLE P.</t>
  </si>
  <si>
    <t>Zesto</t>
  </si>
  <si>
    <t>RICOHERMOSO, RUSSEL G.</t>
  </si>
  <si>
    <t>Royaleare. Quezon City</t>
  </si>
  <si>
    <t>RIEGO, PRECIOUS LYN R.</t>
  </si>
  <si>
    <t>Municipality of Sta Cruz</t>
  </si>
  <si>
    <t>RIOVEROS, XYRYL D.</t>
  </si>
  <si>
    <t>Manila Teachers</t>
  </si>
  <si>
    <t>ROBLES, MONA MAE R.</t>
  </si>
  <si>
    <t>Manulife - U.P. Ayala Land Technohub, Diliman Quezon City</t>
  </si>
  <si>
    <t>ROGELIO, LENY ANN Q.</t>
  </si>
  <si>
    <t>Eugryce Accounting Services</t>
  </si>
  <si>
    <t>VILLALON, IRIDH GLENA L.</t>
  </si>
  <si>
    <t>LGU Santa Cruz</t>
  </si>
  <si>
    <t>VIZARRA, MARISSA P.</t>
  </si>
  <si>
    <t>Automatic Centre</t>
  </si>
  <si>
    <t>BS Entrepreneurship (Major - Wholesale and Retail)</t>
  </si>
  <si>
    <t>BANGCARAY, MA. LUCILLE R.</t>
  </si>
  <si>
    <t>Arellano University School of Law</t>
  </si>
  <si>
    <t>CONSTANTINO, PAULINE Q.</t>
  </si>
  <si>
    <t>LABAYNA, JUNE R.</t>
  </si>
  <si>
    <t>Edgerite Enterprise Inc.</t>
  </si>
  <si>
    <t>MONTEREY, PRINCESS MAE</t>
  </si>
  <si>
    <t>WATSONS / LIIP MAMPLASAN BIÑAN, LAGUNA</t>
  </si>
  <si>
    <t>PAPA, ANNA ROSE P.</t>
  </si>
  <si>
    <t>(Prulife) Lazurite Opal life insurance Agency Inc. QC</t>
  </si>
  <si>
    <t>PAR, DAISERY Z.</t>
  </si>
  <si>
    <t>ASA Foundation</t>
  </si>
  <si>
    <t>PERILLA, EDUARDSON M.</t>
  </si>
  <si>
    <t>Aturan, SCM</t>
  </si>
  <si>
    <t>PILAR, ALYSSA MAE P.</t>
  </si>
  <si>
    <t>PIMENTEL, CAROL R.</t>
  </si>
  <si>
    <t>Ellebasy Medicale Trading</t>
  </si>
  <si>
    <t>RAMOS, TEODILYN M.</t>
  </si>
  <si>
    <t>SM Calamba, MPPI</t>
  </si>
  <si>
    <t>REGIO, MAY ANN R.</t>
  </si>
  <si>
    <t>Center for Agriculture and Rural Development CARD Mutual Benefit Association</t>
  </si>
  <si>
    <t>REQUINTEL, CHRISTEL JOY R.</t>
  </si>
  <si>
    <t>CARD Bank Inc.Brgy 1 lucena city</t>
  </si>
  <si>
    <t>REVILLA, MA. JOLINA P.</t>
  </si>
  <si>
    <t>RIBLEZA, JOYCEL R.</t>
  </si>
  <si>
    <t>VALDERAMA, LYKA R.</t>
  </si>
  <si>
    <t>VILLARUEL, JUDY ANN E.</t>
  </si>
  <si>
    <t>Municipality of Sta.Cruz</t>
  </si>
  <si>
    <t>AGOJO, CHERRY LYN L.</t>
  </si>
  <si>
    <t>ALMONTE, EMMA P.</t>
  </si>
  <si>
    <t>Landmark Makati</t>
  </si>
  <si>
    <t>CERUJANO, DAINE P.</t>
  </si>
  <si>
    <t>CONSTANTINO, RHEA R.</t>
  </si>
  <si>
    <t>Elitech Trading Corporation</t>
  </si>
  <si>
    <t>ESPLANA, KIM BERLY J.</t>
  </si>
  <si>
    <t>Course Hero</t>
  </si>
  <si>
    <t>GONO, JENNELYN F.</t>
  </si>
  <si>
    <t>Sykes Asia Inc.</t>
  </si>
  <si>
    <t>LLAMERA, SHYRA R.</t>
  </si>
  <si>
    <t>Island Harvest Farm</t>
  </si>
  <si>
    <t>MADRIÑO, REGINE O.</t>
  </si>
  <si>
    <t>MONTARON, MERYL FLOR L.</t>
  </si>
  <si>
    <t>QCDRRMO, Quezon City</t>
  </si>
  <si>
    <t>MURILLO, MARIE R.</t>
  </si>
  <si>
    <t>OBLIPIAS, CYRINE JOY L.</t>
  </si>
  <si>
    <t>PASTORAL, JOVELYN O.</t>
  </si>
  <si>
    <t>PEDERNAL, DANICCA M.</t>
  </si>
  <si>
    <t>V Group</t>
  </si>
  <si>
    <t>PEREYRA, ALMIRA P.</t>
  </si>
  <si>
    <t>CHUNGDAHM (PHILS) INC, MAKATI CITY</t>
  </si>
  <si>
    <t>PERFIÑAN, JUDLYLYN J.</t>
  </si>
  <si>
    <t>PIZARRA, FHARRA D.</t>
  </si>
  <si>
    <t>Accenture</t>
  </si>
  <si>
    <t>PLATA, CHARISSE P.</t>
  </si>
  <si>
    <t>Dream Favor Travel &amp; Tours</t>
  </si>
  <si>
    <t>RABE, ANNALEA R.</t>
  </si>
  <si>
    <t>Omniworx Inc.</t>
  </si>
  <si>
    <t>REGIO, IBERT OLIVER P.</t>
  </si>
  <si>
    <t>HMDC</t>
  </si>
  <si>
    <t>RESCOBER, MA. KRISTINA G.</t>
  </si>
  <si>
    <t>REVILLA, GLYDEL P.</t>
  </si>
  <si>
    <t>Disney Hotel</t>
  </si>
  <si>
    <t>RICAFRENTE, RECHILLE B.</t>
  </si>
  <si>
    <t>Results CX</t>
  </si>
  <si>
    <t>RIOVEROS, MYKA DALENNE P.</t>
  </si>
  <si>
    <t>PRU LIFE UK</t>
  </si>
  <si>
    <t>ROLDAN, VIA ROSE P.</t>
  </si>
  <si>
    <t>ROSALES, CHRISTINE Q.</t>
  </si>
  <si>
    <t>Telepperformance</t>
  </si>
  <si>
    <t>SANCHEZ, MARY NELLE</t>
  </si>
  <si>
    <t>VILLANUEVA, MARISOL M.</t>
  </si>
  <si>
    <t>WeDigitalPh Digital Marketing Services</t>
  </si>
  <si>
    <t>BELARMINO, REGINE P.</t>
  </si>
  <si>
    <t>BEREZO, KEVIN M.</t>
  </si>
  <si>
    <t>BERINO, AYESSA D.</t>
  </si>
  <si>
    <t>BUHAY, MARISTEL D.</t>
  </si>
  <si>
    <t>Philippine Travel Factory Inc.</t>
  </si>
  <si>
    <t>CHUA, APRIL E.</t>
  </si>
  <si>
    <t>CONSTANTINO, JOHN LLOYD P.</t>
  </si>
  <si>
    <t>DECENA, JESUS Jr. P.</t>
  </si>
  <si>
    <t>DELOS SANTOS, ALLAN Z.</t>
  </si>
  <si>
    <t>DELOS SANTOS, ERICA JOY F.</t>
  </si>
  <si>
    <t>ESTRELLA, SHIELA P.</t>
  </si>
  <si>
    <t xml:space="preserve">WATSONS, MOA PASAY CITY 
</t>
  </si>
  <si>
    <t>GARCIA, MIKAELA P.</t>
  </si>
  <si>
    <t>GONZALES, ALDRIN O.</t>
  </si>
  <si>
    <t>OREQUILA, ENICA JERRIEZ P.</t>
  </si>
  <si>
    <t>PADOLINA, JOYCE S.</t>
  </si>
  <si>
    <t>PALATINO, JARMARK Z.</t>
  </si>
  <si>
    <t>Vertex digital</t>
  </si>
  <si>
    <t>PALMERO, HANNA MARIE L.</t>
  </si>
  <si>
    <t>Municipality of Dasma</t>
  </si>
  <si>
    <t>PALOMARES, ROBERT R.</t>
  </si>
  <si>
    <t>PERFIÑAN, JON CARLO E.</t>
  </si>
  <si>
    <t>PODACA, JOHN MARK Q.</t>
  </si>
  <si>
    <t>PORTENTO, JAYMART RENNEL R.</t>
  </si>
  <si>
    <t>PRIETO, CLEFIERD</t>
  </si>
  <si>
    <t>Vivo South luzon</t>
  </si>
  <si>
    <t>PRINCIPE, JOESELL-AN P.</t>
  </si>
  <si>
    <t>QUIMORA, MARIBETH P.</t>
  </si>
  <si>
    <t>RAÑOCO, JEROME R.</t>
  </si>
  <si>
    <t>REA, LEVY ANN M.</t>
  </si>
  <si>
    <t>REY, DANICA JOY</t>
  </si>
  <si>
    <t>MARINDUQUE STATE COLLEGE SANTA CRUZ CAMPUS</t>
  </si>
  <si>
    <t>RICAMARA, JOHN MARK F.</t>
  </si>
  <si>
    <t>RIOVEROS, JUNJUN O.</t>
  </si>
  <si>
    <t>RODELAS, CHARISSE F.</t>
  </si>
  <si>
    <t>RODELAS, EDWARD J.</t>
  </si>
  <si>
    <t>SAJOL, RONIELITO R.</t>
  </si>
  <si>
    <t>Amethyst Security Agency , PASIG CITY</t>
  </si>
  <si>
    <t>SALES, JOMERIZ A.</t>
  </si>
  <si>
    <t>SARMIENTO, JERHENZ CATE F.</t>
  </si>
  <si>
    <t>RSBGC</t>
  </si>
  <si>
    <t>TAGLE, JOHN PAUL D.</t>
  </si>
  <si>
    <t>VELARDE, EDILYN F.</t>
  </si>
  <si>
    <t>VIZARRA, CRISCHANDA P.</t>
  </si>
  <si>
    <t>CARDBANK INC. Brgy. 1 Poblacion Lucena City Quezon</t>
  </si>
  <si>
    <t>Bachelor of Elementary Education - General Education Curriculum</t>
  </si>
  <si>
    <t>ALI, SORA FATIMA R.</t>
  </si>
  <si>
    <t>BARROGA, JENESSA JOY P.</t>
  </si>
  <si>
    <t>CUATRIZ, ARRIANE P.</t>
  </si>
  <si>
    <t>DE LUNA, ELOISA S.</t>
  </si>
  <si>
    <t>DEL MUNDO, LEMUEL R.</t>
  </si>
  <si>
    <t>EDONGAN, NICA R.</t>
  </si>
  <si>
    <t>ETERNO, MARILOU P.</t>
  </si>
  <si>
    <t>FIDELINO, RUBY ANN R.</t>
  </si>
  <si>
    <t>MONDE MY SAN</t>
  </si>
  <si>
    <t>FRIAS, IRENE R.</t>
  </si>
  <si>
    <t>GABRIEL, MYRANN L.</t>
  </si>
  <si>
    <t>GARCIA, CRISNELLE M.</t>
  </si>
  <si>
    <t>LAURESTA, GYPREX J.</t>
  </si>
  <si>
    <t>LAWIG, JHOANNA LEI L.</t>
  </si>
  <si>
    <t>LEGASPI, SHELLA MAY R.</t>
  </si>
  <si>
    <t>LLANTE, JAYCEL L.</t>
  </si>
  <si>
    <t>MALIJANA, OLIVER RUTH C.</t>
  </si>
  <si>
    <t>MANGGOL, MARICAR M.</t>
  </si>
  <si>
    <t>Sta. Ana Elementary School</t>
  </si>
  <si>
    <t>MANZANO, EVA MAY R.</t>
  </si>
  <si>
    <t>MARQUEZ, ALONDRA J.</t>
  </si>
  <si>
    <t>MARQUEZ, KIMBERLY P.</t>
  </si>
  <si>
    <t>MARQUEZ, LADYLYN G.</t>
  </si>
  <si>
    <t>MEDINA, ANGELICA A.</t>
  </si>
  <si>
    <t>SYKES/ WCC MANDALUYONG</t>
  </si>
  <si>
    <t>MELECIA, RENALYN R.</t>
  </si>
  <si>
    <t>MONTEROZO, RHODORA P.</t>
  </si>
  <si>
    <t>MORALES, PAUL STEVEN P.</t>
  </si>
  <si>
    <t>NARANJO, RONNIE R.</t>
  </si>
  <si>
    <t>OPIZ, MERYJOY A.</t>
  </si>
  <si>
    <t>ORIJUELA, EVONA D.</t>
  </si>
  <si>
    <t>PADOLINA, JANE CARLA G.</t>
  </si>
  <si>
    <t>PALMA, JUDY ANN R.</t>
  </si>
  <si>
    <t>PAMFILO, MARINELLA A.</t>
  </si>
  <si>
    <t>PAMFILO, MARY ROSE R.</t>
  </si>
  <si>
    <t>PAR, JERIC R.</t>
  </si>
  <si>
    <t>OUR LADY OF ASSUMPTION COLLEGE OF LAGUNA, INC. Main Road Villa Olympia Subdivision, Brgy. Maharlika, City of San Pedro, Laguna</t>
  </si>
  <si>
    <t>PARALEJAS, CHERRY MAE R.</t>
  </si>
  <si>
    <t>PARANE, JOHN ERIC J.</t>
  </si>
  <si>
    <t>PARAS, BHAN DRIEL AARON P.</t>
  </si>
  <si>
    <t>PARAS, JOYCELYN P.</t>
  </si>
  <si>
    <t>PARONE, RONALYN V.</t>
  </si>
  <si>
    <t>PARREÑO, JHENNYLE P.</t>
  </si>
  <si>
    <t>PARREÑO, JOANA KAYE R.</t>
  </si>
  <si>
    <t>Municipality of Santa Cruz</t>
  </si>
  <si>
    <t>PELAEZ, JUDITH R.</t>
  </si>
  <si>
    <t>PEÑAFIEL, RENALYN R.</t>
  </si>
  <si>
    <t>PEÑASCOSAS, KRISTAL R.</t>
  </si>
  <si>
    <t>PEÑASCOSAS, MELANIE R.</t>
  </si>
  <si>
    <t>Provincial Boac Capitol</t>
  </si>
  <si>
    <t>PERALTA, MARY ROSE G.</t>
  </si>
  <si>
    <t>PERGIS, DIANA ROSE F.</t>
  </si>
  <si>
    <t>PERILLA, JOHN PAUL M.</t>
  </si>
  <si>
    <t>Mummer ETT Corp. Marikina City.</t>
  </si>
  <si>
    <t>PERMEJO, HONEYLETH R.</t>
  </si>
  <si>
    <t>PIRAMO, JUN E.</t>
  </si>
  <si>
    <t>PLANTILLA, SHAIRA JOY R.</t>
  </si>
  <si>
    <t>PLATA, ALAIZA MAE F.</t>
  </si>
  <si>
    <t>PRIVADO, BERNADETH R.</t>
  </si>
  <si>
    <t>PUENTE, MICA - ELLA P.</t>
  </si>
  <si>
    <t>QUINDOZA, ROFEL JEAN F.</t>
  </si>
  <si>
    <t>QUINTO, KEIT MICHAEL N.</t>
  </si>
  <si>
    <t>RABE, ELLAINE R.</t>
  </si>
  <si>
    <t>RABE, ELMER R.</t>
  </si>
  <si>
    <t>Family Child Development School</t>
  </si>
  <si>
    <t>RAMIRO, CRISTINA ROSE J.</t>
  </si>
  <si>
    <t>REDUGERIO, FRANCES KAYE R.</t>
  </si>
  <si>
    <t>REVIDIZO, LEIGH ANN T.</t>
  </si>
  <si>
    <t>REY, ANALYN P.</t>
  </si>
  <si>
    <t>TIMBERPRO INC.-PARAÑAQUE CITY</t>
  </si>
  <si>
    <t>REY, LAICA R.</t>
  </si>
  <si>
    <t>REY, PRECIOUS JEWEL B.</t>
  </si>
  <si>
    <t>REYNOSO, JERSON R.</t>
  </si>
  <si>
    <t>ROBLES, GRACE ANN R.</t>
  </si>
  <si>
    <t>ROGELIO, GINALYN M.</t>
  </si>
  <si>
    <t>ROGELIO, SHENALYN P.</t>
  </si>
  <si>
    <t>Sta.Cruz Marinduque</t>
  </si>
  <si>
    <t>ROLDAN, KIMBERLY P.</t>
  </si>
  <si>
    <t>Our Lady of Assumption College Inc. at San Pedro City Laguna</t>
  </si>
  <si>
    <t>ROSAS, AIREEN G.</t>
  </si>
  <si>
    <t>ROVEDILLO, KAREN JOY R.</t>
  </si>
  <si>
    <t>SARITO, LIEZEL M.</t>
  </si>
  <si>
    <t>SOLIS, EMERLYN R.</t>
  </si>
  <si>
    <t>SUAREZ, MARY ANN P.</t>
  </si>
  <si>
    <t>sta.rosa,city laguna</t>
  </si>
  <si>
    <t>SUBAAN, ABEGAIL J.</t>
  </si>
  <si>
    <t>TAYCO, JHAYMAR R.</t>
  </si>
  <si>
    <t>Public Market</t>
  </si>
  <si>
    <t>VALENZUELA, EDERLYN R.</t>
  </si>
  <si>
    <t>VILLALVA, VENUS O.</t>
  </si>
  <si>
    <t>Little Anak Learning School</t>
  </si>
  <si>
    <t>VILLARUEL, KRIEZELLE A.</t>
  </si>
  <si>
    <t>St. Peter Chapels Commonwealth, Commonwealth Avenue Corner, Tandang Sora St. Quezon City</t>
  </si>
  <si>
    <t>Pre-Elementary Education Curriculum</t>
  </si>
  <si>
    <t>DE CASTRO, JEREMIE P.</t>
  </si>
  <si>
    <t>FAUSTINO, CRYSHA MARTIZ Q.</t>
  </si>
  <si>
    <t>Alorica Philippines</t>
  </si>
  <si>
    <t>FRIAS, AIMEE A.</t>
  </si>
  <si>
    <t>FRIAS, JONABEL P.</t>
  </si>
  <si>
    <t>LAYAS, MABEL S.</t>
  </si>
  <si>
    <t>LLANTE, KRISTINE MAY F.</t>
  </si>
  <si>
    <t>Our Lady of Assumption College</t>
  </si>
  <si>
    <t>LOGATOC, LAILANIE L.</t>
  </si>
  <si>
    <t>MADRIGAL, HAZEL J.</t>
  </si>
  <si>
    <t>MALABANA, ARRIANNE MAE L.</t>
  </si>
  <si>
    <t>Golden Values School Inc.</t>
  </si>
  <si>
    <t>MALUNES, ELLA MAE R.</t>
  </si>
  <si>
    <t>MENIEL, JELENE V.</t>
  </si>
  <si>
    <t>Amkor technoloy 
Techno Park Biñan Laguna</t>
  </si>
  <si>
    <t>MONTEREY, ARARICA DM.</t>
  </si>
  <si>
    <t>NAZARETA, WENDY ANN P.</t>
  </si>
  <si>
    <t>NOLLORA, APPLE MHE R.</t>
  </si>
  <si>
    <t>PARDILLA, MARY ROSE V.</t>
  </si>
  <si>
    <t>Angel of the Holy Spirit Academy</t>
  </si>
  <si>
    <t>PELIAS, DANNAH ROSE R.</t>
  </si>
  <si>
    <t>Philippine Women's University JASMS Manila</t>
  </si>
  <si>
    <t>PEÑARROYO, ANGELICA S.</t>
  </si>
  <si>
    <t>PEÑARROYO, ANGHELIKA S.</t>
  </si>
  <si>
    <t>Dei Gracia Academy</t>
  </si>
  <si>
    <t>PERALTA, HENYLYN F.</t>
  </si>
  <si>
    <t>PERGIS, CHERRY ANN F.</t>
  </si>
  <si>
    <t>PHODACA, JERICA M.</t>
  </si>
  <si>
    <t>PILAR, ROSEANN R.</t>
  </si>
  <si>
    <t>PODACA, SHEILA P.</t>
  </si>
  <si>
    <t>QUARTEROS, JONELYN P.</t>
  </si>
  <si>
    <t>QUIJANO, GIRLY JEAN A.</t>
  </si>
  <si>
    <t>REANZARES, REYVEN R.</t>
  </si>
  <si>
    <t>Angono Rizal</t>
  </si>
  <si>
    <t>RECAÑA, MICHELLE R.</t>
  </si>
  <si>
    <t>Our Lady of Fatima University</t>
  </si>
  <si>
    <t>RECTO, SHERMAINE C.</t>
  </si>
  <si>
    <t>St. Alloysius Gonzaga Integrated School of Cavite</t>
  </si>
  <si>
    <t>REFORMA, MA. BIANCA MAE P.</t>
  </si>
  <si>
    <t>REGENCIA, MARGIE R.</t>
  </si>
  <si>
    <t>REGENCIA, MELODY I.</t>
  </si>
  <si>
    <t>REGENCIA, ROJECEL P.</t>
  </si>
  <si>
    <t>REGINIO, ANA MHAY I.</t>
  </si>
  <si>
    <t>RIBLEZA, STEPHANIE MAE Z.</t>
  </si>
  <si>
    <t>Holy Trinity Academy of Calamba Inc, Laguna</t>
  </si>
  <si>
    <t>RIVAS, LORIEDEL P.</t>
  </si>
  <si>
    <t>ROGEL, MYLENE P.</t>
  </si>
  <si>
    <t>ROGELIO, GHIENAMAE V.</t>
  </si>
  <si>
    <t>Department of Agriculture</t>
  </si>
  <si>
    <t>ROGELIO, ZYRAH M.</t>
  </si>
  <si>
    <t>ROLDAN, JUDYLEE R.</t>
  </si>
  <si>
    <t>Beatitudes Technological and Theological College Foundation Inc.</t>
  </si>
  <si>
    <t>ROSAL, ROSE ANN R.</t>
  </si>
  <si>
    <t>ROSAS, JUNESSA, M.</t>
  </si>
  <si>
    <t>ROSAS, MARK JUN F.</t>
  </si>
  <si>
    <t>Bureau of Fire Protection,
Gloria Fire Station/ Brgy. Maligaya,Gloria,Oriental Mindoro</t>
  </si>
  <si>
    <t>SIMANGAN, JONABEL R.</t>
  </si>
  <si>
    <t>ULIT, JAZMUND P.</t>
  </si>
  <si>
    <t>VALENCIA, DYRILLE R.</t>
  </si>
  <si>
    <t>DOLE, Boac Marinduque</t>
  </si>
  <si>
    <t>Campus 3 (Torrijos Campus)</t>
  </si>
  <si>
    <t>BS Entrepreneurship (Major - Agribusiness)</t>
  </si>
  <si>
    <t>ANDRADE, JENNELYN PEREDA</t>
  </si>
  <si>
    <t>DSWD-SUSTAINABLE LIVELIHOOD PROGRAM (SLP)</t>
  </si>
  <si>
    <t>CRUZADO, JUDY ANN R.</t>
  </si>
  <si>
    <t>g4s Cash Solution</t>
  </si>
  <si>
    <t>IDANAN, ALLAN</t>
  </si>
  <si>
    <t>LANUEVO, JV ANN</t>
  </si>
  <si>
    <t>SM</t>
  </si>
  <si>
    <t>PERIN, JERAMAE RESIDUO</t>
  </si>
  <si>
    <t xml:space="preserve">Bachelor of Agricultural Technology </t>
  </si>
  <si>
    <t>CASAL, JOHN CARLO MEDINA</t>
  </si>
  <si>
    <t>CHAVEZ, CHRISTOPHER OSMILLO</t>
  </si>
  <si>
    <t>DELA CRUZ, CHRISTOPHER MATAYA</t>
  </si>
  <si>
    <t>Peter Paul Phil. Corp</t>
  </si>
  <si>
    <t>ESPLANA, JUNE CARLO E.</t>
  </si>
  <si>
    <t>Toy Kingdom Company</t>
  </si>
  <si>
    <t>FIDELINO REYSSA RIVAREZ</t>
  </si>
  <si>
    <t>LARRACAS, PRINCE JONATHAN BARTOLO</t>
  </si>
  <si>
    <t>MSC- TORRIJOS</t>
  </si>
  <si>
    <t>LAURESTA, LEONEL PERANDOS</t>
  </si>
  <si>
    <t>Rona M. Bautista</t>
  </si>
  <si>
    <t>MALING, REY MANDEJA</t>
  </si>
  <si>
    <t>MANALO, ARIEL RODIL</t>
  </si>
  <si>
    <t>MANSALAPUS, DEXTER MANAGANA</t>
  </si>
  <si>
    <t>PAZ, CRISPULO AUSA</t>
  </si>
  <si>
    <t>PIELAGO, LEOVIN PELOBELLO</t>
  </si>
  <si>
    <t>PINEDA, MARY RICAHUERTA</t>
  </si>
  <si>
    <t>RAZA, RICHARD MARK TAPALLA</t>
  </si>
  <si>
    <t>RETARDO, RAMON Jr. PEÑARUBIA</t>
  </si>
  <si>
    <t>KGP Poultry Farm</t>
  </si>
  <si>
    <t>REVIDIZO, SAMUEL DE MESA</t>
  </si>
  <si>
    <t>APCO</t>
  </si>
  <si>
    <t>REVILLA, ROSABELLE ROSAS</t>
  </si>
  <si>
    <t>RODRIGUEZ, MIA AMOR ORDILLANO</t>
  </si>
  <si>
    <t>ROSAS, EDNA GRIMALDO</t>
  </si>
  <si>
    <t>SANCHEZ, MARK-RYAN CARIAN</t>
  </si>
  <si>
    <t>Cityland Condominium VIII</t>
  </si>
  <si>
    <t>TORRALBA, EDELYN</t>
  </si>
  <si>
    <t>Baliwag Lechon Manok and Liempo</t>
  </si>
  <si>
    <t>LARGA, ROBERT JOHNSON NITE</t>
  </si>
  <si>
    <t>Government</t>
  </si>
  <si>
    <t>MALAPAD, REYALYN VILLAVICENCIO</t>
  </si>
  <si>
    <t>MAÑANITA, MYKIEL CARLO LOGMAO</t>
  </si>
  <si>
    <t>IQOR- Philippines</t>
  </si>
  <si>
    <t>MANSIA, EVONIE DAWN RODRIGUEZ</t>
  </si>
  <si>
    <t>MORILLO, SHELA MAY HISTORILLO</t>
  </si>
  <si>
    <t>PEÑA, JOHN KENNETH CALUAG</t>
  </si>
  <si>
    <t>Municipal Waterworks Section</t>
  </si>
  <si>
    <t>QUIJANO, ROSEMARIE R.</t>
  </si>
  <si>
    <t>RACELIS, JUDITH C.</t>
  </si>
  <si>
    <t>REGIS, RAFAIM LLANTE</t>
  </si>
  <si>
    <t>DA-RFO MIMAROPA</t>
  </si>
  <si>
    <t>Campus 4 (Gasan Campus)</t>
  </si>
  <si>
    <t xml:space="preserve">Bachelor of Science in Fisheries </t>
  </si>
  <si>
    <t>ARAZA, LOVELY ROSE MONTIEL</t>
  </si>
  <si>
    <t>BRIONES, KRISTINE JOYCE LASTICA</t>
  </si>
  <si>
    <t>BFAR PFO Marinduque</t>
  </si>
  <si>
    <t>FRANCISCO, ERNESTO Jr. LANARIO</t>
  </si>
  <si>
    <t>GUEVARRA, KENRICK JEHIEL ROLLOQUE</t>
  </si>
  <si>
    <t>CARD BANK INC.</t>
  </si>
  <si>
    <t>HERNANDEZ, KIARRA BIANCA RUFON</t>
  </si>
  <si>
    <t>LACENA, NORWIN CAGUIOA</t>
  </si>
  <si>
    <t>LAMPAS, JHON PATRICK MONTIEL</t>
  </si>
  <si>
    <t>LAYLAY, MAFE VERSOZA</t>
  </si>
  <si>
    <t>MSC- Gasan Cmpus</t>
  </si>
  <si>
    <t>LUCI, MARK JAYSON LOTO</t>
  </si>
  <si>
    <t>MAGDALITA, CHERIELYN FADULLO</t>
  </si>
  <si>
    <t>Maxwell Inc.</t>
  </si>
  <si>
    <t>MERCENE, ANGELAINE SIENA</t>
  </si>
  <si>
    <t>MONDRAGON, KRISTINA CASSANDRA DOLENZO</t>
  </si>
  <si>
    <t>BFAR MIMAROPA Regional Office</t>
  </si>
  <si>
    <t>MONTEROZO, CHRISTOPHER PONDEVIDA</t>
  </si>
  <si>
    <t>MORENO, JEFFERSON SAGUIMO</t>
  </si>
  <si>
    <t>GENSTAR Corp.</t>
  </si>
  <si>
    <t>NABOS, DIALYN ABLING</t>
  </si>
  <si>
    <t>SAEZ, ERIC SAPUNGAN</t>
  </si>
  <si>
    <t>CDO ( Foodsphere)</t>
  </si>
  <si>
    <t>SADIWA, NELMAR MENDOZA</t>
  </si>
  <si>
    <t>SAGUID, ANNABEL</t>
  </si>
  <si>
    <t>SALCEDO, ELLAMAR JANE PALATINO</t>
  </si>
  <si>
    <t>SAPUNGAN, LORILY SEDA</t>
  </si>
  <si>
    <t>SERDEÑA, CHARMAIN LUCI</t>
  </si>
  <si>
    <t>SOTTA, JOHN KENNETH SEÑO</t>
  </si>
  <si>
    <t>TOLENTINO, ESPERANZA HISTORILLO</t>
  </si>
  <si>
    <r>
      <rPr>
        <b/>
        <vertAlign val="superscript"/>
        <sz val="10"/>
        <color rgb="FF000000"/>
        <rFont val="Tahoma"/>
        <family val="2"/>
      </rPr>
      <t>1</t>
    </r>
    <r>
      <rPr>
        <sz val="10"/>
        <color rgb="FF000000"/>
        <rFont val="Tahoma"/>
        <family val="2"/>
      </rPr>
      <t xml:space="preserve"> "EMPLOYED" includes all forms/types of employment regardless of status, and self-employment</t>
    </r>
  </si>
  <si>
    <r>
      <rPr>
        <b/>
        <sz val="10"/>
        <color rgb="FF000000"/>
        <rFont val="Tahoma"/>
        <family val="2"/>
      </rPr>
      <t>NT</t>
    </r>
    <r>
      <rPr>
        <sz val="10"/>
        <color rgb="FF000000"/>
        <rFont val="Tahoma"/>
        <family val="2"/>
      </rPr>
      <t xml:space="preserve"> = not tracked</t>
    </r>
  </si>
  <si>
    <t>GRAND TOTAL</t>
  </si>
  <si>
    <t>JESSECA P. NAILGAS</t>
  </si>
  <si>
    <t>February 18, 2022</t>
  </si>
  <si>
    <t>ROMULO H. MALVAR, Ph. D., FFCP, CESE</t>
  </si>
  <si>
    <t>ADVANCED EDUCATION PROGRAM</t>
  </si>
  <si>
    <t>Output Indicator 1: Percentage of graduate students enrolled in CHED-identified and RDC-identified priority programs</t>
  </si>
  <si>
    <t>1. List graduate programs in ALL campuses</t>
  </si>
  <si>
    <r>
      <rPr>
        <b/>
        <sz val="10"/>
        <color rgb="FF000000"/>
        <rFont val="Tahoma"/>
        <family val="2"/>
      </rPr>
      <t xml:space="preserve">NO. OF ENROLLED STUDENTS
</t>
    </r>
    <r>
      <rPr>
        <sz val="10"/>
        <color rgb="FF000000"/>
        <rFont val="Tahoma"/>
        <family val="2"/>
      </rPr>
      <t>(1st Sem AY 2021-2022)</t>
    </r>
  </si>
  <si>
    <t>Requiring Thesis/Dissertation</t>
  </si>
  <si>
    <t>NOT Requiring Thesis/Dissertation</t>
  </si>
  <si>
    <t>Campus 1 (Please identify)</t>
  </si>
  <si>
    <t>Annex A: Enrollment list
Annex B: Curriculum / Syllabus</t>
  </si>
  <si>
    <t>Doctor of Education</t>
  </si>
  <si>
    <t>Master Arts in Education</t>
  </si>
  <si>
    <t>Master of Public Administration</t>
  </si>
  <si>
    <t>Output Indicator 2: Percentage of graduate programs with accreditation</t>
  </si>
  <si>
    <r>
      <rPr>
        <sz val="10"/>
        <color rgb="FF000000"/>
        <rFont val="Tahoma"/>
        <family val="2"/>
      </rPr>
      <t xml:space="preserve">2. Choose </t>
    </r>
    <r>
      <rPr>
        <b/>
        <sz val="10"/>
        <color rgb="FF000000"/>
        <rFont val="Tahoma"/>
        <family val="2"/>
      </rPr>
      <t>ACCREDITATION LEVEL/STATUS</t>
    </r>
    <r>
      <rPr>
        <sz val="10"/>
        <color rgb="FF000000"/>
        <rFont val="Tahoma"/>
        <family val="2"/>
      </rPr>
      <t xml:space="preserve"> (tick ONE from </t>
    </r>
    <r>
      <rPr>
        <b/>
        <sz val="10"/>
        <color rgb="FF000000"/>
        <rFont val="Tahoma"/>
        <family val="2"/>
      </rPr>
      <t>column A-F</t>
    </r>
    <r>
      <rPr>
        <sz val="10"/>
        <color rgb="FF000000"/>
        <rFont val="Tahoma"/>
        <family val="2"/>
      </rPr>
      <t>)</t>
    </r>
  </si>
  <si>
    <r>
      <rPr>
        <sz val="10"/>
        <color rgb="FF000000"/>
        <rFont val="Tahoma"/>
        <family val="2"/>
      </rPr>
      <t xml:space="preserve">3. Please indicate period of validity, including programs with </t>
    </r>
    <r>
      <rPr>
        <b/>
        <sz val="10"/>
        <color rgb="FF000000"/>
        <rFont val="Tahoma"/>
        <family val="2"/>
      </rPr>
      <t>CANDIDATE STATUS (CS), VALIDITY PERIOD AS OF DECEMBER 31, 2021</t>
    </r>
  </si>
  <si>
    <r>
      <rPr>
        <sz val="10"/>
        <color rgb="FF000000"/>
        <rFont val="Tahoma"/>
        <family val="2"/>
      </rPr>
      <t xml:space="preserve">4. For programs that are </t>
    </r>
    <r>
      <rPr>
        <b/>
        <sz val="10"/>
        <color rgb="FF000000"/>
        <rFont val="Tahoma"/>
        <family val="2"/>
      </rPr>
      <t>NOT ACCREDITED (NA)</t>
    </r>
    <r>
      <rPr>
        <sz val="10"/>
        <color rgb="FF000000"/>
        <rFont val="Tahoma"/>
        <family val="2"/>
      </rPr>
      <t>, indicate the reason for non-accreditation in column 5. Choose from drop-down list</t>
    </r>
  </si>
  <si>
    <t>PROGRAM NAME
(Graduate Program)</t>
  </si>
  <si>
    <t>YEAR OF FIRST BATCH OF GRADUATES</t>
  </si>
  <si>
    <t>STATUS  OF ACCREDITATION</t>
  </si>
  <si>
    <r>
      <rPr>
        <b/>
        <sz val="10"/>
        <color rgb="FF000000"/>
        <rFont val="Tahoma"/>
        <family val="2"/>
      </rPr>
      <t xml:space="preserve">PERIOD OF VALIDITY 
</t>
    </r>
    <r>
      <rPr>
        <sz val="10"/>
        <color rgb="FF000000"/>
        <rFont val="Tahoma"/>
        <family val="2"/>
      </rPr>
      <t>(Accreditation)</t>
    </r>
  </si>
  <si>
    <r>
      <rPr>
        <b/>
        <sz val="10"/>
        <color rgb="FF000000"/>
        <rFont val="Tahoma"/>
        <family val="2"/>
      </rPr>
      <t xml:space="preserve">REMARKS 
</t>
    </r>
    <r>
      <rPr>
        <sz val="10"/>
        <color rgb="FF000000"/>
        <rFont val="Tahoma"/>
        <family val="2"/>
      </rPr>
      <t>(for column 4)</t>
    </r>
  </si>
  <si>
    <r>
      <rPr>
        <b/>
        <sz val="10"/>
        <color rgb="FF000000"/>
        <rFont val="Tahoma"/>
        <family val="2"/>
      </rPr>
      <t>FROM</t>
    </r>
    <r>
      <rPr>
        <sz val="10"/>
        <color rgb="FF000000"/>
        <rFont val="Tahoma"/>
        <family val="2"/>
      </rPr>
      <t xml:space="preserve">
(mm/dd/yyyy)</t>
    </r>
  </si>
  <si>
    <r>
      <rPr>
        <b/>
        <sz val="10"/>
        <color rgb="FF000000"/>
        <rFont val="Tahoma"/>
        <family val="2"/>
      </rPr>
      <t>TO</t>
    </r>
    <r>
      <rPr>
        <sz val="10"/>
        <color rgb="FF000000"/>
        <rFont val="Tahoma"/>
        <family val="2"/>
      </rPr>
      <t xml:space="preserve">
(mm/dd/yyyy)</t>
    </r>
  </si>
  <si>
    <t xml:space="preserve">Doctor of Education major in Curriculum Development and Management </t>
  </si>
  <si>
    <t>Summer 2008</t>
  </si>
  <si>
    <t>June 2022</t>
  </si>
  <si>
    <t>Master of Arts in Education - Educational Management</t>
  </si>
  <si>
    <t>1987 - 1988</t>
  </si>
  <si>
    <t>May 1, 2020</t>
  </si>
  <si>
    <t xml:space="preserve"> March 30, 2022</t>
  </si>
  <si>
    <t>Master in Public Administration major in: Organizational Studies; and Local Government and Regional Administration</t>
  </si>
  <si>
    <t>1995 - 1996</t>
  </si>
  <si>
    <t>Name of Campus-Location</t>
  </si>
  <si>
    <t>NOT ACCREDITABLE</t>
  </si>
  <si>
    <t>DID NOT APPLY FOR 
ACCREDITATION</t>
  </si>
  <si>
    <t xml:space="preserve">Total number of ACCREDITED Programs </t>
  </si>
  <si>
    <t>Total number of ACCREDITABLE Programs</t>
  </si>
  <si>
    <t>Outcome Indicator : Percentage of graduate school faculty engaged in research work</t>
  </si>
  <si>
    <t>1. The total number in the cerfied list SHOULD correspond to the value indicated in Column 1</t>
  </si>
  <si>
    <r>
      <rPr>
        <sz val="10"/>
        <color rgb="FF000000"/>
        <rFont val="Tahoma"/>
        <family val="2"/>
      </rPr>
      <t xml:space="preserve">2. All data indicated in this report </t>
    </r>
    <r>
      <rPr>
        <b/>
        <sz val="10"/>
        <color rgb="FF000000"/>
        <rFont val="Tahoma"/>
        <family val="2"/>
      </rPr>
      <t>WILL BE DISREGARDED</t>
    </r>
    <r>
      <rPr>
        <sz val="10"/>
        <color rgb="FF000000"/>
        <rFont val="Tahoma"/>
        <family val="2"/>
      </rPr>
      <t xml:space="preserve"> and</t>
    </r>
    <r>
      <rPr>
        <b/>
        <sz val="10"/>
        <color rgb="FF000000"/>
        <rFont val="Tahoma"/>
        <family val="2"/>
      </rPr>
      <t xml:space="preserve"> NOT CONSIDERED</t>
    </r>
    <r>
      <rPr>
        <sz val="10"/>
        <color rgb="FF000000"/>
        <rFont val="Tahoma"/>
        <family val="2"/>
      </rPr>
      <t xml:space="preserve"> as part of the accomplishment WITHOUT the accompanying evidence (per MOV)</t>
    </r>
  </si>
  <si>
    <t>1) Duly certified list of graduate scholl faculty with PLANTILLA positions</t>
  </si>
  <si>
    <t>2) PSIPOP or any equivalent official document providing evidence of the personnel's item/position</t>
  </si>
  <si>
    <t>3) For personnel classified under Categroy B, C, and D, who are not the sole author of the research, provide proof that shows participation in the research undertaking</t>
  </si>
  <si>
    <t>Total no. of graduate school faculty with PLANTILLA positions</t>
  </si>
  <si>
    <t>Category A</t>
  </si>
  <si>
    <t>Category B</t>
  </si>
  <si>
    <t>Categry C</t>
  </si>
  <si>
    <t>Category D</t>
  </si>
  <si>
    <r>
      <rPr>
        <sz val="9"/>
        <color rgb="FF000000"/>
        <rFont val="Tahoma"/>
        <family val="2"/>
      </rPr>
      <t xml:space="preserve">No. of graduate school faculty with PLANTILLA positions </t>
    </r>
    <r>
      <rPr>
        <b/>
        <sz val="9"/>
        <color rgb="FF000000"/>
        <rFont val="Tahoma"/>
        <family val="2"/>
      </rPr>
      <t>pursuing advance degree programs (Doctorate)</t>
    </r>
  </si>
  <si>
    <r>
      <rPr>
        <sz val="9"/>
        <color rgb="FF000000"/>
        <rFont val="Tahoma"/>
        <family val="2"/>
      </rPr>
      <t xml:space="preserve">No. of graduate school faculty with PLANTILLA positions </t>
    </r>
    <r>
      <rPr>
        <b/>
        <sz val="9"/>
        <color rgb="FF000000"/>
        <rFont val="Tahoma"/>
        <family val="2"/>
      </rPr>
      <t>actively pursuing research within the last (3) years</t>
    </r>
    <r>
      <rPr>
        <sz val="9"/>
        <color rgb="FF000000"/>
        <rFont val="Tahoma"/>
        <family val="2"/>
      </rPr>
      <t xml:space="preserve"> </t>
    </r>
    <r>
      <rPr>
        <vertAlign val="superscript"/>
        <sz val="9"/>
        <color rgb="FFFF0000"/>
        <rFont val="Tahoma"/>
        <family val="2"/>
      </rPr>
      <t>1</t>
    </r>
  </si>
  <si>
    <r>
      <rPr>
        <sz val="9"/>
        <color rgb="FF000000"/>
        <rFont val="Tahoma"/>
        <family val="2"/>
      </rPr>
      <t xml:space="preserve">No. of graduate school faculty with PLANTILLA positions </t>
    </r>
    <r>
      <rPr>
        <b/>
        <sz val="9"/>
        <color rgb="FF000000"/>
        <rFont val="Tahoma"/>
        <family val="2"/>
      </rPr>
      <t>producing technologies for commercialization or livelihood improvement</t>
    </r>
  </si>
  <si>
    <r>
      <rPr>
        <sz val="9"/>
        <color rgb="FF000000"/>
        <rFont val="Tahoma"/>
        <family val="2"/>
      </rPr>
      <t xml:space="preserve">No. of graduate school faculty with PLANTILLA positions </t>
    </r>
    <r>
      <rPr>
        <b/>
        <sz val="9"/>
        <color rgb="FF000000"/>
        <rFont val="Tahoma"/>
        <family val="2"/>
      </rPr>
      <t>whose research work resulted in an extension program</t>
    </r>
  </si>
  <si>
    <t>Rate</t>
  </si>
  <si>
    <t>Investigative research, basic and applied scientific research, policy research, social science research</t>
  </si>
  <si>
    <t>DESIREE ANN M. STO DOMINGO</t>
  </si>
  <si>
    <t>February 24, 2022</t>
  </si>
  <si>
    <t>Name &amp; Signaure</t>
  </si>
  <si>
    <t>RESEARCH PROGRAM</t>
  </si>
  <si>
    <r>
      <rPr>
        <b/>
        <sz val="10"/>
        <color rgb="FF000000"/>
        <rFont val="Tahoma"/>
        <family val="2"/>
      </rPr>
      <t>Output Indicator 1 : Number of research outputs</t>
    </r>
    <r>
      <rPr>
        <b/>
        <sz val="10"/>
        <color rgb="FF000000"/>
        <rFont val="Tahoma"/>
        <family val="2"/>
      </rPr>
      <t xml:space="preserve"> completed within the year</t>
    </r>
  </si>
  <si>
    <t xml:space="preserve">Output Indicator 2 (State Universities)  : Percentage of research outputs published in internationally-refereed </t>
  </si>
  <si>
    <t xml:space="preserve">                               (State Colleges)        : Percentage of research outputs presented in national, regional, or international fora  within the year</t>
  </si>
  <si>
    <r>
      <rPr>
        <b/>
        <sz val="10"/>
        <color theme="1"/>
        <rFont val="Tahoma"/>
        <family val="2"/>
      </rPr>
      <t>Outcome Indicator  : Number of research outputs in the last 3 years utilized by the industry or by other beneficiary</t>
    </r>
    <r>
      <rPr>
        <b/>
        <vertAlign val="superscript"/>
        <sz val="10"/>
        <color rgb="FFFF0000"/>
        <rFont val="Tahoma"/>
        <family val="2"/>
      </rPr>
      <t>1</t>
    </r>
  </si>
  <si>
    <t xml:space="preserve"> </t>
  </si>
  <si>
    <r>
      <rPr>
        <sz val="10"/>
        <color theme="1"/>
        <rFont val="Tahoma"/>
        <family val="2"/>
      </rPr>
      <t>1. List all researches in the last three years i</t>
    </r>
    <r>
      <rPr>
        <b/>
        <sz val="10"/>
        <color theme="1"/>
        <rFont val="Tahoma"/>
        <family val="2"/>
      </rPr>
      <t>in the following order</t>
    </r>
    <r>
      <rPr>
        <sz val="10"/>
        <color theme="1"/>
        <rFont val="Tahoma"/>
        <family val="2"/>
      </rPr>
      <t xml:space="preserve"> (FY 2021, 2020, 2019)</t>
    </r>
  </si>
  <si>
    <t>2. For State Colleges, please fill-up infomration for PRESENTATIONS, may include on-going researches started in FY 2019, 2020, and 2021</t>
  </si>
  <si>
    <t>3. For RESEARCH PRESENTATION, in-house presentations/reviews ARE NOT CONSIDERED</t>
  </si>
  <si>
    <t>3. For State Universiites, please fill-up infomration for PUBLICATIONS</t>
  </si>
  <si>
    <t>4. Incomplete entries will be DISREGARDED</t>
  </si>
  <si>
    <t>1) Research Abstract</t>
  </si>
  <si>
    <t>2) PRESENTATION</t>
  </si>
  <si>
    <t>a. Conference Proceedings</t>
  </si>
  <si>
    <t>b. Proof of attendance</t>
  </si>
  <si>
    <t>3) PUBLICATION</t>
  </si>
  <si>
    <t>a. Title Page of Journal</t>
  </si>
  <si>
    <t>b. Table of Contents</t>
  </si>
  <si>
    <t>c. Published research with actual pages of journal</t>
  </si>
  <si>
    <t>NOTE: Journals, publishers, etc. will not be considered if tagged in Beal's List / Predatory Journals</t>
  </si>
  <si>
    <t>4) UTILIZATION</t>
  </si>
  <si>
    <t>a. MOUs/MOAs</t>
  </si>
  <si>
    <t xml:space="preserve">b. Extension reports, certification from beneficiaries, </t>
  </si>
  <si>
    <t>RESEARCH TITLE</t>
  </si>
  <si>
    <t>DURATION</t>
  </si>
  <si>
    <t>PRESENTATION</t>
  </si>
  <si>
    <t>PUBLICATION</t>
  </si>
  <si>
    <t>OUTPUT</t>
  </si>
  <si>
    <t>UTILIZATION</t>
  </si>
  <si>
    <t>On-going</t>
  </si>
  <si>
    <t xml:space="preserve">Started </t>
  </si>
  <si>
    <t>Completed</t>
  </si>
  <si>
    <t>ARTICLE / TITLE</t>
  </si>
  <si>
    <t>TITLE OF FORUM</t>
  </si>
  <si>
    <t>VENUE</t>
  </si>
  <si>
    <t>TYPE
(National, Regional or International)</t>
  </si>
  <si>
    <t>DATE</t>
  </si>
  <si>
    <t>DATE OF PUBLICATION</t>
  </si>
  <si>
    <t>TITLE OF JOURNAL OR PUBLICATION</t>
  </si>
  <si>
    <t>VOL. NO. &amp; 
ISSUE NO.</t>
  </si>
  <si>
    <t>ISSN / ISBN</t>
  </si>
  <si>
    <t>INDEX</t>
  </si>
  <si>
    <t>PRODUCT NAME / METHODS / PROCESS/ TECHNOLOGY</t>
  </si>
  <si>
    <t>PROOF / DESCRIPTION / DOCUMENTATION</t>
  </si>
  <si>
    <r>
      <rPr>
        <b/>
        <sz val="10"/>
        <color theme="1"/>
        <rFont val="Tahoma"/>
        <family val="2"/>
      </rPr>
      <t xml:space="preserve">BENEFICIARY
</t>
    </r>
    <r>
      <rPr>
        <sz val="10"/>
        <color theme="1"/>
        <rFont val="Tahoma"/>
        <family val="2"/>
      </rPr>
      <t>(PARTNER INDUSTRY / COMMUNITY)</t>
    </r>
  </si>
  <si>
    <t>(mm/dd/yyyy)</t>
  </si>
  <si>
    <t xml:space="preserve"> (mm/dd/yyyy)</t>
  </si>
  <si>
    <t>An English Language Learners Perspective: Implementation of Flexible Blended Learning in an ESL Learning Context</t>
  </si>
  <si>
    <t>3rd DLSAU International Multidisciplinary Research Conference</t>
  </si>
  <si>
    <t>De La Salle Araneta University via microsoft teams</t>
  </si>
  <si>
    <t>International</t>
  </si>
  <si>
    <t>January 22-23, 2021</t>
  </si>
  <si>
    <t>Remote Flexible Blended Learning as an Instructional Modality for Physical Course amidst the COVID-19 Pandemic: A Phenomenological Study on the Experiences, Challenges Encountered and Suggestions of Students in a Public College</t>
  </si>
  <si>
    <t>Utilization of Kamansi Seeds</t>
  </si>
  <si>
    <t>Learning Under Lockdown: ELS Students’ Experiences, Challenges, and Suggestions on Remote Learning  in the Rural Setting Amidst the COVID-19 Pandemic</t>
  </si>
  <si>
    <t>E-Skwela in the Age of Pandemic: Perception of BA Communication Students in the Use of Virtual Classrooms for the Online Classes</t>
  </si>
  <si>
    <t xml:space="preserve">3rd International Congress in Multidisciplinary Research </t>
  </si>
  <si>
    <t>via zoom video conference</t>
  </si>
  <si>
    <t>February 12-14, 2021</t>
  </si>
  <si>
    <t>Response of Local Government Unit Towards Covid-19 Pandemic: A Study of Health Crisis Communication Management of Barangay Pili, Mogpog, Marinduque</t>
  </si>
  <si>
    <t>Success and Challenges of BSIT Students in Learning English in a Flexible Blended Learning Context</t>
  </si>
  <si>
    <t xml:space="preserve">3rd Linguistic Society of the Philippines International Conference 2021 (LSPIC 2021) </t>
  </si>
  <si>
    <t xml:space="preserve">University of Sto. Tomas via Zoom </t>
  </si>
  <si>
    <t>March 11-13, 2021</t>
  </si>
  <si>
    <t>Transitivity Analysis of Public Forum Responses of Candidates for SUC President in Marinduque State College</t>
  </si>
  <si>
    <t>Tanawing Pangwika: Isang Pag-aaral sa Kasiglahan ng Wika sa Poblasyon ng Summer Capital ng  Marinduque</t>
  </si>
  <si>
    <t>Perception of ELS Students on the Use of Open Education Resources (OER) for Remote Learning</t>
  </si>
  <si>
    <t>Development and Validation of Technology-Enhanced Module for Teaching Oral Communication in Context</t>
  </si>
  <si>
    <t>Enhancement, Restoration, and Protection of Nipa Stands in Marinduque</t>
  </si>
  <si>
    <t xml:space="preserve">    Ongoing</t>
  </si>
  <si>
    <t>Initiating  Enhancement, Restoration and Protection of Nipa Stands Amidst the COVID-19 Pandemic: Important Lessons Learned from the Marinduque State College Community Engagement</t>
  </si>
  <si>
    <t>2nd International Conference on Governance and Development (ICDG2)</t>
  </si>
  <si>
    <t>University of the Philippines Los Baños</t>
  </si>
  <si>
    <t>March 23-25, 2021</t>
  </si>
  <si>
    <t>Analysis of Difficulty Levels of Information Technology Tools During the Pandemic</t>
  </si>
  <si>
    <t>17th International Conference on Technology, Knowledge, and Society</t>
  </si>
  <si>
    <t>University of Melbourne, Australia – Technology, Knowledge &amp; Society Research Network</t>
  </si>
  <si>
    <t>April 6-9, 2021</t>
  </si>
  <si>
    <t>Healing Practices used by Traditional Doctors: The Effectiveness in Medication</t>
  </si>
  <si>
    <t xml:space="preserve">International Virtual Multidisciplinary Research Conference
</t>
  </si>
  <si>
    <t>St. Dominic College of Asia</t>
  </si>
  <si>
    <t>April 26-27, 2021</t>
  </si>
  <si>
    <t>Phytochemical and Mineral Analysis of Trichantera Gigantea established in Markaduke Research and Development Center (MRDC) Marinduque, Philippines</t>
  </si>
  <si>
    <t xml:space="preserve">5th International Conference in Latest Trends of Education and Research (ICILTER) </t>
  </si>
  <si>
    <t>via Zoom - Global Researchers Association and Convergence for Excellence (GRACE) Inc.</t>
  </si>
  <si>
    <t>May 13-15, 2021</t>
  </si>
  <si>
    <t>Acid Drainage from Sulphidic Mine Wastes: Comparing Continental Climate Mainland and Tropical  Climate Sea Deposition Settings</t>
  </si>
  <si>
    <t xml:space="preserve">ACTA Mineralogica-Petrographica Department of Mineralogy, Geochemistry and Petrology </t>
  </si>
  <si>
    <t>University of Szeged, Szeged, Hungary</t>
  </si>
  <si>
    <t>May 13-14, 2021</t>
  </si>
  <si>
    <t>Inventory Management and Recordkeeping Practices of Paru-Paro Farms in the Province of Marinduque: Basis for Improved Financial Management Strategies</t>
  </si>
  <si>
    <t xml:space="preserve">Philippine Institute of Certified Public Accountants (PICPA Foundation, Inc.) National Association of Certified Public Accountants in Education </t>
  </si>
  <si>
    <t>via zoom</t>
  </si>
  <si>
    <t>May 14-15, 2021</t>
  </si>
  <si>
    <t xml:space="preserve">Flexible Blended Learning Experiences of Marinduque State College Students: Implications to the Development of English Language Learning Proficiency </t>
  </si>
  <si>
    <t>6th Regional Science and Technology Conference</t>
  </si>
  <si>
    <t>Marinduque State College via Zoom</t>
  </si>
  <si>
    <t>Regional</t>
  </si>
  <si>
    <t>Na Dolores Na: Exploring the Awareness of Teenagers to their Barangay’s Origin</t>
  </si>
  <si>
    <t xml:space="preserve">Taza: Verity of the Myth and its Social Inferences to the Inhabitants of Barangay Tanza </t>
  </si>
  <si>
    <t>Validation and Acceptability of the Developed E-module in  Mathematics 9</t>
  </si>
  <si>
    <t xml:space="preserve">Spatial Variation of Macroinvertebrate Communities in Seagrass Habitats and Ecotones between Adjacent Habitats in Marinduque Island, Philippines </t>
  </si>
  <si>
    <t>Intensification of the Utilization of Coconut Husk in the Province of Marinduque</t>
  </si>
  <si>
    <t>Growth and Yield Evaluation of Tomato (Lycopersicon esculentum), Eggplant (Solanum melongena) and Long pepper (Capsicum annuum var. longum) using coco fiber-based planter box under deficit irrigation condition in Boac, Marinduque, Philippines</t>
  </si>
  <si>
    <t>Holistic and Ecofriendly Actions with Locals towards Healthy Community (HEALTH Comm.) Programs in Philippines: An Impact Assessment</t>
  </si>
  <si>
    <t>Performance of the Barangay  Disaster Risk Reduction and  Management Committee in Island and Mainland Barangays in Marinduque</t>
  </si>
  <si>
    <t>Web-based Loan Management for Mogpog Multi-Purpose  Cooperative</t>
  </si>
  <si>
    <t>Parental Engagement in ICT Related subjects: A Case Study on the Role and Competencies of Parents in Children’s Learning amidst Pandemic</t>
  </si>
  <si>
    <t>National ICT Competency Standards (NICS) Basic Assessment on Selected Personnel in the Municipal Government of Boac, Marinduque</t>
  </si>
  <si>
    <t>Web-Based Monitoring and Controlling   System of Swine Feeding, Bathing, and Manure Cleaning for Marinduque Local Pig Farmers Using Arduino, Raspberry Pi and Internet of Things (IoT)</t>
  </si>
  <si>
    <t>Extraction of Bio-ethanol from Coconut and Nipa Saps: An alternative source of hydrous alcohol for the province of Marinduque</t>
  </si>
  <si>
    <t>Bioethanol Project:  An MSC Community Engagement during the  Covid-19 Pandemic and Beyond</t>
  </si>
  <si>
    <t xml:space="preserve">Subsistence of Arts and Cultural Heritage in the Island Province of Marinduque, Philippines: Education Challenges in the New Normal </t>
  </si>
  <si>
    <t xml:space="preserve">2nd International Research and Education  Summit (2nd IRES) </t>
  </si>
  <si>
    <t>via Zoom</t>
  </si>
  <si>
    <t>July 24-26, 2021</t>
  </si>
  <si>
    <t>Mapping of Selected Social Practices as Intangible Cultural Heritage in Marinduque</t>
  </si>
  <si>
    <t>Exploring the Traditional Marindukanon Recreational Games as Input for Learning Module in  P.E. Based on the ASCP Whole Child Framework</t>
  </si>
  <si>
    <t>A Narrative Inquiry of Youth Engagement in Environmental Stewardship as Influenced by Social Actors</t>
  </si>
  <si>
    <t>Succession, Abundance, Severity of Damage, and Natural Enemies of Arthropod Pests Associated with Chrysanthemum (Dendranthema grandiflora Tzvelev)</t>
  </si>
  <si>
    <t>1st International Agriculture, Biosystems and Technology  Conference (1st IABT  Conference 2021)</t>
  </si>
  <si>
    <t>Tarlac  Agricultural University</t>
  </si>
  <si>
    <t>July 22-23, 2021</t>
  </si>
  <si>
    <t>Seagrass Gleaning Fisheries in Marinduque Island, Philippines: Socio-Ecological Approach</t>
  </si>
  <si>
    <t xml:space="preserve">International Multidisciplinary Research Colloquium (IMRC) </t>
  </si>
  <si>
    <t>President Ramon Magsaysay State University via online teleconferencing</t>
  </si>
  <si>
    <t>August 10-11, 2021</t>
  </si>
  <si>
    <t>Electro-Pneumatic Banana Slicing Machine</t>
  </si>
  <si>
    <t>Regional Invention Contest and Exhibits (RICE) –DOST-TAPI</t>
  </si>
  <si>
    <t>August 10-12, 2021</t>
  </si>
  <si>
    <t>Nipa Plantation and Bioethanol  Production Amidst the COVID-19 Pandemic: A Potential Sustainable Livelihood for the Local Community Partners</t>
  </si>
  <si>
    <t>2nd International Conference on Education, Environment and Agriculture (ICEEA2021)</t>
  </si>
  <si>
    <t>August 25-26, 2021</t>
  </si>
  <si>
    <t>Technological Capacity and Academic Compliance of Allied Health Students in Marinduque State College: Basis in the Crafting of Flexible Learning Guidelines</t>
  </si>
  <si>
    <t xml:space="preserve">10th MHRDC Health Research Forum – MIMAROPA Health Research and Development Consortium </t>
  </si>
  <si>
    <t xml:space="preserve">via Zoom </t>
  </si>
  <si>
    <t>November 9-10, 2021</t>
  </si>
  <si>
    <t>Masid-Bakuna Kontra COVID-19: Vaccination Status among Students of Marinduque State College, Basis for Interventions</t>
  </si>
  <si>
    <t>Covid-19 Vaccination Hesitancy Survey in Marinduque Province – 2nd Best Paper Award</t>
  </si>
  <si>
    <t xml:space="preserve">SAMDAMAYAN Project MSC COVID-19 Vaccination Activity </t>
  </si>
  <si>
    <t>This vaccination program initiated by the Institute of Allied Health Sciences in collaboration with the Provincial Health Office intends to contribute in vaccinating a significant number of people to combat the rising cases of COVID-19 in the province.</t>
  </si>
  <si>
    <t>Local Government Unit
Provincial Health Office</t>
  </si>
  <si>
    <t>MSC produced alcohol-based hand sanitizer acceptability and perceived effectiveness of the product: A Frontliner’s perspective</t>
  </si>
  <si>
    <t>Financial Management Practices of Selected Agribusiness Enterprises in Marinduque</t>
  </si>
  <si>
    <t>3rd Global Agribusiness Management &amp; Entrepreneurship Conference  - UP Los Banos &amp; SEARCA</t>
  </si>
  <si>
    <t>November 18-19, 2021</t>
  </si>
  <si>
    <t>MSCCA Island and Archipelagic Studies/Island Studies, Living Heritage, Traditions,  and Archipelagic Network for Development (Island) Studies Center and Creative Hub</t>
  </si>
  <si>
    <t>Pambansang Kumperensya ng Pananaliksik sa Araling Pilipino</t>
  </si>
  <si>
    <t>National</t>
  </si>
  <si>
    <t>Exploring Indigenous Commodities in the Locality: The Case of Arrowroot Industry of Marinduque</t>
  </si>
  <si>
    <t>5th International Research, Development and Extension (RDE) Management Congress and 30th Naitonal Philarm Convention</t>
  </si>
  <si>
    <t>December 9-10, 2021</t>
  </si>
  <si>
    <t>Market Driven Upscale Productivity (MARKUP) of Markaduke</t>
  </si>
  <si>
    <t xml:space="preserve">   Ongoing</t>
  </si>
  <si>
    <t xml:space="preserve">Social Perception on African Swine Fever Outbreak in  the Island Province of Marinduque, Philippines </t>
  </si>
  <si>
    <t>1st Bulacan Agricultural State College  (BASC) International Research Conference - Bulacan Agricultural State College</t>
  </si>
  <si>
    <t>Carcass Recovery of Markaduke Pig at Nucleus Farm in Marinduque</t>
  </si>
  <si>
    <t xml:space="preserve">5th International Conference in Research, Education, Management,and the Social Sciences </t>
  </si>
  <si>
    <t>December 11-12, 2021</t>
  </si>
  <si>
    <t>Tracer Study of Bachelor of Science in Fisheries Graduates of Marinduque State College</t>
  </si>
  <si>
    <t>Employability of Bachelor of Science in Fisheries Graduates at Marinduque State College-Department of Fisheries-Banuyo, Gasan, Marinduque</t>
  </si>
  <si>
    <t>International Research Conference on Higher Education (IRCHE) – Polytechnic University of the Philippines</t>
  </si>
  <si>
    <t>December 13-16, 2021</t>
  </si>
  <si>
    <t>Business Diagnosis Framework: Basis for Designing Strategies for MSMEs</t>
  </si>
  <si>
    <t>Digitalization of MSMEs through development and implementation of sales and inventory management system (SIMS) Based on production monitoring</t>
  </si>
  <si>
    <t>This project is a collaboration with DOST MIMAROPA which aims to implement a web-based software that can be used in managing sales and inventory in bakery operation which is based on the monitoring of production processes with BOT Resolution no. 79-9, s. 2021.</t>
  </si>
  <si>
    <t>Krisna' Bakeshop, Doughboys Bakery, Rejano's Bakery, Solomon's Bakery</t>
  </si>
  <si>
    <t>Profiling The Rural, Urban And Rurban Characteristics Of The Province Of Marinduque</t>
  </si>
  <si>
    <t>7th Regional Science and Technology Conference</t>
  </si>
  <si>
    <t xml:space="preserve">December 15-16, 2021 </t>
  </si>
  <si>
    <t>Effects On The Academic Performance Of Selected Entrepreneurship Students In Marinduque State College Before And During The Covid-19 Pandemic</t>
  </si>
  <si>
    <t>Perception Of E-Wallets As The Mode Of Payment For Online Enrolment In Msc</t>
  </si>
  <si>
    <t>Sda-Base Monte Carlo Simulation For Road Project Scheduling</t>
  </si>
  <si>
    <t>Utilization Of Geotextile From Butuhan (Musa Balbisiana) Pseudo-Stem Fibers</t>
  </si>
  <si>
    <t>Digital Analysis On The Matureness Of Coconut Fruit Through Acoustic Classification And Processing: Basis For The Development Of Coconut Husk Maturity Testing Device</t>
  </si>
  <si>
    <t>Heritage Tourism Potential Of The Former Mining Site In Marinduque Island, Philippines</t>
  </si>
  <si>
    <t>Level Of Satisfaction Of Barangay Pili, Mogpog On The Programs And Services Delivered By The Local Government Unit</t>
  </si>
  <si>
    <t>Physical Environment Quality Of The Roll On/Roll-Off Transport Boats Serving The Marinduque-Lucena Route For Tourism Industry</t>
  </si>
  <si>
    <t>Tourism Marketing Practices Of Selected Beaches In Santa Cruz Marinduque: Basis For Marketing Plan</t>
  </si>
  <si>
    <t>Tourism Marketing Practices Of Luzon Datum In Mogpog, Marinduque: Basis For Marketing Plan</t>
  </si>
  <si>
    <t>Needs, Wants And Intentional Factors Affecting Tourists To Return In Marinduque: Basis For Crafting A Sustainable Tourism Industry</t>
  </si>
  <si>
    <t>Hanap-Bahay App: A Rental House Management Application</t>
  </si>
  <si>
    <t>Prospects of Torrijos White Beach: A Case Study of House Bill No. 1074</t>
  </si>
  <si>
    <t>2/28/20</t>
  </si>
  <si>
    <t>Regional Graduate School Conference on Multidisciplinary
Researches</t>
  </si>
  <si>
    <t>Marinduque State College, Tanza, Boac,  Marinduque</t>
  </si>
  <si>
    <t>March 1, 2020</t>
  </si>
  <si>
    <t xml:space="preserve">   ex. (Patent No.) (Date)</t>
  </si>
  <si>
    <t>Problems Encountered By Marinduque State College In Internationalization Of Higher Education: Basis For Formulating Interventions</t>
  </si>
  <si>
    <t>The Status of the Established Sanitary Landfill at Barangay Maybo, Boac, Marinduque in Accordance to Ecological Solid Waste Management Act of 2000 
(RA 9003)</t>
  </si>
  <si>
    <t>Productivity and Profitability Audit of Marinduque State College’s 
Income Generating Projects</t>
  </si>
  <si>
    <t>Research Article 2</t>
  </si>
  <si>
    <t>Devilla CARP Beneficiaries and Farmers Assoc. - A Case Study: Implementations for Best Practices</t>
  </si>
  <si>
    <t>Work - Life Balance Among Professionals In The Province Of Marinduque: Basis For An Intervention Program</t>
  </si>
  <si>
    <t>The Languages Preferences in Domains of Communication among Marinduqueños</t>
  </si>
  <si>
    <t>The Languages Preferences in Domains of Communication among M arinduqueños</t>
  </si>
  <si>
    <t>Linguistic Society of the Philippines International Conference (LSPIC 2020)</t>
  </si>
  <si>
    <t>Dakak Park and Beach Resort, Dapitan City, Zamboanga Del Norte</t>
  </si>
  <si>
    <t>March 7, 2020</t>
  </si>
  <si>
    <t>Jarosites as Indicators of Sea Deposited Mine Wastes in Calancan Bay, Marinduque</t>
  </si>
  <si>
    <t>Current Research of Environmental Sciences in the Carpathian Basin Conference</t>
  </si>
  <si>
    <t>Budapest, Hungary</t>
  </si>
  <si>
    <t>June 4-6, 2020</t>
  </si>
  <si>
    <t>Sea-Deposited Mine Tailings in Calancan Bay, Marinduque, Philippines: A Natural Laboratory for Environmental Mineralogy</t>
  </si>
  <si>
    <t>2020 Goldschmidt Conference
Geochemical Society</t>
  </si>
  <si>
    <t>June 21-26, 2020</t>
  </si>
  <si>
    <t>Growth and Drought Resistance of Swietenia macrophylla (King) as affected by Arbuscular Mycorrhizal Fungi</t>
  </si>
  <si>
    <t>3rd International Conference on Water Sciences 
Waste Management: Focus on Climate Change</t>
  </si>
  <si>
    <t>Szarvas, Hungary</t>
  </si>
  <si>
    <t>August 26, 2020</t>
  </si>
  <si>
    <t>Environmental Isotope Tracers in Hydrogeological Applications</t>
  </si>
  <si>
    <t>4-15-2020</t>
  </si>
  <si>
    <t>9-15-2020</t>
  </si>
  <si>
    <t>ENeRAG H2020 
Excellency Network Building for Comprehensive Research and Assessment of Geofluids</t>
  </si>
  <si>
    <t xml:space="preserve">Via online conference </t>
  </si>
  <si>
    <t>October 5-9, 2020</t>
  </si>
  <si>
    <t>Ganari sa Kanan, Ganiri sa Kaliwa: Isang Komparatibong Pag-aral ng Marinduque Tagalog</t>
  </si>
  <si>
    <t>5-15-2020</t>
  </si>
  <si>
    <t xml:space="preserve">1st Virtual Local Studies Conference De La Salle University </t>
  </si>
  <si>
    <t xml:space="preserve">Via online video conference </t>
  </si>
  <si>
    <t>October 23-24, 2020</t>
  </si>
  <si>
    <r>
      <rPr>
        <i/>
        <sz val="9"/>
        <color rgb="FF000000"/>
        <rFont val="Arial Narrow"/>
        <family val="2"/>
      </rPr>
      <t>Ganire/Ganide</t>
    </r>
    <r>
      <rPr>
        <sz val="9"/>
        <color rgb="FF000000"/>
        <rFont val="Arial Narrow"/>
        <family val="2"/>
      </rPr>
      <t xml:space="preserve">? O Like this?: </t>
    </r>
    <r>
      <rPr>
        <i/>
        <sz val="9"/>
        <color rgb="FF000000"/>
        <rFont val="Arial Narrow"/>
        <family val="2"/>
      </rPr>
      <t xml:space="preserve">Ang mga Tanawing Pangwika ng Pampublikong Espasyo sa Poblasyon ng </t>
    </r>
    <r>
      <rPr>
        <sz val="9"/>
        <color rgb="FF000000"/>
        <rFont val="Arial Narrow"/>
        <family val="2"/>
      </rPr>
      <t>Boac, Marinduque</t>
    </r>
  </si>
  <si>
    <r>
      <rPr>
        <i/>
        <sz val="9"/>
        <color rgb="FF000000"/>
        <rFont val="Arial Narrow"/>
        <family val="2"/>
      </rPr>
      <t>Ganire/Ganide</t>
    </r>
    <r>
      <rPr>
        <sz val="9"/>
        <color rgb="FF000000"/>
        <rFont val="Arial Narrow"/>
        <family val="2"/>
      </rPr>
      <t xml:space="preserve">? O Like this?: </t>
    </r>
    <r>
      <rPr>
        <i/>
        <sz val="9"/>
        <color rgb="FF000000"/>
        <rFont val="Arial Narrow"/>
        <family val="2"/>
      </rPr>
      <t xml:space="preserve">Ang mga Tanawing Pangwika ng Pampublikong Espasyo sa Poblasyon ng </t>
    </r>
    <r>
      <rPr>
        <sz val="9"/>
        <color rgb="FF000000"/>
        <rFont val="Arial Narrow"/>
        <family val="2"/>
      </rPr>
      <t>Boac, Marinduque</t>
    </r>
  </si>
  <si>
    <t>Amargura, The Encounter of Sorrow and Agony: A Semiotic Analysis</t>
  </si>
  <si>
    <t>Involvement in Christian Religious Community and Academic Success: Examining the Correlation on the Educational Performance of Students in the School of Liberal Arts (SLA) in Marinduque State College</t>
  </si>
  <si>
    <t>Spatial Distribution of Hydrogeological Attributes in the Small Island Province of the Philippines: A Tool for Risk Analysis and Reduction Strategy</t>
  </si>
  <si>
    <t xml:space="preserve">2nd Climate Smart and Disaster Resilient ASEAN International Conference </t>
  </si>
  <si>
    <t>October 26-30, 2020</t>
  </si>
  <si>
    <t>Indigenous Knowledge of Senior Citizen in Disaster Preparedness in Marinduque</t>
  </si>
  <si>
    <t>7-15-2020</t>
  </si>
  <si>
    <t>10-15-2020</t>
  </si>
  <si>
    <t>4th Regional Science and Technology Conference</t>
  </si>
  <si>
    <t>Marinduque State College Tanza, Boac, Marinduque</t>
  </si>
  <si>
    <t>November 11, 2020</t>
  </si>
  <si>
    <t>Process Model for Syllabus Crafting in Language Teaching for Tertiary Level</t>
  </si>
  <si>
    <t>Training Needs Assessment of Barangay Officials in the Municipality of Santa Cruz: Basis for Extension Program</t>
  </si>
  <si>
    <t>01-15-2020</t>
  </si>
  <si>
    <t>Training Needs Assessment of Barangay Officials in the Municipality of Sta. Cruz: Basis for SAS Extension Program</t>
  </si>
  <si>
    <t xml:space="preserve">Training programs for Barangay Officials in the Municipality of Sta. Cruz </t>
  </si>
  <si>
    <t>This activity is an offshoot of the research project on Training Needs Assessment of Barangay Officials in the Municipality of Sta. Cruz: Basis for SAS Extension Program  MSC with BOT RES. No. 52, s.2020 aims to to provide an access to trainings to all barangay officials in the municipality of Sta. Cruz</t>
  </si>
  <si>
    <t>Local Government Unit – Sta. Cruz, Liga ng mga Barangay Municipal Chapter Sta. Cruz, Marinduque</t>
  </si>
  <si>
    <t>Information and Communication Technology (ICT) Literacy of Barangay Secretaries in the Municipality of Santa Cruz, Marinduque</t>
  </si>
  <si>
    <t>7-`5-2020</t>
  </si>
  <si>
    <t>TraceTech: A Graduate Tracer Study of BS Information Technology &amp; BS Information System from 2012 to 2018</t>
  </si>
  <si>
    <t>Hierarchiral Regression Analysis of Adoption of Learning Management Systems by Faculty Member of HEIs</t>
  </si>
  <si>
    <t>Analysis about the Difficulty Level of the Different Information Technology Tools as utilized by the selected student at the School of Information and Computing Sciences</t>
  </si>
  <si>
    <t>5-20-2020</t>
  </si>
  <si>
    <t>10-20-2020</t>
  </si>
  <si>
    <r>
      <rPr>
        <sz val="9"/>
        <color rgb="FF000000"/>
        <rFont val="Arial Narrow"/>
        <family val="2"/>
      </rPr>
      <t>Powdered Corncob (</t>
    </r>
    <r>
      <rPr>
        <i/>
        <sz val="9"/>
        <color rgb="FF000000"/>
        <rFont val="Arial Narrow"/>
        <family val="2"/>
      </rPr>
      <t>Zea mays</t>
    </r>
    <r>
      <rPr>
        <sz val="9"/>
        <color rgb="FF000000"/>
        <rFont val="Arial Narrow"/>
        <family val="2"/>
      </rPr>
      <t>) as Adsorbent Material for Copper in Water</t>
    </r>
  </si>
  <si>
    <r>
      <rPr>
        <sz val="9"/>
        <color rgb="FF000000"/>
        <rFont val="Arial Narrow"/>
        <family val="2"/>
      </rPr>
      <t>Powdered Corncob (</t>
    </r>
    <r>
      <rPr>
        <i/>
        <sz val="9"/>
        <color rgb="FF000000"/>
        <rFont val="Arial Narrow"/>
        <family val="2"/>
      </rPr>
      <t>Zea mays</t>
    </r>
    <r>
      <rPr>
        <sz val="9"/>
        <color rgb="FF000000"/>
        <rFont val="Arial Narrow"/>
        <family val="2"/>
      </rPr>
      <t>) as Adsorbent Material for Copper in Water</t>
    </r>
  </si>
  <si>
    <t>Small scale fisheries: Its Women and their Potential in Crushing the New Normal</t>
  </si>
  <si>
    <t>Macroinvertebrate Gleaning Fisheries on Intertidal Seagrass Habitats in Sta. Cruz, Marinduqe</t>
  </si>
  <si>
    <t>Effectiveness of Family Participation in the Rehabilitation of Children with Disability</t>
  </si>
  <si>
    <t>1-15-2020</t>
  </si>
  <si>
    <t>6-15-2020</t>
  </si>
  <si>
    <t>Fulfilling MSC's Extension Program Commitment During the COVID-19 Pandemic: The Enhancement, Restoration and Protection of Nipa Stands in Marinduque Project"</t>
  </si>
  <si>
    <t>HAMUSAPAN: Proficiency and Fluency in the Use of L2 Between Male and Female Employees in the Workplace: Basis for an Extension Program</t>
  </si>
  <si>
    <t>2nd National Gender and Development Research Congress</t>
  </si>
  <si>
    <t>Central Luzon State University via zzom video conference</t>
  </si>
  <si>
    <t>November 12-13, 2020</t>
  </si>
  <si>
    <t>Competence and Attitude in Information and Communication Technology (ICT) Integration into English Language Teaching: Basis for Improved Language Instruction towards Education 4.0</t>
  </si>
  <si>
    <t xml:space="preserve">4th Bantula International Conference on Culture-Based Education and Research </t>
  </si>
  <si>
    <t>November 20-22, 2020</t>
  </si>
  <si>
    <t>Perceptions of Language Teachers Towards the Use of First Language in Second Language Acquisition in English Classes Amidst the COVID-19 Pandemic: Implication to Language Teaching</t>
  </si>
  <si>
    <t>7th International and 8th National Teacher Education Student Conference (TESTCon)</t>
  </si>
  <si>
    <t>November 23-24, 2020</t>
  </si>
  <si>
    <t>Stature Characteristics of Evacuation Centers: Sustainability Strategy in Marinduque Island Province, Philippines</t>
  </si>
  <si>
    <t xml:space="preserve">International Sustainable Development Conference 2020 </t>
  </si>
  <si>
    <t xml:space="preserve">Pingtung, Taiwan via Zoom </t>
  </si>
  <si>
    <t>November 27-28, 2020</t>
  </si>
  <si>
    <t>Spatial Distribution of Agriculture Yields with Elevated Metal Concentration of the Island Exposed to Acid Mine Drainage</t>
  </si>
  <si>
    <t xml:space="preserve">Heritage Tourism Potential of the Former Mining Site in Marinduque Island, Philippines </t>
  </si>
  <si>
    <t xml:space="preserve">2020 Academic Symposium on Tourism Transformations: Resilient Islands and Revitalized Communities – Japanese Society for Geographical Sciences </t>
  </si>
  <si>
    <t>November 28, 2020</t>
  </si>
  <si>
    <t>Impact Management Practices on Micro and Small Enterprise (MSEs) Performance in Marinduque, Philippines</t>
  </si>
  <si>
    <t xml:space="preserve">Asia Pacific Consortium of Researchers and Education APCORE 2020 International Virtual Conference </t>
  </si>
  <si>
    <t>December 2-4, 2020</t>
  </si>
  <si>
    <t>Home-schooling on a Crisis: Teachers’ Parents’ and Learners’ Experiences During this COVID-19 Pandemic</t>
  </si>
  <si>
    <t xml:space="preserve">4th International Conference in Research, Education, Management and the Social Sciences- Online </t>
  </si>
  <si>
    <t>December 19-21, 2020</t>
  </si>
  <si>
    <t>A Survey on the Reading Difficulties of K-12 Learners in Selected Tagalog-Speaking Provinces: Basis for Intervention</t>
  </si>
  <si>
    <t>Productivity of Markaduke Native Pig at the Farmers’ Care under the Pandemic</t>
  </si>
  <si>
    <t>Household-based Profiling of Native Pig Raisers in Marinduque, Philippines</t>
  </si>
  <si>
    <t>Human Resource Management Practices of Selected Cooperatives in Quezon Province: Basis for Benchmark Activities</t>
  </si>
  <si>
    <t>Health Assessment on Households in Proximity to the Municipal Dumpsite in Banuyo, Gasan, Marinduque: Input to GIS Map</t>
  </si>
  <si>
    <t xml:space="preserve">MHRDC 9th Regional Health Research Forum </t>
  </si>
  <si>
    <t>December 9, 2020</t>
  </si>
  <si>
    <t>Game-based Learning: It’s Effect to the Non-numerate Grade Two Learners in the Time of Pandemic</t>
  </si>
  <si>
    <t>5th Regional Science and Technology Conference</t>
  </si>
  <si>
    <t>Marinduque State College Tanza, Boac, Marinduque and via zoom</t>
  </si>
  <si>
    <t>December 15, 2020</t>
  </si>
  <si>
    <t>Marindukanon Century of Cultural and Arts Studies: Initial review of the Local History and Cultural literacy dictionary with Cultural Heritage Tour packages, offline kiosks and mobile apps as centennial projects towards creative economies and culture-based industries</t>
  </si>
  <si>
    <t xml:space="preserve">Marindukanon Local History and Cultural literacy dictionary;  Marindukanon Heritage Tourism Package; Kulturismo Offline Kiosks and Mobile Apps </t>
  </si>
  <si>
    <t>Cultural mapping program</t>
  </si>
  <si>
    <t xml:space="preserve">  </t>
  </si>
  <si>
    <t>NCCA
Local Government Unit Mogpog</t>
  </si>
  <si>
    <t>A Narrative Inquiry of Survival among Tribike Drivers in Mogpog, Marinduque</t>
  </si>
  <si>
    <t>A Survey Study of Integrative and Instrumental Motivation in English Language Learning of First year Undergraduate Students in the School of Liberal Arts on the Academic Year 2018-2019</t>
  </si>
  <si>
    <t>A Phenomenological Study in Language Acquisition Through Acculturation: The Case of the Filipino Immigrants in Japan</t>
  </si>
  <si>
    <t>Language Acquisition through Media Viewing: A Phenomenological Study</t>
  </si>
  <si>
    <t>Male and Female Language Proficiency and Fluency in the Workplace: A Gender Linked Study</t>
  </si>
  <si>
    <t>Geospatial Analysis of SICS Students Readiness for Online Learning Geospatial Analysis of SICS Students Readiness for Online Learning</t>
  </si>
  <si>
    <t>Geotagging of the Marinduque Caves</t>
  </si>
  <si>
    <t>Cave Bio-Physical Characterization: GIS - Based Mapping</t>
  </si>
  <si>
    <t>Capacity building on cave safety and techniques, cave conservation and management of cave and cave resources</t>
  </si>
  <si>
    <t xml:space="preserve">This activity is a result of the research project entitled Cave Bio-Physical Characterization: GIS - Based Mapping with MSC BOT RES. No. 52, s.2020 for the proper assessment and classification purposes of the cave resources in the province. </t>
  </si>
  <si>
    <t>DENR-PENRO-MENRO
Local Government Units
PCAT</t>
  </si>
  <si>
    <t>Extent of Water Pump Utilization in Rice Production Areas in the Province of Marinduque</t>
  </si>
  <si>
    <t>Assessment of Fish Sauce (Patis) from selected Municipalities of Marinduque, Philippines</t>
  </si>
  <si>
    <t>Cocobagoong: A potential livelihood opportunity in the new normal</t>
  </si>
  <si>
    <t>Fish Catch and Marketing of Commercially-Important Demersal Fishes in the Municipality of Gasan, Marinduque</t>
  </si>
  <si>
    <t>Reproductive Biology of Shortfin Scad: Basis for pelagic fisheries management</t>
  </si>
  <si>
    <t>Yield performance of Pechay (Brassica rapa var. Chinensis) and Radish (Raphanus sativus L.) in permanent raised beds Supplemented with Cocopeat through Relay</t>
  </si>
  <si>
    <t>Minced Fish Processing: A Coping Mechanism Amidst Pandemic</t>
  </si>
  <si>
    <t>Arthropod Composition of Mixed and Monoculture Forage Production Areas in Los Baños, Laguna, Philippines</t>
  </si>
  <si>
    <t>Masculinization of Tilapia (Orechromis niloticus) using Gumamela (Hibiscus rosasinensis) Leaves Extract</t>
  </si>
  <si>
    <t>Media Info-Techno Dissemination Program SAS Journalismo training Project: An Initial Impact Assessment</t>
  </si>
  <si>
    <t>Business Management of Cooperatives in Quezon Province</t>
  </si>
  <si>
    <t xml:space="preserve">1st International Research and Education Summit (1st IRES)
Global Researchers Association and Convergence for Excellence (GRACE), Inc 
</t>
  </si>
  <si>
    <t>New Camelot Hotel, Quezon City</t>
  </si>
  <si>
    <t>February 24-29, 2019</t>
  </si>
  <si>
    <t>Perception on Political Dynasty by the Various Sectors in the Selected Municipalities in the Province of Marinduque</t>
  </si>
  <si>
    <t>Research Article 1</t>
  </si>
  <si>
    <t>Economic Reasons for Membership on Selected Cooperatives in Quezon City</t>
  </si>
  <si>
    <t xml:space="preserve">3rd International Conference on Education, Research, Technology and the Social Sciences (ICEERTSS 2019)
</t>
  </si>
  <si>
    <t>Crown Legacy Hotel, Baguio City</t>
  </si>
  <si>
    <t>March 2-4, 2019</t>
  </si>
  <si>
    <t>Ethnobotanical and Phytochemical Studies of Plants Used By Traditional Small Scale Pig Raisers in Marinduque</t>
  </si>
  <si>
    <t xml:space="preserve">Regional symposium on research into smallholder pig production, health, and pork safety’
</t>
  </si>
  <si>
    <t>Hanoi, Vietnam</t>
  </si>
  <si>
    <t xml:space="preserve">March 27-29, 2019 </t>
  </si>
  <si>
    <t>Reproductive Performance in four successive farrowings of Marinduque Pig (Sus philippensis domesticus) at Conservation Center in Marinduque, Philippines</t>
  </si>
  <si>
    <t>Regional symposium on research into smallholder pig production, health, and pork safety’</t>
  </si>
  <si>
    <t>Inventory of Available Materials, Facilities, Personnel and Equipment of Evacuation Center Management Team Bases for Compliance with DEPED-DSWD-DILG-DOH Joint Memorandum Circular No. 1,s.2013 Entitled “Guidelines in the Evacuation Center Coordination and Management</t>
  </si>
  <si>
    <t>4th Institutional Research Conference</t>
  </si>
  <si>
    <t>Manila Adventist College, Pasay City</t>
  </si>
  <si>
    <t>April 3-4, 2019</t>
  </si>
  <si>
    <t>Performance in Narrative Essays Writing and Teachers’ Perception: Input to Improve Writing Output</t>
  </si>
  <si>
    <t>5th International Conference on Philippines and Asian Studies</t>
  </si>
  <si>
    <t>De La Salle Lipa Batangas</t>
  </si>
  <si>
    <t>May 9-11, 2019</t>
  </si>
  <si>
    <t>Graduate Tracer Using Documentary Photography: Basis for Yearbook Layout for Master of Arts in Education Graduates AY 2010-2017</t>
  </si>
  <si>
    <t>Determination of Tidal Power Capability of Marinduque Province for Simple Single-Pool Tidal System Barrage Type</t>
  </si>
  <si>
    <t xml:space="preserve">23rd International Conference on Contemporary Issues in Science, Engineering and Management </t>
  </si>
  <si>
    <t xml:space="preserve">Manila </t>
  </si>
  <si>
    <t>May 11-12, 2019</t>
  </si>
  <si>
    <t>Hydro Energy Research Assessment of Selected Sites in Marinduque</t>
  </si>
  <si>
    <t>Status of Physical Endowments of the Coconut Industry: Basis for an Economic Strategy towards a productive Marinduque</t>
  </si>
  <si>
    <t xml:space="preserve">International Conference on Microeconomics of Competitiveness </t>
  </si>
  <si>
    <t>Ateneo De Manila University</t>
  </si>
  <si>
    <t>June 10-11, 2019</t>
  </si>
  <si>
    <t xml:space="preserve">Social Factor in Joining Cooperative in Quezon Province </t>
  </si>
  <si>
    <t>1st Research Education, Business, Science and Arts International Conference (REBSAIC 2019)</t>
  </si>
  <si>
    <t>Pinnacle Hotel and Suites, Davao City</t>
  </si>
  <si>
    <t>June 22-24, 2019</t>
  </si>
  <si>
    <t>Challenges of  Coconut Farming in the Province of Marinduque</t>
  </si>
  <si>
    <t>Development and Validation of a Workbook in Statistics and Probability Senior High School</t>
  </si>
  <si>
    <t>2nd Science and Technology Conference</t>
  </si>
  <si>
    <t>Marinduque State College Audio-Visual Room,Tanza, Boac, Marinduque</t>
  </si>
  <si>
    <t>Predicting Student Performance    using   Intelligent Course Advising</t>
  </si>
  <si>
    <t>Evaluation of Neural Network Activation Functions For Educational dataset</t>
  </si>
  <si>
    <t>Relationship Between Litter Production And Survival Rate Of Marinduke Pig At Conservation Center In Marinduque,  Philippines</t>
  </si>
  <si>
    <t>Survey And Evaluation Of Native Pig   Production In Secluded Areas Of Torrijos Marinduque, Philippines</t>
  </si>
  <si>
    <t>Reproductive Performance of Markaduke Sow in Two Successive Farrowing reared at Research Station of Marinduque State College Torrijos</t>
  </si>
  <si>
    <t>Training of Trainers on Agribusiness Incubation</t>
  </si>
  <si>
    <t>This activity focused on the two commodities such as native pig and arrowroot which MSC has produced various research outputs which aims to develop farmers and fisherfolks on agribusiness incubation in partnership with DA-ATI.</t>
  </si>
  <si>
    <t>Department of Agriculture-Regionll Field Office</t>
  </si>
  <si>
    <t>Weight Gaining Performance of Native Pig in the Nucleus Farm through the   application of Different Feeding Time Schedules</t>
  </si>
  <si>
    <t xml:space="preserve">Training on Forage Production and Utilization </t>
  </si>
  <si>
    <t>This activity is an ongoing endeavor of the program component entitled “Strategic Interventions for Sustainable Production of Marinduque Native Pig”, a national R&amp;D program funded by the DOST PCAARD. It aims to provide participants adequate knowledge and skills in proper establishment of forage crops for native pigs.</t>
  </si>
  <si>
    <t xml:space="preserve">Farmer cooperators </t>
  </si>
  <si>
    <t>Comparative Analysis Of Ethanol Content In Nipa (Nypa fruticans) Petiole And Inflorescence Sap Growing From Brackishwater In Maligaya Boac Marinduque</t>
  </si>
  <si>
    <t>This CHED-funded initiative aims to sustain the supply of the alcohol for the front liners and communities in the province is the effort to provide livelihood to the coconut and nipa saps collectors in the province</t>
  </si>
  <si>
    <t>Barangay Health Emergency Response Team
Philippine National Police
CAFGU Volunteers
Medical Professionals
Vulnerable Groups 
MSC Employees</t>
  </si>
  <si>
    <t>Diversity and species composition of seagrass in protected and non-protected areas in Boac, Marinduque, Philippines</t>
  </si>
  <si>
    <t>Histamine content and quality assessment of dried anchovy (Stolephorus spp.) in Marinduque, Philippines</t>
  </si>
  <si>
    <t>Technology Demonstration on Bagoong Fish Processing</t>
  </si>
  <si>
    <t>This activity is based from the internally funded research project entitled “Histamine Content of Fermented Fishery Products in Marinduque and Isolation of Histamine-Forming Bacteria “ with MSC-BOT RES. no. 78 s. 2018 that aims to equip the province in fish processing and fish production, improve the source of livelihood and develop acceptable products with long shelf-life.</t>
  </si>
  <si>
    <t>DOST-PSTC</t>
  </si>
  <si>
    <t>Feedback Analysis On The Newly Implemented Retention Policy In Marinduque State College, School of Education</t>
  </si>
  <si>
    <t>Design of Mobile Application for Medical Recordings Using Android Studio</t>
  </si>
  <si>
    <t>Development of Key Card System to Monitor the Use and Control of Electricity in Classroom using RFID and Raspberry Pi</t>
  </si>
  <si>
    <t>Rapid Site Assessment in a Small Island of the Philippines Contaminated with Mine Tailings using Ground and Areal Technique</t>
  </si>
  <si>
    <t xml:space="preserve">2019 International Conference on Advances in Civil and Ecological Engineering Research -  </t>
  </si>
  <si>
    <t>I-Shou University, Kaohsiung City, Taiwan</t>
  </si>
  <si>
    <t>Gender, Age, and Domain in Relation to Language Use of the Native Speakers in West and East Marinduque”</t>
  </si>
  <si>
    <t xml:space="preserve">7th International Higher Education Research Forum </t>
  </si>
  <si>
    <t>Novotel Manila Araneta Center</t>
  </si>
  <si>
    <t>Knowledge, Skills and Attitudes of College Teachers Towards Information and Communication Technology (ICT) Integration to Classroom Instruction: Basis for Creating a Technology-Based Manual</t>
  </si>
  <si>
    <t xml:space="preserve">Philippine Association of Communication Educators (PACE) Communication and Media Studies Conference </t>
  </si>
  <si>
    <t>Far Eastern University, Manila</t>
  </si>
  <si>
    <t>Knowledge, Attitude and Skills in E-Learning Platform “Edmodo Application” among Students of Marinduque State  College</t>
  </si>
  <si>
    <t>Training Needs of Selected Sangguniang Kabataan (SK) Officials in the Province of Marinduque</t>
  </si>
  <si>
    <t>2019 PhilEASTNet Biennial AFFNR Extension Symposium</t>
  </si>
  <si>
    <t>Bohol Tropics Hotel, Tagbiliran City, Bohol</t>
  </si>
  <si>
    <t>Sangguniang Kabataan Mandatory Training (SKMT)</t>
  </si>
  <si>
    <t>This activity aims to strengthen and empower youth as part of the nation building activities conduit to the community development aligned with the programs of DILG.</t>
  </si>
  <si>
    <t xml:space="preserve">Local Government Unit – Mogpog </t>
  </si>
  <si>
    <t>The Teaching of Mother Tongue as a Separate Subject: The Case of Marinduque Tagalog</t>
  </si>
  <si>
    <t xml:space="preserve">National Literacy Conference </t>
  </si>
  <si>
    <t>Iloilo City</t>
  </si>
  <si>
    <t>Gender-based motivation in joining selected cooperatives in Quezon Province</t>
  </si>
  <si>
    <t>Global Researchers Association and Convergence for Excellence (GRACE) Inc. “5th International Conference in Latest Trends of Education and Research (5th ICILTER)</t>
  </si>
  <si>
    <t>The Bagumbungan Cave stream ecosystem: in need of a stream management plan</t>
  </si>
  <si>
    <t>Federation of Institution for Marine and Freshwater Sciences (FIFMS) 51ST Annual Convention of FIFMS</t>
  </si>
  <si>
    <t xml:space="preserve"> Southern Leyte State University, Sogod, Southern Leyte</t>
  </si>
  <si>
    <t>Morphological Characterization of Arrowroot (Marantha arundinaceae linn.) Accessions in the Province of Marinduque</t>
  </si>
  <si>
    <t xml:space="preserve">STAARRDEC 32nd REGIONAL SYMPOSIUM ON RESEARCH, DEVELOPMENT AND
EXTENSION HIGHLIGHTS </t>
  </si>
  <si>
    <t>Balar Events Place, Balaring, Boac, Marinduque</t>
  </si>
  <si>
    <t>Household Automatic Flood Control, Detection, And Warning System</t>
  </si>
  <si>
    <t>Building Climate Resillient Agrarian Reform Communities! Assessment Of The Marinduque Department Of Agrarian Reforms And Marinduque State College Extension Program</t>
  </si>
  <si>
    <t>Development of a Solar Powered Vehicle Air Conditioner Using Peltier Effect</t>
  </si>
  <si>
    <t>9th STIRDC RDE Conference</t>
  </si>
  <si>
    <t>Marinduque State College, Tanza, Boac, Marinduque</t>
  </si>
  <si>
    <t>Development of a Self-Monitoring Automated Ebb and Flow Hydroponic Growing System</t>
  </si>
  <si>
    <t xml:space="preserve">Reported Cybercrime Cases in the Province of Marinduque: Basis for Action Plan  </t>
  </si>
  <si>
    <t>Evaluation Of Chemical Composition And Physical Properties Of Selected Muscles From Philippine Cattle (Bos taurus)</t>
  </si>
  <si>
    <t>Marinduque Arrowroot Supply And Value Chain A Framework Analysis</t>
  </si>
  <si>
    <t>Vulnerability Assessment Of Diamond-Back Squid (Thysanoteuthis rhombus) To Climate Change In The Province of Marinduque, Philippines</t>
  </si>
  <si>
    <t>The heavy metal content and the fish catch rate in Calancan Bay, Marinduque, Philippines: Mine Tailings Causeway,  Three Decades After</t>
  </si>
  <si>
    <t>International Association of Scholarly Publishers, Editors, Reviewers, Inc. (IASPER) 3rd International Conference on Business, Education, Engineering  and Sciences (ICBEES 2019)</t>
  </si>
  <si>
    <t>Rose Garden Hotel, Yangon, Myanmar</t>
  </si>
  <si>
    <t>Level of Tourist Satisfaction on the Quality of Services and Facilities of the Roll-On/Roll-Off Transportation System in Marinduque</t>
  </si>
  <si>
    <t xml:space="preserve">Philippine Research Conference for Tourism and Hospitality (PRCTH 2019) </t>
  </si>
  <si>
    <t>University of the Philippines, Diliman, Quezon City</t>
  </si>
  <si>
    <t>Challenges in the Sustainable Tourism Planning in the Province of Marinduque</t>
  </si>
  <si>
    <t>Ms. Challenges in the Sustainable Tourism Planning in the Province of Marinduque</t>
  </si>
  <si>
    <t>Psychological Factors Affecting Return Intentions on Visitors Basis for Sustainable Tourism in Marinduque</t>
  </si>
  <si>
    <t>Value Chain Analysis of Arrowroot in Marinduque: Basis for Roadmap Development</t>
  </si>
  <si>
    <t xml:space="preserve">9th International Conference on Agribusiness Economics and Management </t>
  </si>
  <si>
    <t>Waterfront Insular Hotel, Lanang, Davao City</t>
  </si>
  <si>
    <t>Potential of Oregano as Flavoring for Marshmallow (Oreganum vulgare)</t>
  </si>
  <si>
    <t>8th MIMAROPA Health Research and Development (MHRDC) Forum</t>
  </si>
  <si>
    <t>Comparative body morphometrics of native pig (Sus domesticus) grown during the wet and dry season in Marinduque, Philippines</t>
  </si>
  <si>
    <t>International Society for Southeast Asian Agricultural Sciences (ISSAAS) National Congress and General Meeting</t>
  </si>
  <si>
    <t>Cavite State University, Don Severino de las Alas Campus, Indang, Cavite</t>
  </si>
  <si>
    <t>The Mechanism of Dry Season Survival of Aedes aegypti Linn</t>
  </si>
  <si>
    <t>Southeast Asian Conference on Academic Research</t>
  </si>
  <si>
    <t>Pangasinan State University, Lingayen Pangasinan</t>
  </si>
  <si>
    <t>1-3-5 Rating Technique and Its Effects to the Proficiency Level of the BEED Students</t>
  </si>
  <si>
    <t>Training Needs Assessment for DepEd Schools: Basis for an   Extension Project of the Marinduque State College-School of Education</t>
  </si>
  <si>
    <t>3rd Science and Technology  Conference</t>
  </si>
  <si>
    <t>Situation Of Children in Conflict with the Law  In The Province Of Marinduque</t>
  </si>
  <si>
    <t xml:space="preserve">Assessment of Education and Job Performance of Philippine National Police Managers in Marinduque </t>
  </si>
  <si>
    <t>Creativity Level Of Senior High School Students In Research And Science From Selected Private Secondary Schools In Marinduque</t>
  </si>
  <si>
    <t>Local Delicacy: As Basis of Marindukanon Cultural Identity</t>
  </si>
  <si>
    <t>The Marcopper Mining Site In Labo, Sta. Cruz, Marinduque: Future Site For Tourist Destination</t>
  </si>
  <si>
    <t>Labor Productivity and Profit Status of the Buntal Handloom Weaving Industry in Torrijos, Marinduque from 2009 to 2018</t>
  </si>
  <si>
    <t>Viability Of Arrowroot (Maranta arundinacea) Stalk Into Paper And Pulp As Compared With Other Fiber Resource</t>
  </si>
  <si>
    <t>Stakeholders external to the institution</t>
  </si>
  <si>
    <r>
      <rPr>
        <b/>
        <sz val="9"/>
        <color rgb="FF000000"/>
        <rFont val="Tahoma"/>
        <family val="2"/>
      </rPr>
      <t>Total number</t>
    </r>
    <r>
      <rPr>
        <sz val="9"/>
        <color rgb="FF000000"/>
        <rFont val="Tahoma"/>
        <family val="2"/>
      </rPr>
      <t xml:space="preserve"> of research outputs </t>
    </r>
    <r>
      <rPr>
        <b/>
        <sz val="9"/>
        <color rgb="FF000000"/>
        <rFont val="Tahoma"/>
        <family val="2"/>
      </rPr>
      <t>COMPLETED in 2021</t>
    </r>
  </si>
  <si>
    <r>
      <rPr>
        <b/>
        <sz val="9"/>
        <color rgb="FF000000"/>
        <rFont val="Tahoma"/>
        <family val="2"/>
      </rPr>
      <t>Total numbe</t>
    </r>
    <r>
      <rPr>
        <sz val="9"/>
        <color rgb="FF000000"/>
        <rFont val="Tahoma"/>
        <family val="2"/>
      </rPr>
      <t xml:space="preserve">r of research outputs </t>
    </r>
    <r>
      <rPr>
        <b/>
        <sz val="9"/>
        <color rgb="FF000000"/>
        <rFont val="Tahoma"/>
        <family val="2"/>
      </rPr>
      <t>COMPLETED in 2019, 2020 and 2021</t>
    </r>
  </si>
  <si>
    <r>
      <rPr>
        <b/>
        <sz val="9"/>
        <color rgb="FF000000"/>
        <rFont val="Tahoma"/>
        <family val="2"/>
      </rPr>
      <t>Total number</t>
    </r>
    <r>
      <rPr>
        <sz val="9"/>
        <color rgb="FF000000"/>
        <rFont val="Tahoma"/>
        <family val="2"/>
      </rPr>
      <t xml:space="preserve"> of research outputs COMPLETED in 2019, 2020 and 2021 that WERE </t>
    </r>
    <r>
      <rPr>
        <b/>
        <sz val="9"/>
        <color rgb="FF000000"/>
        <rFont val="Tahoma"/>
        <family val="2"/>
      </rPr>
      <t>UTILIZED</t>
    </r>
    <r>
      <rPr>
        <sz val="9"/>
        <color rgb="FF000000"/>
        <rFont val="Tahoma"/>
        <family val="2"/>
      </rPr>
      <t xml:space="preserve"> by the industry / other beneficiaries</t>
    </r>
  </si>
  <si>
    <r>
      <rPr>
        <b/>
        <sz val="9"/>
        <color rgb="FF000000"/>
        <rFont val="Tahoma"/>
        <family val="2"/>
      </rPr>
      <t>(State Colleges Only)</t>
    </r>
    <r>
      <rPr>
        <sz val="9"/>
        <color rgb="FF000000"/>
        <rFont val="Tahoma"/>
        <family val="2"/>
      </rPr>
      <t xml:space="preserve"> </t>
    </r>
    <r>
      <rPr>
        <b/>
        <sz val="9"/>
        <color rgb="FF000000"/>
        <rFont val="Tahoma"/>
        <family val="2"/>
      </rPr>
      <t>Total number</t>
    </r>
    <r>
      <rPr>
        <sz val="9"/>
        <color rgb="FF000000"/>
        <rFont val="Tahoma"/>
        <family val="2"/>
      </rPr>
      <t xml:space="preserve"> of research outputs</t>
    </r>
    <r>
      <rPr>
        <b/>
        <sz val="9"/>
        <color rgb="FF000000"/>
        <rFont val="Tahoma"/>
        <family val="2"/>
      </rPr>
      <t xml:space="preserve"> PRESENTED</t>
    </r>
    <r>
      <rPr>
        <sz val="9"/>
        <color rgb="FF000000"/>
        <rFont val="Tahoma"/>
        <family val="2"/>
      </rPr>
      <t xml:space="preserve"> in 2021</t>
    </r>
  </si>
  <si>
    <r>
      <rPr>
        <sz val="10"/>
        <color rgb="FF000000"/>
        <rFont val="Tahoma"/>
        <family val="2"/>
      </rPr>
      <t xml:space="preserve">Percentage of research outputs completed in 2019, 2020 and 2021 that were </t>
    </r>
    <r>
      <rPr>
        <b/>
        <sz val="10"/>
        <color rgb="FF000000"/>
        <rFont val="Tahoma"/>
        <family val="2"/>
      </rPr>
      <t>PRESENTED</t>
    </r>
    <r>
      <rPr>
        <sz val="10"/>
        <color rgb="FF000000"/>
        <rFont val="Tahoma"/>
        <family val="2"/>
      </rPr>
      <t xml:space="preserve"> in 2021 (excluding those that have already been presented in 2020 and 2019</t>
    </r>
  </si>
  <si>
    <r>
      <rPr>
        <b/>
        <sz val="9"/>
        <color rgb="FF000000"/>
        <rFont val="Tahoma"/>
        <family val="2"/>
      </rPr>
      <t>(State Universities Only)</t>
    </r>
    <r>
      <rPr>
        <sz val="9"/>
        <color rgb="FF000000"/>
        <rFont val="Tahoma"/>
        <family val="2"/>
      </rPr>
      <t xml:space="preserve"> </t>
    </r>
    <r>
      <rPr>
        <b/>
        <sz val="9"/>
        <color rgb="FF000000"/>
        <rFont val="Tahoma"/>
        <family val="2"/>
      </rPr>
      <t>Total number</t>
    </r>
    <r>
      <rPr>
        <sz val="9"/>
        <color rgb="FF000000"/>
        <rFont val="Tahoma"/>
        <family val="2"/>
      </rPr>
      <t xml:space="preserve"> of research outputs </t>
    </r>
    <r>
      <rPr>
        <b/>
        <sz val="9"/>
        <color rgb="FF000000"/>
        <rFont val="Tahoma"/>
        <family val="2"/>
      </rPr>
      <t>PUBLISHED</t>
    </r>
    <r>
      <rPr>
        <sz val="9"/>
        <color rgb="FF000000"/>
        <rFont val="Tahoma"/>
        <family val="2"/>
      </rPr>
      <t xml:space="preserve"> in 2021</t>
    </r>
  </si>
  <si>
    <r>
      <rPr>
        <sz val="10"/>
        <color rgb="FF000000"/>
        <rFont val="Tahoma"/>
        <family val="2"/>
      </rPr>
      <t xml:space="preserve">Percentage of research outputs completed in 2019, 2020 and 2021 that were </t>
    </r>
    <r>
      <rPr>
        <b/>
        <sz val="10"/>
        <color rgb="FF000000"/>
        <rFont val="Tahoma"/>
        <family val="2"/>
      </rPr>
      <t>PUBLISHED</t>
    </r>
    <r>
      <rPr>
        <sz val="10"/>
        <color rgb="FF000000"/>
        <rFont val="Tahoma"/>
        <family val="2"/>
      </rPr>
      <t xml:space="preserve"> in 2021 (excluding those that have already been published in 2020 and 2019</t>
    </r>
  </si>
  <si>
    <t>MR. HARVEY A. DULAY</t>
  </si>
  <si>
    <t>Extension Director</t>
  </si>
  <si>
    <t>MA. EDELWINA M. BLASÉ, Ph.D.</t>
  </si>
  <si>
    <t>VP for Research, Development, Extension &amp; Training</t>
  </si>
  <si>
    <t>EXTENSION PROGRAM</t>
  </si>
  <si>
    <t>Output Indicator 1 : Number of trainees weighted by the length of training</t>
  </si>
  <si>
    <t xml:space="preserve">Output Indicator 3 : Percentage of beneficiaries who rate the training course/s as satisfactory or higher in terms of quality and relevance </t>
  </si>
  <si>
    <t>1. Trainings must by related to/anchored on the extension program</t>
  </si>
  <si>
    <t>2. Choose DURATION from the drop-down list</t>
  </si>
  <si>
    <t>1) Training program</t>
  </si>
  <si>
    <t>2) Attendance sheets</t>
  </si>
  <si>
    <t>3) Reports / other documentations</t>
  </si>
  <si>
    <t>4) Sample of accomplished satisfaction survey</t>
  </si>
  <si>
    <t>TITLE OF TRAINING</t>
  </si>
  <si>
    <t>INCLUSIVE DATES</t>
  </si>
  <si>
    <t>WEIGHT PER DURATION</t>
  </si>
  <si>
    <t>NO. OF TRAINEES</t>
  </si>
  <si>
    <t>TRAINEES WEIGHTED BY THE LENGTH OF TRAINING</t>
  </si>
  <si>
    <t>NO. OF TRAINEES SURVEYED</t>
  </si>
  <si>
    <t>QUALITY AND RELEVANCE RATING</t>
  </si>
  <si>
    <r>
      <rPr>
        <sz val="9"/>
        <color theme="1"/>
        <rFont val="Tahoma"/>
        <family val="2"/>
      </rPr>
      <t>.5</t>
    </r>
    <r>
      <rPr>
        <b/>
        <sz val="9"/>
        <color theme="1"/>
        <rFont val="Tahoma"/>
        <family val="2"/>
      </rPr>
      <t xml:space="preserve">     </t>
    </r>
    <r>
      <rPr>
        <sz val="9"/>
        <color theme="1"/>
        <rFont val="Tahoma"/>
        <family val="2"/>
      </rPr>
      <t>= Less than 8 hrs</t>
    </r>
  </si>
  <si>
    <t>1      = 8 hours or 1 day</t>
  </si>
  <si>
    <t>1.25 = 2 days</t>
  </si>
  <si>
    <t>FROM</t>
  </si>
  <si>
    <t>TO</t>
  </si>
  <si>
    <t>1.5   = 3 to 4 days</t>
  </si>
  <si>
    <t>P</t>
  </si>
  <si>
    <t>F</t>
  </si>
  <si>
    <t>S</t>
  </si>
  <si>
    <t>VS</t>
  </si>
  <si>
    <t>2      = 5 days or more</t>
  </si>
  <si>
    <t>2021 Water Bird Census</t>
  </si>
  <si>
    <t>Seminar/Training on Aquaponics and Hydroponics</t>
  </si>
  <si>
    <t>Technology Demonstration on Intensification of the Utilization of Coconut Husk in the Province of Marinduque</t>
  </si>
  <si>
    <t>Mangrove Assessment for the Application of KMNAC to Forest Lease Agreement for Tourism (FLAt)</t>
  </si>
  <si>
    <t>Business Ethics in Organizational Movement Towards Financial Management</t>
  </si>
  <si>
    <t>Starbooks Technical Support and Management Training</t>
  </si>
  <si>
    <t>Seminar for Solo Parents Welfare Acts with Skills Training on Food Processing</t>
  </si>
  <si>
    <t>Biodiversity Monitoring within the Protected Area</t>
  </si>
  <si>
    <t>Business Start-Up: Personality Development Towards Business Ethics and Financial Literacy</t>
  </si>
  <si>
    <t>Training-Seminar on E-Records Management for the Barangay Secretaries in the Municipality of Mogpog</t>
  </si>
  <si>
    <t>Protected Area Management Board of the Marinduque Wildlife Sanctuary Meeting and IEC on Gender and Development</t>
  </si>
  <si>
    <t>Technology Demonstration on Coco Peat Production for Pantayin Farmers Association</t>
  </si>
  <si>
    <t>Seminar Digital Marketing</t>
  </si>
  <si>
    <t>Training Program for Barangay Officials in the Municipality of Sta. Cruz</t>
  </si>
  <si>
    <t>Business Law and Taxation with Food Safety and Security in the Workplace</t>
  </si>
  <si>
    <t>Strategic Intervention for Sustainable Production of Markaduke Pig</t>
  </si>
  <si>
    <t>Regional Validation of Nipa Planting Sites</t>
  </si>
  <si>
    <t>Business Ethics in Organizational Movement Towards Financial Management with Skills Training on Chicken Processing</t>
  </si>
  <si>
    <t>Edible Gardening for Coping with the COVID-19 pandemic Crisis</t>
  </si>
  <si>
    <t>Training on Forage Production and Utilization</t>
  </si>
  <si>
    <t>Re-Assessment of Ka Amon Cave</t>
  </si>
  <si>
    <t>Techno-Gabay Program-Fit Center</t>
  </si>
  <si>
    <t xml:space="preserve">Kickoff activity of BS Social Work Program for Women’s Celebration Month </t>
  </si>
  <si>
    <t>Program PEMIA (Performance Evaluation via Modular Instructional Approach)</t>
  </si>
  <si>
    <t>Technology Training on Cocojam with Cocosugar Production</t>
  </si>
  <si>
    <t>Establishment of Barangay E-Library in the Municipality of Mogpog, Marinduque</t>
  </si>
  <si>
    <t>Training on Business Planning and Financial Management</t>
  </si>
  <si>
    <t>Regular Protected Area Management Board (PAMB) of the Marinduque Wildlife Sanctuary (MWS) Meeting</t>
  </si>
  <si>
    <t>Technology Demonstration on "Bagoong Fish Processing"</t>
  </si>
  <si>
    <t xml:space="preserve">Training on Vegetable Pests and Diseases Identification and Control </t>
  </si>
  <si>
    <t>Trainers Training on Agri-business Incubation</t>
  </si>
  <si>
    <t>Monitoring Assessment of Ka Amon Cave</t>
  </si>
  <si>
    <t>Back-up Solar Energy System for DOST-MIMAROPA’s Provincial Sciences and Technology Centers and Marinduque State College.</t>
  </si>
  <si>
    <t>Field Appraisal and Exploration of Barangay Pili, Mogpog, Marinduque Decade After Mining: Basis for Community Development (Research)</t>
  </si>
  <si>
    <t>SAMDAMAYAN: Holistic and Ecofriendly Actions with the Locals towards Healthy Community</t>
  </si>
  <si>
    <t>Biodiversity Monitoring System (BMS)</t>
  </si>
  <si>
    <t>Capacity Building Re: Cave Safety and Techniques, Cave conservation &amp; Management of Caves and Cave Resources</t>
  </si>
  <si>
    <r>
      <rPr>
        <sz val="10"/>
        <color rgb="FF000000"/>
        <rFont val="Tahoma"/>
        <family val="2"/>
      </rPr>
      <t>2</t>
    </r>
    <r>
      <rPr>
        <vertAlign val="superscript"/>
        <sz val="10"/>
        <color rgb="FF000000"/>
        <rFont val="Tahoma"/>
        <family val="2"/>
      </rPr>
      <t>nd</t>
    </r>
    <r>
      <rPr>
        <sz val="10"/>
        <color rgb="FF000000"/>
        <rFont val="Tahoma"/>
        <family val="2"/>
      </rPr>
      <t xml:space="preserve"> Year Maintenance and Protection of 60-Has. Nipa Stands in arinduque</t>
    </r>
  </si>
  <si>
    <t>Kaalaman at Katarungan sa Kabarangayan (KKK) A Refresher Training Program for Lupong Tagapamayapa Chairmen and Members of Different Barangays in the Province of Marinduque – 7th Batch</t>
  </si>
  <si>
    <r>
      <rPr>
        <sz val="10"/>
        <color rgb="FF000000"/>
        <rFont val="Tahoma"/>
        <family val="2"/>
      </rPr>
      <t>2</t>
    </r>
    <r>
      <rPr>
        <vertAlign val="superscript"/>
        <sz val="10"/>
        <color rgb="FF000000"/>
        <rFont val="Tahoma"/>
        <family val="2"/>
      </rPr>
      <t>nd</t>
    </r>
    <r>
      <rPr>
        <sz val="10"/>
        <color rgb="FF000000"/>
        <rFont val="Tahoma"/>
        <family val="2"/>
      </rPr>
      <t xml:space="preserve"> Year Maintenance and Protection of 60-Has. Nipa Stands in arinduque</t>
    </r>
  </si>
  <si>
    <t>Cultural Mapping Program</t>
  </si>
  <si>
    <t xml:space="preserve">Training on Solid Waste Management &amp; &amp; Conservation Agriculture </t>
  </si>
  <si>
    <t xml:space="preserve">Skills Training on Enhancement Management of Swine Production Cum Budgeting Marketing Management in the New Normal </t>
  </si>
  <si>
    <t>Training on Bamboo Nursery Establishment</t>
  </si>
  <si>
    <t>DR. DOREEN R. MASCAREÑAS</t>
  </si>
  <si>
    <r>
      <rPr>
        <b/>
        <sz val="10"/>
        <color rgb="FF000000"/>
        <rFont val="Tahoma"/>
        <family val="2"/>
      </rPr>
      <t>Output Indicator 2 : Number of extension programs</t>
    </r>
    <r>
      <rPr>
        <b/>
        <sz val="10"/>
        <color rgb="FFFF0000"/>
        <rFont val="Tahoma"/>
        <family val="2"/>
      </rPr>
      <t>1</t>
    </r>
    <r>
      <rPr>
        <b/>
        <sz val="10"/>
        <color rgb="FF000000"/>
        <rFont val="Tahoma"/>
        <family val="2"/>
      </rPr>
      <t xml:space="preserve"> organized and supported consistent with the SUC's mandated and priority programs</t>
    </r>
  </si>
  <si>
    <t>1. Indicate academic program</t>
  </si>
  <si>
    <t>2. List EXTENSION PROGRAMS</t>
  </si>
  <si>
    <t>1) Extension reports describing the program framework and actual implementation</t>
  </si>
  <si>
    <t>2) MOUs/MOAs</t>
  </si>
  <si>
    <t>MANDATED / PRIORITY 
PROGRAMS</t>
  </si>
  <si>
    <t>Institute of Agriculture</t>
  </si>
  <si>
    <t>2nd Year Maintenance and Protection of 60-Has. Nipa Stands in Marinduque</t>
  </si>
  <si>
    <t>Strategic Interventions for Sustainable Production of Marinduque  Native Pig</t>
  </si>
  <si>
    <t>12/31/2021</t>
  </si>
  <si>
    <t>Institute of Governance &amp; Public Affairs</t>
  </si>
  <si>
    <t xml:space="preserve">Kaalaman at Katarungan sa Kabarangayan (KKK)
A Refresher Training Program for Lupong Tagapamayapa Chairmen and Members of Different Barangays in the Province of Marinduque
 </t>
  </si>
  <si>
    <t>10/1/2012</t>
  </si>
  <si>
    <r>
      <rPr>
        <b/>
        <vertAlign val="superscript"/>
        <sz val="9"/>
        <color theme="1"/>
        <rFont val="Tahoma"/>
        <family val="2"/>
      </rPr>
      <t xml:space="preserve">1 </t>
    </r>
    <r>
      <rPr>
        <b/>
        <sz val="9"/>
        <color theme="1"/>
        <rFont val="Tahoma"/>
        <family val="2"/>
      </rPr>
      <t>Extenstion</t>
    </r>
    <r>
      <rPr>
        <sz val="9"/>
        <color theme="1"/>
        <rFont val="Tahoma"/>
        <family val="2"/>
      </rPr>
      <t xml:space="preserve"> refers to the act of communicating and transferring knowledge and technology to specific sectors and target clienteles (as distinguished from those enrolled in formal degree programs and course offerings) to enable them to effectively improve production,community and/or institutions, and quality of life at the same time enhance the HEIs academic and research programs.
Integrated Extension Program SHALL include the following components:
1. Training programs
2. Technical assistance and advisory services
3. Communication/information services
4. Community outreach activities
5. Technology transfer and utilization
</t>
    </r>
  </si>
  <si>
    <t>Outcome Indicator : Number of active partnerships with LGUs, industries, NGA, SMEs, and other stakeholders as a result of extension activities</t>
  </si>
  <si>
    <t>1. List All active partnerships with extension activities as of 2021</t>
  </si>
  <si>
    <t xml:space="preserve">2. Incomplete entries will be DISREGARDED </t>
  </si>
  <si>
    <t>1) Extension reports</t>
  </si>
  <si>
    <t>3) Certification from SME, NGA, industreis, other stakeholders</t>
  </si>
  <si>
    <t>PARTNER LGU /COMMUNITY / INDUSTRY / SMEs / PRIVATE OF PUBLIC AGENCIES /NGOs</t>
  </si>
  <si>
    <t>EXTENSION PROGRAM/ACTIVITIES</t>
  </si>
  <si>
    <t>DATE CONDUCTED</t>
  </si>
  <si>
    <t>2/4/2021</t>
  </si>
  <si>
    <t>2/25/2021</t>
  </si>
  <si>
    <t>3/12/2021</t>
  </si>
  <si>
    <t>DOST-PCAARRD</t>
  </si>
  <si>
    <t>2/9/2021</t>
  </si>
  <si>
    <t>3/25/2021</t>
  </si>
  <si>
    <t>3/26/2021</t>
  </si>
  <si>
    <t>3-8</t>
  </si>
  <si>
    <t xml:space="preserve"> LGU BOAC, LGU GASAN, LGU TORRIJOS, LGU BUENAVISTA, LGU MOGPOG, LGU STA. CRUZ</t>
  </si>
  <si>
    <t>1/15/2021</t>
  </si>
  <si>
    <t>2/12/2021</t>
  </si>
  <si>
    <t>Establishment of Barangay E-library in the Municipality of Mogpog, Marinduque</t>
  </si>
  <si>
    <t>Training on Vegetable Pests and Diseases Identification and Control</t>
  </si>
  <si>
    <r>
      <rPr>
        <sz val="9"/>
        <color theme="1"/>
        <rFont val="Tahoma"/>
        <family val="2"/>
      </rPr>
      <t>2</t>
    </r>
    <r>
      <rPr>
        <vertAlign val="superscript"/>
        <sz val="9"/>
        <color theme="1"/>
        <rFont val="Tahoma"/>
        <family val="2"/>
      </rPr>
      <t>nd</t>
    </r>
    <r>
      <rPr>
        <sz val="9"/>
        <color theme="1"/>
        <rFont val="Tahoma"/>
        <family val="2"/>
      </rPr>
      <t xml:space="preserve"> Year Maintenance and Protection of 60-Has. Nipa Stands in Marinduque</t>
    </r>
  </si>
  <si>
    <r>
      <rPr>
        <sz val="9"/>
        <color theme="1"/>
        <rFont val="Tahoma"/>
        <family val="2"/>
      </rPr>
      <t>2</t>
    </r>
    <r>
      <rPr>
        <vertAlign val="superscript"/>
        <sz val="9"/>
        <color theme="1"/>
        <rFont val="Tahoma"/>
        <family val="2"/>
      </rPr>
      <t>nd</t>
    </r>
    <r>
      <rPr>
        <sz val="9"/>
        <color theme="1"/>
        <rFont val="Tahoma"/>
        <family val="2"/>
      </rPr>
      <t xml:space="preserve"> Year Maintenance and Protection of 60-Has. Nipa Stands in Marinduque</t>
    </r>
  </si>
  <si>
    <t>Kapatirang Marinduqueno-Nangka II Agricultural Cooperative</t>
  </si>
  <si>
    <t>DOST-MIMAROPA</t>
  </si>
  <si>
    <t>DOST- PSTC</t>
  </si>
  <si>
    <t>CHED</t>
  </si>
  <si>
    <t>MMSU</t>
  </si>
  <si>
    <t>NCCA</t>
  </si>
  <si>
    <r>
      <rPr>
        <sz val="9"/>
        <color theme="1"/>
        <rFont val="Tahoma"/>
        <family val="2"/>
      </rPr>
      <t>2</t>
    </r>
    <r>
      <rPr>
        <vertAlign val="superscript"/>
        <sz val="9"/>
        <color theme="1"/>
        <rFont val="Tahoma"/>
        <family val="2"/>
      </rPr>
      <t>nd</t>
    </r>
    <r>
      <rPr>
        <sz val="9"/>
        <color theme="1"/>
        <rFont val="Tahoma"/>
        <family val="2"/>
      </rPr>
      <t xml:space="preserve"> Year Maintenance and Protection of 60-Has. Nipa Stands in Marinduque</t>
    </r>
  </si>
  <si>
    <r>
      <rPr>
        <sz val="9"/>
        <color theme="1"/>
        <rFont val="Tahoma"/>
        <family val="2"/>
      </rPr>
      <t>2</t>
    </r>
    <r>
      <rPr>
        <vertAlign val="superscript"/>
        <sz val="9"/>
        <color theme="1"/>
        <rFont val="Tahoma"/>
        <family val="2"/>
      </rPr>
      <t>nd</t>
    </r>
    <r>
      <rPr>
        <sz val="9"/>
        <color theme="1"/>
        <rFont val="Tahoma"/>
        <family val="2"/>
      </rPr>
      <t xml:space="preserve"> Year Maintenance and Protection of 60-Has. Nipa Stands in Marinduque</t>
    </r>
  </si>
  <si>
    <t>DTI</t>
  </si>
  <si>
    <t>1/21/2021</t>
  </si>
  <si>
    <t>3/9/2021</t>
  </si>
  <si>
    <t>DA</t>
  </si>
  <si>
    <t>Provincial Agriculture Office</t>
  </si>
  <si>
    <t>PRRM</t>
  </si>
  <si>
    <t>MSWDO</t>
  </si>
  <si>
    <t>DEPED</t>
  </si>
  <si>
    <t>Program PEMIA (Performance Evaluation via Modular Instructional Approa</t>
  </si>
  <si>
    <t>KKM</t>
  </si>
  <si>
    <t xml:space="preserve">Training on Business Planning and Financial Management </t>
  </si>
  <si>
    <t>ACTIVE PARTNERSHIPS:</t>
  </si>
  <si>
    <t>Higher Education Services</t>
  </si>
  <si>
    <t>All types of employment, regardless of status or whether self-employed</t>
  </si>
  <si>
    <t>No employment</t>
  </si>
  <si>
    <t>Full-time</t>
  </si>
  <si>
    <t>Part-time</t>
  </si>
  <si>
    <t xml:space="preserve">Casual </t>
  </si>
  <si>
    <t>Contractual</t>
  </si>
  <si>
    <t>Commissioned / Self-employed</t>
  </si>
  <si>
    <t>Did not apply for accreditation</t>
  </si>
  <si>
    <t xml:space="preserve">Advance Education Services </t>
  </si>
  <si>
    <t>On Campus</t>
  </si>
  <si>
    <t>Distance Learning</t>
  </si>
  <si>
    <t xml:space="preserve">Research Services </t>
  </si>
  <si>
    <t>Reaserches presented abroad or within the country  (Philippines) with the country as host of the forum</t>
  </si>
  <si>
    <t>Researches presented within the country</t>
  </si>
  <si>
    <t>Researches presented within the resepective region or other region as host for the regional forum</t>
  </si>
  <si>
    <t>CHED Accredited</t>
  </si>
  <si>
    <t>Elsevier</t>
  </si>
  <si>
    <t>Science Direct</t>
  </si>
  <si>
    <t>Scopus</t>
  </si>
  <si>
    <t>Thomson Reuters</t>
  </si>
  <si>
    <t xml:space="preserve">Extension Services </t>
  </si>
  <si>
    <t>Weights</t>
  </si>
  <si>
    <t>.5</t>
  </si>
  <si>
    <t>Ratings</t>
  </si>
  <si>
    <t>Less than 8 hours</t>
  </si>
  <si>
    <t>8 hours or 1 day</t>
  </si>
  <si>
    <t>2 days</t>
  </si>
  <si>
    <t>3 to 4 days</t>
  </si>
  <si>
    <t>5 days or more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</si>
</sst>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
    <numFmt numFmtId="165" formatCode="mm/dd/yy"/>
    <numFmt numFmtId="166" formatCode="[$-409]mmmm\ d\,\ yyyy"/>
    <numFmt numFmtId="167" formatCode="m/d/yyyy"/>
  </numFmts>
  <fonts count="45" x14ac:knownFonts="1">
    <font>
      <sz val="11"/>
      <color rgb="FF000000"/>
      <name val="Quattrocento Sans"/>
      <scheme val="minor"/>
    </font>
    <font>
      <b/>
      <sz val="11"/>
      <color rgb="FF000000"/>
      <name val="Tahoma"/>
      <family val="2"/>
    </font>
    <font>
      <sz val="12"/>
      <color rgb="FF000000"/>
      <name val="Tahoma"/>
      <family val="2"/>
    </font>
    <font>
      <sz val="10"/>
      <color rgb="FF000000"/>
      <name val="Tahoma"/>
      <family val="2"/>
    </font>
    <font>
      <sz val="11"/>
      <color rgb="FF000000"/>
      <name val="Quattrocento Sans"/>
      <family val="2"/>
    </font>
    <font>
      <b/>
      <sz val="10"/>
      <color rgb="FF000000"/>
      <name val="Tahoma"/>
      <family val="2"/>
    </font>
    <font>
      <sz val="11"/>
      <name val="Quattrocento Sans"/>
      <family val="2"/>
    </font>
    <font>
      <sz val="11"/>
      <color theme="1"/>
      <name val="Quattrocento Sans"/>
      <family val="2"/>
    </font>
    <font>
      <sz val="9"/>
      <color rgb="FF000000"/>
      <name val="Tahoma"/>
      <family val="2"/>
    </font>
    <font>
      <sz val="11"/>
      <color rgb="FF000000"/>
      <name val="Tahoma"/>
      <family val="2"/>
    </font>
    <font>
      <b/>
      <u/>
      <sz val="10"/>
      <color rgb="FF000000"/>
      <name val="Tahoma"/>
      <family val="2"/>
    </font>
    <font>
      <u/>
      <sz val="10"/>
      <color rgb="FF000000"/>
      <name val="Tahoma"/>
      <family val="2"/>
    </font>
    <font>
      <sz val="8"/>
      <color rgb="FF000000"/>
      <name val="Tahoma"/>
      <family val="2"/>
    </font>
    <font>
      <sz val="10"/>
      <color theme="1"/>
      <name val="Tahoma"/>
      <family val="2"/>
    </font>
    <font>
      <b/>
      <sz val="8"/>
      <color rgb="FF000000"/>
      <name val="Tahoma"/>
      <family val="2"/>
    </font>
    <font>
      <b/>
      <sz val="9"/>
      <color rgb="FF000000"/>
      <name val="Tahoma"/>
      <family val="2"/>
    </font>
    <font>
      <u/>
      <sz val="10"/>
      <color rgb="FF000000"/>
      <name val="Tahoma"/>
      <family val="2"/>
    </font>
    <font>
      <sz val="10"/>
      <color rgb="FF202124"/>
      <name val="Tahoma"/>
      <family val="2"/>
    </font>
    <font>
      <sz val="10"/>
      <color rgb="FF050505"/>
      <name val="Tahoma"/>
      <family val="2"/>
    </font>
    <font>
      <b/>
      <sz val="10"/>
      <color theme="1"/>
      <name val="Tahoma"/>
      <family val="2"/>
    </font>
    <font>
      <sz val="11"/>
      <color theme="1"/>
      <name val="Tahoma"/>
      <family val="2"/>
    </font>
    <font>
      <b/>
      <u/>
      <sz val="9"/>
      <color rgb="FF000000"/>
      <name val="Tahoma"/>
      <family val="2"/>
    </font>
    <font>
      <b/>
      <u/>
      <sz val="9"/>
      <color rgb="FF000000"/>
      <name val="Tahoma"/>
      <family val="2"/>
    </font>
    <font>
      <sz val="9"/>
      <color theme="1"/>
      <name val="Tahoma"/>
      <family val="2"/>
    </font>
    <font>
      <sz val="9"/>
      <color rgb="FF0000FF"/>
      <name val="Tahoma"/>
      <family val="2"/>
    </font>
    <font>
      <sz val="10"/>
      <color rgb="FF000000"/>
      <name val="Quattrocento Sans"/>
      <family val="2"/>
    </font>
    <font>
      <b/>
      <sz val="9"/>
      <color theme="1"/>
      <name val="Tahoma"/>
      <family val="2"/>
    </font>
    <font>
      <sz val="9"/>
      <color theme="1"/>
      <name val="Arial Narrow"/>
      <family val="2"/>
    </font>
    <font>
      <sz val="11"/>
      <color theme="1"/>
      <name val="Calibri"/>
      <family val="2"/>
    </font>
    <font>
      <sz val="9"/>
      <color rgb="FF000000"/>
      <name val="Arial Narrow"/>
      <family val="2"/>
    </font>
    <font>
      <i/>
      <sz val="9"/>
      <color rgb="FF000000"/>
      <name val="Arial Narrow"/>
      <family val="2"/>
    </font>
    <font>
      <b/>
      <sz val="9"/>
      <color rgb="FFFF0000"/>
      <name val="Tahoma"/>
      <family val="2"/>
    </font>
    <font>
      <b/>
      <vertAlign val="superscript"/>
      <sz val="10"/>
      <color rgb="FFFF0000"/>
      <name val="Tahoma"/>
      <family val="2"/>
    </font>
    <font>
      <b/>
      <vertAlign val="superscript"/>
      <sz val="10"/>
      <color rgb="FFFF0000"/>
      <name val="Tahoma"/>
      <family val="2"/>
    </font>
    <font>
      <b/>
      <u/>
      <sz val="10"/>
      <color rgb="FF000000"/>
      <name val="Tahoma"/>
      <family val="2"/>
    </font>
    <font>
      <sz val="10"/>
      <color rgb="FFFF0000"/>
      <name val="Tahoma"/>
      <family val="2"/>
    </font>
    <font>
      <sz val="10"/>
      <color theme="1"/>
      <name val="Arial Narrow"/>
      <family val="2"/>
    </font>
    <font>
      <i/>
      <sz val="10"/>
      <color theme="1"/>
      <name val="Tahoma"/>
      <family val="2"/>
    </font>
    <font>
      <b/>
      <vertAlign val="superscript"/>
      <sz val="9"/>
      <color rgb="FF000000"/>
      <name val="Tahoma"/>
      <family val="2"/>
    </font>
    <font>
      <b/>
      <vertAlign val="superscript"/>
      <sz val="10"/>
      <color rgb="FF000000"/>
      <name val="Tahoma"/>
      <family val="2"/>
    </font>
    <font>
      <vertAlign val="superscript"/>
      <sz val="9"/>
      <color rgb="FFFF0000"/>
      <name val="Tahoma"/>
      <family val="2"/>
    </font>
    <font>
      <vertAlign val="superscript"/>
      <sz val="10"/>
      <color rgb="FF000000"/>
      <name val="Tahoma"/>
      <family val="2"/>
    </font>
    <font>
      <b/>
      <sz val="10"/>
      <color rgb="FFFF0000"/>
      <name val="Tahoma"/>
      <family val="2"/>
    </font>
    <font>
      <b/>
      <vertAlign val="superscript"/>
      <sz val="9"/>
      <color theme="1"/>
      <name val="Tahoma"/>
      <family val="2"/>
    </font>
    <font>
      <vertAlign val="superscript"/>
      <sz val="9"/>
      <color theme="1"/>
      <name val="Tahoma"/>
      <family val="2"/>
    </font>
  </fonts>
  <fills count="16">
    <fill>
      <patternFill patternType="none"/>
    </fill>
    <fill>
      <patternFill patternType="gray125"/>
    </fill>
    <fill>
      <patternFill patternType="solid">
        <fgColor rgb="FFFFFF00"/>
        <bgColor rgb="FFFFFF00"/>
      </patternFill>
    </fill>
    <fill>
      <patternFill patternType="solid">
        <fgColor rgb="FFDBE5F1"/>
        <bgColor rgb="FFDBE5F1"/>
      </patternFill>
    </fill>
    <fill>
      <patternFill patternType="solid">
        <fgColor rgb="FF8DB3E2"/>
        <bgColor rgb="FF8DB3E2"/>
      </patternFill>
    </fill>
    <fill>
      <patternFill patternType="solid">
        <fgColor theme="0"/>
        <bgColor theme="0"/>
      </patternFill>
    </fill>
    <fill>
      <patternFill patternType="solid">
        <fgColor rgb="FF95B3D7"/>
        <bgColor rgb="FF95B3D7"/>
      </patternFill>
    </fill>
    <fill>
      <patternFill patternType="solid">
        <fgColor rgb="FFC6D9F0"/>
        <bgColor rgb="FFC6D9F0"/>
      </patternFill>
    </fill>
    <fill>
      <patternFill patternType="solid">
        <fgColor rgb="FFFFFFFF"/>
        <bgColor rgb="FFFFFFFF"/>
      </patternFill>
    </fill>
    <fill>
      <patternFill patternType="solid">
        <fgColor rgb="FFFFFF99"/>
        <bgColor rgb="FFFFFF99"/>
      </patternFill>
    </fill>
    <fill>
      <patternFill patternType="solid">
        <fgColor theme="1"/>
        <bgColor theme="1"/>
      </patternFill>
    </fill>
    <fill>
      <patternFill patternType="solid">
        <fgColor rgb="FFB6DDE8"/>
        <bgColor rgb="FFB6DDE8"/>
      </patternFill>
    </fill>
    <fill>
      <patternFill patternType="solid">
        <fgColor rgb="FFF2DBDB"/>
        <bgColor rgb="FFF2DBDB"/>
      </patternFill>
    </fill>
    <fill>
      <patternFill patternType="solid">
        <fgColor rgb="FFC2D69B"/>
        <bgColor rgb="FFC2D69B"/>
      </patternFill>
    </fill>
    <fill>
      <patternFill patternType="solid">
        <fgColor rgb="FFFABF8F"/>
        <bgColor rgb="FFFABF8F"/>
      </patternFill>
    </fill>
    <fill>
      <patternFill patternType="solid">
        <fgColor rgb="FFD99594"/>
        <bgColor rgb="FFD99594"/>
      </patternFill>
    </fill>
  </fills>
  <borders count="92">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medium">
        <color rgb="FF000000"/>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diagonal/>
    </border>
    <border>
      <left/>
      <right style="thin">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bottom/>
      <diagonal/>
    </border>
    <border>
      <left style="medium">
        <color rgb="FF000000"/>
      </left>
      <right/>
      <top style="medium">
        <color rgb="FF000000"/>
      </top>
      <bottom style="medium">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right/>
      <top style="thin">
        <color rgb="FF000000"/>
      </top>
      <bottom/>
      <diagonal/>
    </border>
    <border>
      <left/>
      <right/>
      <top/>
      <bottom/>
      <diagonal/>
    </border>
    <border>
      <left style="medium">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top/>
      <bottom/>
      <diagonal/>
    </border>
    <border>
      <left style="medium">
        <color rgb="FF000000"/>
      </left>
      <right style="thin">
        <color rgb="FF000000"/>
      </right>
      <top style="thin">
        <color rgb="FF000000"/>
      </top>
      <bottom style="thin">
        <color rgb="FF000000"/>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style="medium">
        <color rgb="FF000000"/>
      </right>
      <top/>
      <bottom style="thin">
        <color rgb="FF000000"/>
      </bottom>
      <diagonal/>
    </border>
    <border>
      <left style="thin">
        <color rgb="FF000000"/>
      </left>
      <right style="thin">
        <color rgb="FF000000"/>
      </right>
      <top style="thin">
        <color rgb="FF000000"/>
      </top>
      <bottom/>
      <diagonal/>
    </border>
    <border>
      <left style="medium">
        <color rgb="FF000000"/>
      </left>
      <right style="thin">
        <color rgb="FF000000"/>
      </right>
      <top style="thin">
        <color rgb="FF000000"/>
      </top>
      <bottom style="medium">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medium">
        <color rgb="FF000000"/>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style="medium">
        <color rgb="FF000000"/>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medium">
        <color rgb="FF000000"/>
      </left>
      <right/>
      <top/>
      <bottom/>
      <diagonal/>
    </border>
    <border>
      <left style="medium">
        <color rgb="FF000000"/>
      </left>
      <right style="thin">
        <color rgb="FF000000"/>
      </right>
      <top/>
      <bottom/>
      <diagonal/>
    </border>
    <border>
      <left/>
      <right/>
      <top style="thin">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bottom style="medium">
        <color rgb="FF000000"/>
      </bottom>
      <diagonal/>
    </border>
    <border>
      <left style="thin">
        <color rgb="FF000000"/>
      </left>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top/>
      <bottom style="thin">
        <color rgb="FF000000"/>
      </bottom>
      <diagonal/>
    </border>
    <border>
      <left/>
      <right/>
      <top style="thin">
        <color rgb="FF000000"/>
      </top>
      <bottom style="medium">
        <color rgb="FF000000"/>
      </bottom>
      <diagonal/>
    </border>
    <border>
      <left/>
      <right/>
      <top/>
      <bottom/>
      <diagonal/>
    </border>
  </borders>
  <cellStyleXfs count="1">
    <xf numFmtId="0" fontId="0" fillId="0" borderId="0"/>
  </cellStyleXfs>
  <cellXfs count="492">
    <xf numFmtId="0" fontId="0" fillId="0" borderId="0" xfId="0"/>
    <xf numFmtId="0" fontId="1" fillId="0" borderId="0" xfId="0" applyFont="1" applyAlignment="1">
      <alignment vertical="top"/>
    </xf>
    <xf numFmtId="0" fontId="2" fillId="0" borderId="0" xfId="0" applyFont="1" applyAlignment="1">
      <alignment vertical="top"/>
    </xf>
    <xf numFmtId="0" fontId="3" fillId="0" borderId="0" xfId="0" applyFont="1" applyAlignment="1">
      <alignment horizontal="left" vertical="top"/>
    </xf>
    <xf numFmtId="0" fontId="4" fillId="0" borderId="0" xfId="0" applyFont="1"/>
    <xf numFmtId="0" fontId="3" fillId="0" borderId="0" xfId="0" applyFont="1" applyAlignment="1">
      <alignment vertical="top"/>
    </xf>
    <xf numFmtId="0" fontId="5" fillId="0" borderId="0" xfId="0" applyFont="1" applyAlignment="1">
      <alignment vertical="top"/>
    </xf>
    <xf numFmtId="0" fontId="7" fillId="0" borderId="0" xfId="0" applyFont="1"/>
    <xf numFmtId="0" fontId="3" fillId="0" borderId="0" xfId="0" applyFont="1" applyAlignment="1">
      <alignment horizontal="left" vertical="top" wrapText="1"/>
    </xf>
    <xf numFmtId="0" fontId="5" fillId="0" borderId="0" xfId="0" applyFont="1" applyAlignment="1">
      <alignment horizontal="center" vertical="top"/>
    </xf>
    <xf numFmtId="0" fontId="8" fillId="0" borderId="5" xfId="0" applyFont="1" applyBorder="1" applyAlignment="1">
      <alignment horizontal="center" vertical="top"/>
    </xf>
    <xf numFmtId="0" fontId="5" fillId="0" borderId="6" xfId="0" applyFont="1" applyBorder="1" applyAlignment="1">
      <alignment horizontal="center" vertical="center" wrapText="1"/>
    </xf>
    <xf numFmtId="0" fontId="5" fillId="0" borderId="8" xfId="0" applyFont="1" applyBorder="1" applyAlignment="1">
      <alignment horizontal="center" vertical="center" wrapText="1"/>
    </xf>
    <xf numFmtId="0" fontId="3" fillId="0" borderId="0" xfId="0" applyFont="1" applyAlignment="1">
      <alignment horizontal="center" vertical="top" wrapText="1"/>
    </xf>
    <xf numFmtId="0" fontId="5" fillId="0" borderId="11" xfId="0" applyFont="1" applyBorder="1" applyAlignment="1">
      <alignment horizontal="center" vertical="center" wrapText="1"/>
    </xf>
    <xf numFmtId="0" fontId="3" fillId="0" borderId="5" xfId="0" applyFont="1" applyBorder="1" applyAlignment="1">
      <alignment vertical="top"/>
    </xf>
    <xf numFmtId="0" fontId="3" fillId="0" borderId="5" xfId="0" applyFont="1" applyBorder="1" applyAlignment="1">
      <alignment horizontal="center" vertical="top"/>
    </xf>
    <xf numFmtId="0" fontId="3" fillId="3" borderId="14" xfId="0" applyFont="1" applyFill="1" applyBorder="1" applyAlignment="1">
      <alignment vertical="top"/>
    </xf>
    <xf numFmtId="0" fontId="3" fillId="3" borderId="15" xfId="0" applyFont="1" applyFill="1" applyBorder="1" applyAlignment="1">
      <alignment vertical="top"/>
    </xf>
    <xf numFmtId="0" fontId="3" fillId="3" borderId="16" xfId="0" applyFont="1" applyFill="1" applyBorder="1" applyAlignment="1">
      <alignment vertical="top"/>
    </xf>
    <xf numFmtId="0" fontId="3" fillId="0" borderId="5" xfId="0" applyFont="1" applyBorder="1" applyAlignment="1">
      <alignment horizontal="center" vertical="center"/>
    </xf>
    <xf numFmtId="0" fontId="3" fillId="3" borderId="16" xfId="0" applyFont="1" applyFill="1" applyBorder="1" applyAlignment="1">
      <alignment horizontal="center" vertical="top"/>
    </xf>
    <xf numFmtId="0" fontId="3" fillId="0" borderId="17" xfId="0" applyFont="1" applyBorder="1" applyAlignment="1">
      <alignment vertical="top"/>
    </xf>
    <xf numFmtId="0" fontId="5" fillId="4" borderId="18" xfId="0" applyFont="1" applyFill="1" applyBorder="1" applyAlignment="1">
      <alignment vertical="center"/>
    </xf>
    <xf numFmtId="0" fontId="5" fillId="4" borderId="19" xfId="0" applyFont="1" applyFill="1" applyBorder="1" applyAlignment="1">
      <alignment horizontal="right" vertical="center"/>
    </xf>
    <xf numFmtId="0" fontId="5" fillId="4" borderId="20" xfId="0" applyFont="1" applyFill="1" applyBorder="1" applyAlignment="1">
      <alignment horizontal="center" vertical="center"/>
    </xf>
    <xf numFmtId="0" fontId="5" fillId="4" borderId="22" xfId="0" applyFont="1" applyFill="1" applyBorder="1" applyAlignment="1">
      <alignment horizontal="right" vertical="center"/>
    </xf>
    <xf numFmtId="0" fontId="5" fillId="4" borderId="26" xfId="0" applyFont="1" applyFill="1" applyBorder="1" applyAlignment="1">
      <alignment vertical="center"/>
    </xf>
    <xf numFmtId="0" fontId="8" fillId="0" borderId="0" xfId="0" applyFont="1"/>
    <xf numFmtId="0" fontId="9" fillId="0" borderId="0" xfId="0" applyFont="1"/>
    <xf numFmtId="0" fontId="10" fillId="0" borderId="0" xfId="0" applyFont="1" applyAlignment="1">
      <alignment horizontal="center"/>
    </xf>
    <xf numFmtId="15" fontId="11" fillId="0" borderId="0" xfId="0" applyNumberFormat="1" applyFont="1" applyAlignment="1">
      <alignment horizontal="center" vertical="center"/>
    </xf>
    <xf numFmtId="0" fontId="12" fillId="0" borderId="0" xfId="0" applyFont="1" applyAlignment="1">
      <alignment horizontal="center" vertical="top"/>
    </xf>
    <xf numFmtId="0" fontId="8" fillId="0" borderId="0" xfId="0" applyFont="1" applyAlignment="1">
      <alignment vertical="top"/>
    </xf>
    <xf numFmtId="0" fontId="3" fillId="0" borderId="0" xfId="0" applyFont="1" applyAlignment="1">
      <alignment vertical="top" wrapText="1"/>
    </xf>
    <xf numFmtId="0" fontId="3" fillId="0" borderId="0" xfId="0" applyFont="1" applyAlignment="1">
      <alignment horizontal="center" vertical="top"/>
    </xf>
    <xf numFmtId="0" fontId="8" fillId="0" borderId="20" xfId="0" applyFont="1" applyBorder="1" applyAlignment="1">
      <alignment horizontal="center" vertical="top"/>
    </xf>
    <xf numFmtId="0" fontId="8" fillId="0" borderId="32" xfId="0" applyFont="1" applyBorder="1" applyAlignment="1">
      <alignment horizontal="center" vertical="top"/>
    </xf>
    <xf numFmtId="0" fontId="5" fillId="0" borderId="5" xfId="0" applyFont="1" applyBorder="1" applyAlignment="1">
      <alignment horizontal="center" vertical="center" wrapText="1"/>
    </xf>
    <xf numFmtId="0" fontId="8" fillId="0" borderId="5" xfId="0" applyFont="1" applyBorder="1" applyAlignment="1">
      <alignment horizontal="center" vertical="top" wrapText="1"/>
    </xf>
    <xf numFmtId="0" fontId="13" fillId="5" borderId="5" xfId="0" applyFont="1" applyFill="1" applyBorder="1" applyAlignment="1">
      <alignment vertical="center"/>
    </xf>
    <xf numFmtId="0" fontId="13" fillId="5" borderId="5" xfId="0" quotePrefix="1" applyFont="1" applyFill="1" applyBorder="1" applyAlignment="1">
      <alignment horizontal="center" vertical="center" wrapText="1"/>
    </xf>
    <xf numFmtId="17" fontId="13" fillId="5" borderId="5" xfId="0" quotePrefix="1" applyNumberFormat="1" applyFont="1" applyFill="1" applyBorder="1" applyAlignment="1">
      <alignment horizontal="center" vertical="center" wrapText="1"/>
    </xf>
    <xf numFmtId="164" fontId="8" fillId="0" borderId="5" xfId="0" applyNumberFormat="1" applyFont="1" applyBorder="1" applyAlignment="1">
      <alignment horizontal="left" vertical="top"/>
    </xf>
    <xf numFmtId="14" fontId="3" fillId="0" borderId="5" xfId="0" quotePrefix="1" applyNumberFormat="1" applyFont="1" applyBorder="1" applyAlignment="1">
      <alignment horizontal="center" vertical="center" wrapText="1"/>
    </xf>
    <xf numFmtId="14" fontId="3" fillId="0" borderId="5" xfId="0" applyNumberFormat="1" applyFont="1" applyBorder="1" applyAlignment="1">
      <alignment horizontal="center" vertical="center" wrapText="1"/>
    </xf>
    <xf numFmtId="0" fontId="13" fillId="5" borderId="5" xfId="0" applyFont="1" applyFill="1" applyBorder="1" applyAlignment="1">
      <alignment vertical="center" wrapText="1"/>
    </xf>
    <xf numFmtId="0" fontId="8" fillId="0" borderId="5" xfId="0" applyFont="1" applyBorder="1" applyAlignment="1">
      <alignment horizontal="left" vertical="top"/>
    </xf>
    <xf numFmtId="0" fontId="3" fillId="5" borderId="5" xfId="0" applyFont="1" applyFill="1" applyBorder="1" applyAlignment="1">
      <alignment horizontal="center" vertical="center"/>
    </xf>
    <xf numFmtId="14" fontId="3" fillId="5" borderId="5" xfId="0" quotePrefix="1" applyNumberFormat="1" applyFont="1" applyFill="1" applyBorder="1" applyAlignment="1">
      <alignment horizontal="center" vertical="center" wrapText="1"/>
    </xf>
    <xf numFmtId="164" fontId="8" fillId="5" borderId="5" xfId="0" applyNumberFormat="1" applyFont="1" applyFill="1" applyBorder="1" applyAlignment="1">
      <alignment horizontal="left" vertical="top"/>
    </xf>
    <xf numFmtId="0" fontId="13" fillId="5" borderId="5" xfId="0" applyFont="1" applyFill="1" applyBorder="1" applyAlignment="1">
      <alignment horizontal="left" vertical="center" wrapText="1"/>
    </xf>
    <xf numFmtId="0" fontId="13" fillId="5" borderId="5" xfId="0" applyFont="1" applyFill="1" applyBorder="1" applyAlignment="1">
      <alignment horizontal="left" vertical="center"/>
    </xf>
    <xf numFmtId="164" fontId="8" fillId="5" borderId="5" xfId="0" applyNumberFormat="1" applyFont="1" applyFill="1" applyBorder="1" applyAlignment="1">
      <alignment horizontal="left" vertical="center"/>
    </xf>
    <xf numFmtId="0" fontId="13" fillId="2" borderId="5" xfId="0" applyFont="1" applyFill="1" applyBorder="1" applyAlignment="1">
      <alignment vertical="center" wrapText="1"/>
    </xf>
    <xf numFmtId="14" fontId="3" fillId="0" borderId="5" xfId="0" applyNumberFormat="1" applyFont="1" applyBorder="1" applyAlignment="1">
      <alignment horizontal="center" vertical="center"/>
    </xf>
    <xf numFmtId="0" fontId="5" fillId="3" borderId="5" xfId="0" applyFont="1" applyFill="1" applyBorder="1" applyAlignment="1">
      <alignment vertical="top"/>
    </xf>
    <xf numFmtId="0" fontId="3" fillId="3" borderId="5" xfId="0" applyFont="1" applyFill="1" applyBorder="1" applyAlignment="1">
      <alignment vertical="top"/>
    </xf>
    <xf numFmtId="0" fontId="3" fillId="3" borderId="5" xfId="0" applyFont="1" applyFill="1" applyBorder="1" applyAlignment="1">
      <alignment horizontal="center" vertical="top"/>
    </xf>
    <xf numFmtId="14" fontId="3" fillId="3" borderId="5" xfId="0" applyNumberFormat="1" applyFont="1" applyFill="1" applyBorder="1" applyAlignment="1">
      <alignment horizontal="center" vertical="center"/>
    </xf>
    <xf numFmtId="164" fontId="8" fillId="3" borderId="5" xfId="0" applyNumberFormat="1" applyFont="1" applyFill="1" applyBorder="1" applyAlignment="1">
      <alignment horizontal="left" vertical="top"/>
    </xf>
    <xf numFmtId="14" fontId="3" fillId="0" borderId="5" xfId="0" quotePrefix="1" applyNumberFormat="1" applyFont="1" applyBorder="1" applyAlignment="1">
      <alignment horizontal="center" vertical="center"/>
    </xf>
    <xf numFmtId="0" fontId="13" fillId="5" borderId="5" xfId="0" quotePrefix="1" applyFont="1" applyFill="1" applyBorder="1" applyAlignment="1">
      <alignment horizontal="center" vertical="center"/>
    </xf>
    <xf numFmtId="0" fontId="5" fillId="3" borderId="5" xfId="0" applyFont="1" applyFill="1" applyBorder="1" applyAlignment="1">
      <alignment horizontal="left" vertical="center"/>
    </xf>
    <xf numFmtId="0" fontId="3" fillId="3" borderId="5" xfId="0" applyFont="1" applyFill="1" applyBorder="1" applyAlignment="1">
      <alignment horizontal="left" vertical="top"/>
    </xf>
    <xf numFmtId="0" fontId="3" fillId="3" borderId="5" xfId="0" applyFont="1" applyFill="1" applyBorder="1" applyAlignment="1">
      <alignment horizontal="center" vertical="center"/>
    </xf>
    <xf numFmtId="0" fontId="3" fillId="3" borderId="5" xfId="0" applyFont="1" applyFill="1" applyBorder="1" applyAlignment="1">
      <alignment horizontal="left" vertical="center"/>
    </xf>
    <xf numFmtId="14" fontId="3" fillId="0" borderId="5" xfId="0" applyNumberFormat="1" applyFont="1" applyBorder="1" applyAlignment="1">
      <alignment horizontal="center" vertical="top"/>
    </xf>
    <xf numFmtId="0" fontId="5" fillId="6" borderId="37" xfId="0" applyFont="1" applyFill="1" applyBorder="1" applyAlignment="1">
      <alignment horizontal="center" vertical="center"/>
    </xf>
    <xf numFmtId="164" fontId="14" fillId="6" borderId="37" xfId="0" applyNumberFormat="1" applyFont="1" applyFill="1" applyBorder="1" applyAlignment="1">
      <alignment horizontal="left" vertical="center"/>
    </xf>
    <xf numFmtId="0" fontId="15" fillId="6" borderId="37" xfId="0" applyFont="1" applyFill="1" applyBorder="1" applyAlignment="1">
      <alignment horizontal="center" vertical="center"/>
    </xf>
    <xf numFmtId="0" fontId="14" fillId="6" borderId="5" xfId="0" applyFont="1" applyFill="1" applyBorder="1" applyAlignment="1">
      <alignment horizontal="left" vertical="center" wrapText="1"/>
    </xf>
    <xf numFmtId="0" fontId="3" fillId="4" borderId="39" xfId="0" applyFont="1" applyFill="1" applyBorder="1" applyAlignment="1">
      <alignment vertical="center"/>
    </xf>
    <xf numFmtId="0" fontId="3" fillId="4" borderId="40" xfId="0" applyFont="1" applyFill="1" applyBorder="1" applyAlignment="1">
      <alignment vertical="center"/>
    </xf>
    <xf numFmtId="0" fontId="3" fillId="4" borderId="41" xfId="0" applyFont="1" applyFill="1" applyBorder="1" applyAlignment="1">
      <alignment vertical="center"/>
    </xf>
    <xf numFmtId="0" fontId="5" fillId="4" borderId="20" xfId="0" applyFont="1" applyFill="1" applyBorder="1" applyAlignment="1">
      <alignment horizontal="center"/>
    </xf>
    <xf numFmtId="0" fontId="3" fillId="4" borderId="44" xfId="0" applyFont="1" applyFill="1" applyBorder="1" applyAlignment="1">
      <alignment vertical="top"/>
    </xf>
    <xf numFmtId="0" fontId="5" fillId="4" borderId="44" xfId="0" applyFont="1" applyFill="1" applyBorder="1" applyAlignment="1">
      <alignment horizontal="center"/>
    </xf>
    <xf numFmtId="15" fontId="16" fillId="0" borderId="0" xfId="0" quotePrefix="1" applyNumberFormat="1" applyFont="1" applyAlignment="1">
      <alignment horizontal="center" vertical="center"/>
    </xf>
    <xf numFmtId="0" fontId="12" fillId="0" borderId="46" xfId="0" applyFont="1" applyBorder="1" applyAlignment="1">
      <alignment horizontal="center" vertical="top"/>
    </xf>
    <xf numFmtId="0" fontId="9" fillId="0" borderId="0" xfId="0" applyFont="1" applyAlignment="1">
      <alignment vertical="top"/>
    </xf>
    <xf numFmtId="0" fontId="3" fillId="2" borderId="47" xfId="0" applyFont="1" applyFill="1" applyBorder="1" applyAlignment="1">
      <alignment horizontal="left" vertical="top"/>
    </xf>
    <xf numFmtId="0" fontId="3" fillId="2" borderId="47" xfId="0" applyFont="1" applyFill="1" applyBorder="1" applyAlignment="1">
      <alignment vertical="top"/>
    </xf>
    <xf numFmtId="0" fontId="3" fillId="0" borderId="5" xfId="0" applyFont="1" applyBorder="1" applyAlignment="1">
      <alignment horizontal="center" vertical="center" wrapText="1"/>
    </xf>
    <xf numFmtId="0" fontId="3" fillId="0" borderId="0" xfId="0" applyFont="1" applyAlignment="1">
      <alignment horizontal="center" vertical="center" wrapText="1"/>
    </xf>
    <xf numFmtId="0" fontId="13" fillId="0" borderId="5" xfId="0" applyFont="1" applyBorder="1" applyAlignment="1">
      <alignment vertical="top"/>
    </xf>
    <xf numFmtId="165" fontId="13" fillId="0" borderId="5" xfId="0" applyNumberFormat="1" applyFont="1" applyBorder="1" applyAlignment="1">
      <alignment horizontal="center" vertical="top" wrapText="1"/>
    </xf>
    <xf numFmtId="3" fontId="13" fillId="0" borderId="5" xfId="0" applyNumberFormat="1" applyFont="1" applyBorder="1" applyAlignment="1">
      <alignment horizontal="center" vertical="top"/>
    </xf>
    <xf numFmtId="166" fontId="13" fillId="0" borderId="5" xfId="0" applyNumberFormat="1" applyFont="1" applyBorder="1" applyAlignment="1">
      <alignment horizontal="center" vertical="top" wrapText="1"/>
    </xf>
    <xf numFmtId="0" fontId="3" fillId="0" borderId="5" xfId="0" applyFont="1" applyBorder="1" applyAlignment="1">
      <alignment horizontal="right" vertical="top"/>
    </xf>
    <xf numFmtId="0" fontId="13" fillId="0" borderId="5" xfId="0" applyFont="1" applyBorder="1" applyAlignment="1">
      <alignment horizontal="left" vertical="top"/>
    </xf>
    <xf numFmtId="0" fontId="3" fillId="0" borderId="5" xfId="0" applyFont="1" applyBorder="1" applyAlignment="1">
      <alignment horizontal="left" vertical="top"/>
    </xf>
    <xf numFmtId="165" fontId="3" fillId="0" borderId="5" xfId="0" applyNumberFormat="1" applyFont="1" applyBorder="1" applyAlignment="1">
      <alignment horizontal="center" vertical="top" wrapText="1"/>
    </xf>
    <xf numFmtId="3" fontId="3" fillId="0" borderId="5" xfId="0" applyNumberFormat="1" applyFont="1" applyBorder="1" applyAlignment="1">
      <alignment horizontal="center" vertical="top"/>
    </xf>
    <xf numFmtId="0" fontId="3" fillId="0" borderId="0" xfId="0" applyFont="1" applyAlignment="1">
      <alignment horizontal="right" vertical="top"/>
    </xf>
    <xf numFmtId="165" fontId="3" fillId="0" borderId="0" xfId="0" applyNumberFormat="1" applyFont="1" applyAlignment="1">
      <alignment horizontal="center" vertical="top" wrapText="1"/>
    </xf>
    <xf numFmtId="3" fontId="3" fillId="0" borderId="0" xfId="0" applyNumberFormat="1" applyFont="1" applyAlignment="1">
      <alignment horizontal="center" vertical="top"/>
    </xf>
    <xf numFmtId="3" fontId="5" fillId="4" borderId="20" xfId="0" applyNumberFormat="1" applyFont="1" applyFill="1" applyBorder="1" applyAlignment="1">
      <alignment horizontal="center" vertical="center"/>
    </xf>
    <xf numFmtId="3" fontId="5" fillId="4" borderId="32" xfId="0" applyNumberFormat="1" applyFont="1" applyFill="1" applyBorder="1" applyAlignment="1">
      <alignment horizontal="center" vertical="center"/>
    </xf>
    <xf numFmtId="0" fontId="5" fillId="4" borderId="44" xfId="0" applyFont="1" applyFill="1" applyBorder="1" applyAlignment="1">
      <alignment horizontal="center" vertical="center"/>
    </xf>
    <xf numFmtId="0" fontId="8" fillId="0" borderId="0" xfId="0" applyFont="1" applyAlignment="1">
      <alignment horizontal="left" vertical="top"/>
    </xf>
    <xf numFmtId="0" fontId="8" fillId="2" borderId="47" xfId="0" applyFont="1" applyFill="1" applyBorder="1" applyAlignment="1">
      <alignment horizontal="left" vertical="top"/>
    </xf>
    <xf numFmtId="0" fontId="8" fillId="2" borderId="47" xfId="0" applyFont="1" applyFill="1" applyBorder="1" applyAlignment="1">
      <alignment vertical="top"/>
    </xf>
    <xf numFmtId="0" fontId="8" fillId="0" borderId="6" xfId="0" applyFont="1" applyBorder="1" applyAlignment="1">
      <alignment horizontal="center" vertical="top"/>
    </xf>
    <xf numFmtId="0" fontId="3" fillId="0" borderId="50" xfId="0" applyFont="1" applyBorder="1" applyAlignment="1">
      <alignment horizontal="center" vertical="center" wrapText="1"/>
    </xf>
    <xf numFmtId="0" fontId="3" fillId="0" borderId="51" xfId="0" applyFont="1" applyBorder="1" applyAlignment="1">
      <alignment vertical="top" wrapText="1"/>
    </xf>
    <xf numFmtId="0" fontId="3" fillId="0" borderId="5" xfId="0" applyFont="1" applyBorder="1" applyAlignment="1">
      <alignment vertical="top" wrapText="1"/>
    </xf>
    <xf numFmtId="0" fontId="3" fillId="0" borderId="5" xfId="0" applyFont="1" applyBorder="1" applyAlignment="1">
      <alignment horizontal="center" wrapText="1"/>
    </xf>
    <xf numFmtId="0" fontId="3" fillId="0" borderId="51" xfId="0" applyFont="1" applyBorder="1" applyAlignment="1">
      <alignment vertical="top"/>
    </xf>
    <xf numFmtId="0" fontId="3" fillId="0" borderId="5" xfId="0" applyFont="1" applyBorder="1" applyAlignment="1">
      <alignment wrapText="1"/>
    </xf>
    <xf numFmtId="0" fontId="3" fillId="0" borderId="51" xfId="0" applyFont="1" applyBorder="1" applyAlignment="1">
      <alignment wrapText="1"/>
    </xf>
    <xf numFmtId="0" fontId="3" fillId="0" borderId="5" xfId="0" applyFont="1" applyBorder="1" applyAlignment="1">
      <alignment horizontal="center" vertical="top" wrapText="1"/>
    </xf>
    <xf numFmtId="0" fontId="3" fillId="0" borderId="5" xfId="0" applyFont="1" applyBorder="1" applyAlignment="1">
      <alignment vertical="center"/>
    </xf>
    <xf numFmtId="0" fontId="3" fillId="8" borderId="5" xfId="0" applyFont="1" applyFill="1" applyBorder="1" applyAlignment="1">
      <alignment horizontal="center" wrapText="1"/>
    </xf>
    <xf numFmtId="0" fontId="3" fillId="8" borderId="5" xfId="0" applyFont="1" applyFill="1" applyBorder="1" applyAlignment="1">
      <alignment wrapText="1"/>
    </xf>
    <xf numFmtId="0" fontId="3" fillId="0" borderId="5" xfId="0" applyFont="1" applyBorder="1" applyAlignment="1">
      <alignment vertical="center" wrapText="1"/>
    </xf>
    <xf numFmtId="0" fontId="3" fillId="8" borderId="5" xfId="0" applyFont="1" applyFill="1" applyBorder="1" applyAlignment="1">
      <alignment horizontal="center" vertical="top" wrapText="1"/>
    </xf>
    <xf numFmtId="0" fontId="17" fillId="8" borderId="5" xfId="0" applyFont="1" applyFill="1" applyBorder="1" applyAlignment="1">
      <alignment horizontal="center" wrapText="1"/>
    </xf>
    <xf numFmtId="0" fontId="3" fillId="0" borderId="51" xfId="0" applyFont="1" applyBorder="1"/>
    <xf numFmtId="0" fontId="17" fillId="0" borderId="5" xfId="0" applyFont="1" applyBorder="1" applyAlignment="1">
      <alignment horizontal="center" vertical="top"/>
    </xf>
    <xf numFmtId="0" fontId="3" fillId="8" borderId="5" xfId="0" applyFont="1" applyFill="1" applyBorder="1" applyAlignment="1">
      <alignment horizontal="center" vertical="center" wrapText="1"/>
    </xf>
    <xf numFmtId="0" fontId="3" fillId="0" borderId="5" xfId="0" applyFont="1" applyBorder="1" applyAlignment="1">
      <alignment horizontal="center"/>
    </xf>
    <xf numFmtId="0" fontId="18" fillId="0" borderId="5" xfId="0" applyFont="1" applyBorder="1" applyAlignment="1">
      <alignment horizontal="center" wrapText="1"/>
    </xf>
    <xf numFmtId="0" fontId="19" fillId="9" borderId="5" xfId="0" applyFont="1" applyFill="1" applyBorder="1" applyAlignment="1">
      <alignment horizontal="center" vertical="center"/>
    </xf>
    <xf numFmtId="0" fontId="3" fillId="10" borderId="5" xfId="0" applyFont="1" applyFill="1" applyBorder="1" applyAlignment="1">
      <alignment horizontal="center" vertical="top"/>
    </xf>
    <xf numFmtId="0" fontId="19" fillId="9" borderId="5" xfId="0" applyFont="1" applyFill="1" applyBorder="1" applyAlignment="1">
      <alignment horizontal="center" vertical="top"/>
    </xf>
    <xf numFmtId="0" fontId="9" fillId="0" borderId="51" xfId="0" applyFont="1" applyBorder="1" applyAlignment="1">
      <alignment wrapText="1"/>
    </xf>
    <xf numFmtId="0" fontId="17" fillId="0" borderId="5" xfId="0" applyFont="1" applyBorder="1" applyAlignment="1">
      <alignment horizontal="center" wrapText="1"/>
    </xf>
    <xf numFmtId="0" fontId="20" fillId="0" borderId="5" xfId="0" applyFont="1" applyBorder="1"/>
    <xf numFmtId="0" fontId="7" fillId="0" borderId="5" xfId="0" applyFont="1" applyBorder="1"/>
    <xf numFmtId="0" fontId="19" fillId="9" borderId="44" xfId="0" applyFont="1" applyFill="1" applyBorder="1" applyAlignment="1">
      <alignment horizontal="center" vertical="top"/>
    </xf>
    <xf numFmtId="0" fontId="3" fillId="10" borderId="44" xfId="0" applyFont="1" applyFill="1" applyBorder="1" applyAlignment="1">
      <alignment horizontal="center" vertical="top"/>
    </xf>
    <xf numFmtId="0" fontId="5" fillId="4" borderId="5" xfId="0" applyFont="1" applyFill="1" applyBorder="1" applyAlignment="1">
      <alignment horizontal="center" vertical="top"/>
    </xf>
    <xf numFmtId="0" fontId="5" fillId="4" borderId="5" xfId="0" applyFont="1" applyFill="1" applyBorder="1" applyAlignment="1">
      <alignment horizontal="center" vertical="center"/>
    </xf>
    <xf numFmtId="0" fontId="1" fillId="0" borderId="0" xfId="0" applyFont="1"/>
    <xf numFmtId="0" fontId="3" fillId="0" borderId="0" xfId="0" quotePrefix="1" applyFont="1" applyAlignment="1">
      <alignment horizontal="center" vertical="center"/>
    </xf>
    <xf numFmtId="0" fontId="13" fillId="5" borderId="59" xfId="0" applyFont="1" applyFill="1" applyBorder="1" applyAlignment="1">
      <alignment vertical="center" wrapText="1"/>
    </xf>
    <xf numFmtId="0" fontId="3" fillId="0" borderId="8" xfId="0" applyFont="1" applyBorder="1" applyAlignment="1">
      <alignment horizontal="center" vertical="center"/>
    </xf>
    <xf numFmtId="0" fontId="3" fillId="0" borderId="8" xfId="0" applyFont="1" applyBorder="1" applyAlignment="1">
      <alignment vertical="center"/>
    </xf>
    <xf numFmtId="0" fontId="3" fillId="0" borderId="8" xfId="0" applyFont="1" applyBorder="1" applyAlignment="1">
      <alignment horizontal="center" vertical="top"/>
    </xf>
    <xf numFmtId="14" fontId="3" fillId="0" borderId="8" xfId="0" quotePrefix="1" applyNumberFormat="1" applyFont="1" applyBorder="1" applyAlignment="1">
      <alignment horizontal="center" vertical="center"/>
    </xf>
    <xf numFmtId="164" fontId="8" fillId="0" borderId="4" xfId="0" applyNumberFormat="1" applyFont="1" applyBorder="1" applyAlignment="1">
      <alignment horizontal="left" vertical="top"/>
    </xf>
    <xf numFmtId="0" fontId="3" fillId="0" borderId="11" xfId="0" applyFont="1" applyBorder="1" applyAlignment="1">
      <alignment vertical="top"/>
    </xf>
    <xf numFmtId="0" fontId="3" fillId="0" borderId="11" xfId="0" applyFont="1" applyBorder="1" applyAlignment="1">
      <alignment horizontal="center" vertical="top"/>
    </xf>
    <xf numFmtId="14" fontId="3" fillId="0" borderId="11" xfId="0" applyNumberFormat="1" applyFont="1" applyBorder="1" applyAlignment="1">
      <alignment horizontal="center" vertical="top"/>
    </xf>
    <xf numFmtId="0" fontId="3" fillId="3" borderId="51" xfId="0" applyFont="1" applyFill="1" applyBorder="1" applyAlignment="1">
      <alignment horizontal="left" vertical="top"/>
    </xf>
    <xf numFmtId="0" fontId="3" fillId="0" borderId="60" xfId="0" applyFont="1" applyBorder="1" applyAlignment="1">
      <alignment vertical="top"/>
    </xf>
    <xf numFmtId="0" fontId="3" fillId="0" borderId="44" xfId="0" applyFont="1" applyBorder="1" applyAlignment="1">
      <alignment vertical="top"/>
    </xf>
    <xf numFmtId="14" fontId="3" fillId="0" borderId="44" xfId="0" applyNumberFormat="1" applyFont="1" applyBorder="1" applyAlignment="1">
      <alignment horizontal="center" vertical="top"/>
    </xf>
    <xf numFmtId="0" fontId="5" fillId="6" borderId="5" xfId="0" applyFont="1" applyFill="1" applyBorder="1" applyAlignment="1">
      <alignment horizontal="center" vertical="center"/>
    </xf>
    <xf numFmtId="164" fontId="14" fillId="6" borderId="37" xfId="0" applyNumberFormat="1" applyFont="1" applyFill="1" applyBorder="1" applyAlignment="1">
      <alignment vertical="top"/>
    </xf>
    <xf numFmtId="0" fontId="14" fillId="6" borderId="5" xfId="0" applyFont="1" applyFill="1" applyBorder="1" applyAlignment="1">
      <alignment vertical="top" wrapText="1"/>
    </xf>
    <xf numFmtId="0" fontId="21" fillId="0" borderId="0" xfId="0" applyFont="1" applyAlignment="1">
      <alignment horizontal="center"/>
    </xf>
    <xf numFmtId="0" fontId="22" fillId="0" borderId="0" xfId="0" applyFont="1"/>
    <xf numFmtId="0" fontId="3" fillId="0" borderId="0" xfId="0" applyFont="1"/>
    <xf numFmtId="0" fontId="3" fillId="2" borderId="47" xfId="0" applyFont="1" applyFill="1" applyBorder="1" applyAlignment="1">
      <alignment horizontal="left"/>
    </xf>
    <xf numFmtId="0" fontId="3" fillId="2" borderId="47" xfId="0" applyFont="1" applyFill="1" applyBorder="1"/>
    <xf numFmtId="0" fontId="9" fillId="2" borderId="47" xfId="0" applyFont="1" applyFill="1" applyBorder="1"/>
    <xf numFmtId="0" fontId="15" fillId="0" borderId="5" xfId="0" applyFont="1" applyBorder="1" applyAlignment="1">
      <alignment horizontal="center" vertical="center"/>
    </xf>
    <xf numFmtId="0" fontId="8" fillId="0" borderId="5" xfId="0" applyFont="1" applyBorder="1" applyAlignment="1">
      <alignment horizontal="center" vertical="center" wrapText="1"/>
    </xf>
    <xf numFmtId="0" fontId="8" fillId="11" borderId="47" xfId="0" applyFont="1" applyFill="1" applyBorder="1" applyAlignment="1">
      <alignment vertical="center"/>
    </xf>
    <xf numFmtId="9" fontId="8" fillId="11" borderId="47" xfId="0" applyNumberFormat="1" applyFont="1" applyFill="1" applyBorder="1" applyAlignment="1">
      <alignment horizontal="center" vertical="center"/>
    </xf>
    <xf numFmtId="9" fontId="8" fillId="0" borderId="0" xfId="0" applyNumberFormat="1" applyFont="1" applyAlignment="1">
      <alignment horizontal="center" vertical="center"/>
    </xf>
    <xf numFmtId="9" fontId="8" fillId="0" borderId="0" xfId="0" applyNumberFormat="1" applyFont="1" applyAlignment="1">
      <alignment vertical="top"/>
    </xf>
    <xf numFmtId="10" fontId="9" fillId="0" borderId="0" xfId="0" applyNumberFormat="1" applyFont="1"/>
    <xf numFmtId="0" fontId="23" fillId="0" borderId="0" xfId="0" applyFont="1"/>
    <xf numFmtId="0" fontId="13" fillId="0" borderId="0" xfId="0" applyFont="1"/>
    <xf numFmtId="0" fontId="19" fillId="0" borderId="0" xfId="0" applyFont="1"/>
    <xf numFmtId="0" fontId="19" fillId="0" borderId="0" xfId="0" applyFont="1" applyAlignment="1">
      <alignment horizontal="left"/>
    </xf>
    <xf numFmtId="0" fontId="24" fillId="0" borderId="0" xfId="0" applyFont="1"/>
    <xf numFmtId="0" fontId="25" fillId="0" borderId="0" xfId="0" applyFont="1"/>
    <xf numFmtId="0" fontId="13" fillId="2" borderId="47" xfId="0" applyFont="1" applyFill="1" applyBorder="1"/>
    <xf numFmtId="0" fontId="13" fillId="2" borderId="47" xfId="0" applyFont="1" applyFill="1" applyBorder="1" applyAlignment="1">
      <alignment horizontal="left"/>
    </xf>
    <xf numFmtId="0" fontId="13" fillId="0" borderId="0" xfId="0" applyFont="1" applyAlignment="1">
      <alignment horizontal="left"/>
    </xf>
    <xf numFmtId="0" fontId="23" fillId="0" borderId="0" xfId="0" applyFont="1" applyAlignment="1">
      <alignment horizontal="center"/>
    </xf>
    <xf numFmtId="0" fontId="23" fillId="0" borderId="0" xfId="0" applyFont="1" applyAlignment="1">
      <alignment horizontal="center" vertical="center"/>
    </xf>
    <xf numFmtId="0" fontId="23" fillId="0" borderId="5" xfId="0" applyFont="1" applyBorder="1" applyAlignment="1">
      <alignment horizontal="center" vertical="center"/>
    </xf>
    <xf numFmtId="0" fontId="19" fillId="0" borderId="0" xfId="0" applyFont="1" applyAlignment="1">
      <alignment horizontal="center" vertical="center" wrapText="1"/>
    </xf>
    <xf numFmtId="0" fontId="26" fillId="5" borderId="40" xfId="0" applyFont="1" applyFill="1" applyBorder="1" applyAlignment="1">
      <alignment horizontal="center"/>
    </xf>
    <xf numFmtId="0" fontId="26" fillId="0" borderId="0" xfId="0" applyFont="1"/>
    <xf numFmtId="0" fontId="23" fillId="0" borderId="6" xfId="0" applyFont="1" applyBorder="1" applyAlignment="1">
      <alignment horizontal="center" wrapText="1"/>
    </xf>
    <xf numFmtId="0" fontId="19" fillId="0" borderId="5" xfId="0" applyFont="1" applyBorder="1" applyAlignment="1">
      <alignment horizontal="center" wrapText="1"/>
    </xf>
    <xf numFmtId="0" fontId="19" fillId="3" borderId="59" xfId="0" applyFont="1" applyFill="1" applyBorder="1" applyAlignment="1">
      <alignment horizontal="center" vertical="top" wrapText="1"/>
    </xf>
    <xf numFmtId="0" fontId="26" fillId="12" borderId="59" xfId="0" applyFont="1" applyFill="1" applyBorder="1" applyAlignment="1">
      <alignment horizontal="center" vertical="center" wrapText="1"/>
    </xf>
    <xf numFmtId="0" fontId="23" fillId="0" borderId="0" xfId="0" applyFont="1" applyAlignment="1">
      <alignment vertical="top" wrapText="1"/>
    </xf>
    <xf numFmtId="0" fontId="23" fillId="0" borderId="50" xfId="0" applyFont="1" applyBorder="1" applyAlignment="1">
      <alignment horizontal="center" vertical="center" wrapText="1"/>
    </xf>
    <xf numFmtId="0" fontId="13" fillId="0" borderId="5" xfId="0" applyFont="1" applyBorder="1" applyAlignment="1">
      <alignment horizontal="center" vertical="center" wrapText="1"/>
    </xf>
    <xf numFmtId="0" fontId="23" fillId="0" borderId="5" xfId="0" applyFont="1" applyBorder="1" applyAlignment="1">
      <alignment horizontal="center" vertical="center" wrapText="1"/>
    </xf>
    <xf numFmtId="0" fontId="13" fillId="3" borderId="72" xfId="0" applyFont="1" applyFill="1" applyBorder="1" applyAlignment="1">
      <alignment horizontal="center" vertical="center" wrapText="1"/>
    </xf>
    <xf numFmtId="0" fontId="13" fillId="12" borderId="72" xfId="0" applyFont="1" applyFill="1" applyBorder="1" applyAlignment="1">
      <alignment horizontal="center" vertical="center" wrapText="1"/>
    </xf>
    <xf numFmtId="0" fontId="23" fillId="0" borderId="11" xfId="0" applyFont="1" applyBorder="1" applyAlignment="1">
      <alignment horizontal="left"/>
    </xf>
    <xf numFmtId="0" fontId="27" fillId="5" borderId="5" xfId="0" applyFont="1" applyFill="1" applyBorder="1" applyAlignment="1">
      <alignment vertical="center" wrapText="1"/>
    </xf>
    <xf numFmtId="0" fontId="27" fillId="0" borderId="5" xfId="0" applyFont="1" applyBorder="1" applyAlignment="1">
      <alignment horizontal="left"/>
    </xf>
    <xf numFmtId="14" fontId="27" fillId="5" borderId="5" xfId="0" applyNumberFormat="1" applyFont="1" applyFill="1" applyBorder="1" applyAlignment="1">
      <alignment horizontal="center" vertical="center"/>
    </xf>
    <xf numFmtId="14" fontId="27" fillId="0" borderId="5" xfId="0" applyNumberFormat="1" applyFont="1" applyBorder="1" applyAlignment="1">
      <alignment horizontal="center"/>
    </xf>
    <xf numFmtId="0" fontId="27" fillId="3" borderId="5" xfId="0" applyFont="1" applyFill="1" applyBorder="1" applyAlignment="1">
      <alignment wrapText="1"/>
    </xf>
    <xf numFmtId="0" fontId="27" fillId="3" borderId="5" xfId="0" applyFont="1" applyFill="1" applyBorder="1"/>
    <xf numFmtId="167" fontId="27" fillId="3" borderId="5" xfId="0" applyNumberFormat="1" applyFont="1" applyFill="1" applyBorder="1" applyAlignment="1">
      <alignment horizontal="left"/>
    </xf>
    <xf numFmtId="0" fontId="23" fillId="0" borderId="76" xfId="0" applyFont="1" applyBorder="1"/>
    <xf numFmtId="0" fontId="23" fillId="0" borderId="11" xfId="0" applyFont="1" applyBorder="1"/>
    <xf numFmtId="0" fontId="23" fillId="0" borderId="9" xfId="0" applyFont="1" applyBorder="1"/>
    <xf numFmtId="0" fontId="19" fillId="0" borderId="11" xfId="0" applyFont="1" applyBorder="1" applyAlignment="1">
      <alignment vertical="center" wrapText="1"/>
    </xf>
    <xf numFmtId="0" fontId="23" fillId="0" borderId="51" xfId="0" applyFont="1" applyBorder="1"/>
    <xf numFmtId="0" fontId="23" fillId="0" borderId="5" xfId="0" applyFont="1" applyBorder="1"/>
    <xf numFmtId="0" fontId="23" fillId="0" borderId="3" xfId="0" applyFont="1" applyBorder="1"/>
    <xf numFmtId="0" fontId="19" fillId="0" borderId="5" xfId="0" applyFont="1" applyBorder="1" applyAlignment="1">
      <alignment vertical="center" wrapText="1"/>
    </xf>
    <xf numFmtId="0" fontId="28" fillId="0" borderId="0" xfId="0" applyFont="1"/>
    <xf numFmtId="0" fontId="23" fillId="0" borderId="46" xfId="0" applyFont="1" applyBorder="1" applyAlignment="1">
      <alignment vertical="top"/>
    </xf>
    <xf numFmtId="0" fontId="23" fillId="12" borderId="37" xfId="0" applyFont="1" applyFill="1" applyBorder="1"/>
    <xf numFmtId="0" fontId="23" fillId="12" borderId="5" xfId="0" applyFont="1" applyFill="1" applyBorder="1"/>
    <xf numFmtId="0" fontId="23" fillId="12" borderId="14" xfId="0" applyFont="1" applyFill="1" applyBorder="1"/>
    <xf numFmtId="0" fontId="23" fillId="13" borderId="51" xfId="0" applyFont="1" applyFill="1" applyBorder="1"/>
    <xf numFmtId="0" fontId="23" fillId="13" borderId="5" xfId="0" applyFont="1" applyFill="1" applyBorder="1"/>
    <xf numFmtId="0" fontId="23" fillId="0" borderId="5" xfId="0" applyFont="1" applyBorder="1" applyAlignment="1">
      <alignment horizontal="left"/>
    </xf>
    <xf numFmtId="0" fontId="23" fillId="0" borderId="6" xfId="0" applyFont="1" applyBorder="1" applyAlignment="1">
      <alignment vertical="top"/>
    </xf>
    <xf numFmtId="0" fontId="23" fillId="12" borderId="51" xfId="0" applyFont="1" applyFill="1" applyBorder="1"/>
    <xf numFmtId="0" fontId="23" fillId="0" borderId="8" xfId="0" applyFont="1" applyBorder="1" applyAlignment="1">
      <alignment horizontal="left"/>
    </xf>
    <xf numFmtId="0" fontId="29" fillId="0" borderId="5" xfId="0" applyFont="1" applyBorder="1" applyAlignment="1">
      <alignment vertical="center" wrapText="1"/>
    </xf>
    <xf numFmtId="0" fontId="23" fillId="12" borderId="77" xfId="0" applyFont="1" applyFill="1" applyBorder="1"/>
    <xf numFmtId="0" fontId="23" fillId="12" borderId="59" xfId="0" applyFont="1" applyFill="1" applyBorder="1"/>
    <xf numFmtId="0" fontId="23" fillId="12" borderId="78" xfId="0" applyFont="1" applyFill="1" applyBorder="1"/>
    <xf numFmtId="0" fontId="23" fillId="13" borderId="77" xfId="0" applyFont="1" applyFill="1" applyBorder="1"/>
    <xf numFmtId="0" fontId="23" fillId="13" borderId="59" xfId="0" applyFont="1" applyFill="1" applyBorder="1"/>
    <xf numFmtId="0" fontId="23" fillId="0" borderId="6" xfId="0" applyFont="1" applyBorder="1" applyAlignment="1">
      <alignment horizontal="left"/>
    </xf>
    <xf numFmtId="0" fontId="23" fillId="13" borderId="78" xfId="0" applyFont="1" applyFill="1" applyBorder="1"/>
    <xf numFmtId="14" fontId="27" fillId="5" borderId="5" xfId="0" applyNumberFormat="1" applyFont="1" applyFill="1" applyBorder="1" applyAlignment="1">
      <alignment horizontal="left" vertical="center"/>
    </xf>
    <xf numFmtId="0" fontId="27" fillId="3" borderId="5" xfId="0" applyFont="1" applyFill="1" applyBorder="1" applyAlignment="1">
      <alignment vertical="center" wrapText="1"/>
    </xf>
    <xf numFmtId="167" fontId="27" fillId="3" borderId="5" xfId="0" applyNumberFormat="1" applyFont="1" applyFill="1" applyBorder="1" applyAlignment="1">
      <alignment horizontal="left" vertical="center"/>
    </xf>
    <xf numFmtId="0" fontId="29" fillId="8" borderId="5" xfId="0" applyFont="1" applyFill="1" applyBorder="1" applyAlignment="1">
      <alignment vertical="center" wrapText="1"/>
    </xf>
    <xf numFmtId="0" fontId="27" fillId="5" borderId="5" xfId="0" applyFont="1" applyFill="1" applyBorder="1" applyAlignment="1">
      <alignment horizontal="center" vertical="center"/>
    </xf>
    <xf numFmtId="0" fontId="27" fillId="0" borderId="5" xfId="0" applyFont="1" applyBorder="1" applyAlignment="1">
      <alignment horizontal="center" vertical="center"/>
    </xf>
    <xf numFmtId="0" fontId="23" fillId="13" borderId="78" xfId="0" applyFont="1" applyFill="1" applyBorder="1" applyAlignment="1">
      <alignment vertical="center"/>
    </xf>
    <xf numFmtId="0" fontId="23" fillId="13" borderId="78" xfId="0" applyFont="1" applyFill="1" applyBorder="1" applyAlignment="1">
      <alignment vertical="center" wrapText="1"/>
    </xf>
    <xf numFmtId="167" fontId="27" fillId="3" borderId="5" xfId="0" applyNumberFormat="1" applyFont="1" applyFill="1" applyBorder="1" applyAlignment="1">
      <alignment horizontal="left" wrapText="1"/>
    </xf>
    <xf numFmtId="0" fontId="27" fillId="0" borderId="5" xfId="0" applyFont="1" applyBorder="1" applyAlignment="1">
      <alignment horizontal="center"/>
    </xf>
    <xf numFmtId="14" fontId="27" fillId="0" borderId="5" xfId="0" applyNumberFormat="1" applyFont="1" applyBorder="1" applyAlignment="1">
      <alignment horizontal="center" vertical="center" wrapText="1"/>
    </xf>
    <xf numFmtId="0" fontId="23" fillId="0" borderId="6" xfId="0" applyFont="1" applyBorder="1"/>
    <xf numFmtId="0" fontId="23" fillId="3" borderId="5" xfId="0" applyFont="1" applyFill="1" applyBorder="1"/>
    <xf numFmtId="0" fontId="23" fillId="3" borderId="79" xfId="0" applyFont="1" applyFill="1" applyBorder="1"/>
    <xf numFmtId="0" fontId="23" fillId="3" borderId="78" xfId="0" applyFont="1" applyFill="1" applyBorder="1"/>
    <xf numFmtId="14" fontId="23" fillId="3" borderId="78" xfId="0" applyNumberFormat="1" applyFont="1" applyFill="1" applyBorder="1"/>
    <xf numFmtId="0" fontId="30" fillId="0" borderId="5" xfId="0" applyFont="1" applyBorder="1" applyAlignment="1">
      <alignment vertical="center" wrapText="1"/>
    </xf>
    <xf numFmtId="0" fontId="27" fillId="0" borderId="5" xfId="0" applyFont="1" applyBorder="1" applyAlignment="1">
      <alignment horizontal="left" vertical="center"/>
    </xf>
    <xf numFmtId="14" fontId="27" fillId="0" borderId="5" xfId="0" applyNumberFormat="1" applyFont="1" applyBorder="1" applyAlignment="1">
      <alignment horizontal="center" vertical="center"/>
    </xf>
    <xf numFmtId="0" fontId="23" fillId="12" borderId="78" xfId="0" applyFont="1" applyFill="1" applyBorder="1" applyAlignment="1">
      <alignment wrapText="1"/>
    </xf>
    <xf numFmtId="0" fontId="23" fillId="13" borderId="78" xfId="0" applyFont="1" applyFill="1" applyBorder="1" applyAlignment="1">
      <alignment wrapText="1"/>
    </xf>
    <xf numFmtId="0" fontId="23" fillId="12" borderId="79" xfId="0" applyFont="1" applyFill="1" applyBorder="1"/>
    <xf numFmtId="0" fontId="23" fillId="13" borderId="79" xfId="0" applyFont="1" applyFill="1" applyBorder="1"/>
    <xf numFmtId="0" fontId="23" fillId="0" borderId="3" xfId="0" applyFont="1" applyBorder="1" applyAlignment="1">
      <alignment horizontal="left"/>
    </xf>
    <xf numFmtId="0" fontId="23" fillId="0" borderId="12" xfId="0" applyFont="1" applyBorder="1"/>
    <xf numFmtId="0" fontId="23" fillId="3" borderId="15" xfId="0" applyFont="1" applyFill="1" applyBorder="1"/>
    <xf numFmtId="0" fontId="23" fillId="3" borderId="14" xfId="0" applyFont="1" applyFill="1" applyBorder="1"/>
    <xf numFmtId="14" fontId="23" fillId="3" borderId="14" xfId="0" applyNumberFormat="1" applyFont="1" applyFill="1" applyBorder="1"/>
    <xf numFmtId="0" fontId="23" fillId="12" borderId="15" xfId="0" applyFont="1" applyFill="1" applyBorder="1"/>
    <xf numFmtId="0" fontId="23" fillId="13" borderId="15" xfId="0" applyFont="1" applyFill="1" applyBorder="1"/>
    <xf numFmtId="0" fontId="23" fillId="13" borderId="14" xfId="0" applyFont="1" applyFill="1" applyBorder="1"/>
    <xf numFmtId="0" fontId="27" fillId="5" borderId="16" xfId="0" applyFont="1" applyFill="1" applyBorder="1" applyAlignment="1">
      <alignment vertical="center" wrapText="1"/>
    </xf>
    <xf numFmtId="15" fontId="27" fillId="5" borderId="5" xfId="0" applyNumberFormat="1" applyFont="1" applyFill="1" applyBorder="1" applyAlignment="1">
      <alignment horizontal="center" vertical="center"/>
    </xf>
    <xf numFmtId="167" fontId="27" fillId="3" borderId="5" xfId="0" applyNumberFormat="1" applyFont="1" applyFill="1" applyBorder="1"/>
    <xf numFmtId="14" fontId="23" fillId="12" borderId="5" xfId="0" applyNumberFormat="1" applyFont="1" applyFill="1" applyBorder="1"/>
    <xf numFmtId="0" fontId="23" fillId="12" borderId="5" xfId="0" applyFont="1" applyFill="1" applyBorder="1" applyAlignment="1">
      <alignment horizontal="center" vertical="center"/>
    </xf>
    <xf numFmtId="0" fontId="23" fillId="12" borderId="5" xfId="0" applyFont="1" applyFill="1" applyBorder="1" applyAlignment="1">
      <alignment horizontal="right"/>
    </xf>
    <xf numFmtId="15" fontId="27" fillId="3" borderId="5" xfId="0" applyNumberFormat="1" applyFont="1" applyFill="1" applyBorder="1" applyAlignment="1">
      <alignment horizontal="left"/>
    </xf>
    <xf numFmtId="0" fontId="27" fillId="3" borderId="5" xfId="0" applyFont="1" applyFill="1" applyBorder="1" applyAlignment="1">
      <alignment horizontal="left" vertical="center" wrapText="1"/>
    </xf>
    <xf numFmtId="0" fontId="29" fillId="0" borderId="0" xfId="0" applyFont="1" applyAlignment="1">
      <alignment wrapText="1"/>
    </xf>
    <xf numFmtId="0" fontId="23" fillId="3" borderId="80" xfId="0" applyFont="1" applyFill="1" applyBorder="1"/>
    <xf numFmtId="0" fontId="23" fillId="3" borderId="44" xfId="0" applyFont="1" applyFill="1" applyBorder="1"/>
    <xf numFmtId="14" fontId="23" fillId="3" borderId="44" xfId="0" applyNumberFormat="1" applyFont="1" applyFill="1" applyBorder="1"/>
    <xf numFmtId="0" fontId="23" fillId="12" borderId="60" xfId="0" applyFont="1" applyFill="1" applyBorder="1"/>
    <xf numFmtId="0" fontId="23" fillId="12" borderId="44" xfId="0" applyFont="1" applyFill="1" applyBorder="1"/>
    <xf numFmtId="0" fontId="23" fillId="12" borderId="81" xfId="0" applyFont="1" applyFill="1" applyBorder="1"/>
    <xf numFmtId="0" fontId="23" fillId="13" borderId="60" xfId="0" applyFont="1" applyFill="1" applyBorder="1"/>
    <xf numFmtId="0" fontId="23" fillId="13" borderId="44" xfId="0" applyFont="1" applyFill="1" applyBorder="1"/>
    <xf numFmtId="0" fontId="31" fillId="0" borderId="0" xfId="0" applyFont="1"/>
    <xf numFmtId="0" fontId="32" fillId="2" borderId="47" xfId="0" applyFont="1" applyFill="1" applyBorder="1" applyAlignment="1">
      <alignment vertical="top"/>
    </xf>
    <xf numFmtId="0" fontId="33" fillId="0" borderId="0" xfId="0" applyFont="1" applyAlignment="1">
      <alignment vertical="top"/>
    </xf>
    <xf numFmtId="0" fontId="3" fillId="15" borderId="85" xfId="0" applyFont="1" applyFill="1" applyBorder="1" applyAlignment="1">
      <alignment horizontal="center" vertical="center"/>
    </xf>
    <xf numFmtId="0" fontId="3" fillId="0" borderId="0" xfId="0" applyFont="1" applyAlignment="1">
      <alignment vertical="center" wrapText="1"/>
    </xf>
    <xf numFmtId="0" fontId="4" fillId="0" borderId="0" xfId="0" applyFont="1" applyAlignment="1">
      <alignment vertical="center"/>
    </xf>
    <xf numFmtId="0" fontId="25" fillId="15" borderId="86" xfId="0" applyFont="1" applyFill="1" applyBorder="1" applyAlignment="1">
      <alignment horizontal="center" vertical="center"/>
    </xf>
    <xf numFmtId="10" fontId="4" fillId="6" borderId="87" xfId="0" applyNumberFormat="1" applyFont="1" applyFill="1" applyBorder="1" applyAlignment="1">
      <alignment vertical="center"/>
    </xf>
    <xf numFmtId="0" fontId="4" fillId="15" borderId="86" xfId="0" applyFont="1" applyFill="1" applyBorder="1" applyAlignment="1">
      <alignment horizontal="center" vertical="center"/>
    </xf>
    <xf numFmtId="0" fontId="4" fillId="6" borderId="88" xfId="0" applyFont="1" applyFill="1" applyBorder="1" applyAlignment="1">
      <alignment horizontal="center" vertical="center"/>
    </xf>
    <xf numFmtId="0" fontId="1" fillId="0" borderId="0" xfId="0" applyFont="1" applyAlignment="1">
      <alignment horizontal="center"/>
    </xf>
    <xf numFmtId="0" fontId="23" fillId="0" borderId="0" xfId="0" applyFont="1" applyAlignment="1">
      <alignment vertical="center"/>
    </xf>
    <xf numFmtId="0" fontId="23" fillId="0" borderId="3" xfId="0" applyFont="1" applyBorder="1" applyAlignment="1">
      <alignment horizontal="center" vertical="center"/>
    </xf>
    <xf numFmtId="0" fontId="26" fillId="0" borderId="8" xfId="0" applyFont="1" applyBorder="1" applyAlignment="1">
      <alignment horizontal="center" vertical="center" wrapText="1"/>
    </xf>
    <xf numFmtId="0" fontId="26" fillId="0" borderId="13" xfId="0" applyFont="1" applyBorder="1" applyAlignment="1">
      <alignment horizontal="center" vertical="center" wrapText="1"/>
    </xf>
    <xf numFmtId="0" fontId="23" fillId="0" borderId="13" xfId="0" applyFont="1" applyBorder="1" applyAlignment="1">
      <alignment horizontal="center" vertical="center" wrapText="1"/>
    </xf>
    <xf numFmtId="0" fontId="23" fillId="0" borderId="8" xfId="0" applyFont="1" applyBorder="1" applyAlignment="1">
      <alignment horizontal="center" vertical="center"/>
    </xf>
    <xf numFmtId="0" fontId="23" fillId="0" borderId="6" xfId="0" applyFont="1" applyBorder="1" applyAlignment="1">
      <alignment horizontal="center" vertical="center"/>
    </xf>
    <xf numFmtId="0" fontId="26" fillId="0" borderId="11" xfId="0" applyFont="1" applyBorder="1" applyAlignment="1">
      <alignment horizontal="center" vertical="center" wrapText="1"/>
    </xf>
    <xf numFmtId="0" fontId="26" fillId="0" borderId="50" xfId="0" applyFont="1" applyBorder="1" applyAlignment="1">
      <alignment horizontal="center" vertical="center" wrapText="1"/>
    </xf>
    <xf numFmtId="0" fontId="23" fillId="0" borderId="11" xfId="0" applyFont="1" applyBorder="1" applyAlignment="1">
      <alignment horizontal="center" vertical="center" wrapText="1"/>
    </xf>
    <xf numFmtId="0" fontId="23" fillId="0" borderId="5" xfId="0" applyFont="1" applyBorder="1" applyAlignment="1">
      <alignment vertical="center"/>
    </xf>
    <xf numFmtId="0" fontId="3" fillId="0" borderId="5" xfId="0" applyFont="1" applyBorder="1" applyAlignment="1">
      <alignment horizontal="left" vertical="center" wrapText="1"/>
    </xf>
    <xf numFmtId="14" fontId="8" fillId="0" borderId="5" xfId="0" applyNumberFormat="1" applyFont="1" applyBorder="1" applyAlignment="1">
      <alignment horizontal="center"/>
    </xf>
    <xf numFmtId="14" fontId="8" fillId="0" borderId="3" xfId="0" applyNumberFormat="1" applyFont="1" applyBorder="1" applyAlignment="1">
      <alignment horizontal="center"/>
    </xf>
    <xf numFmtId="0" fontId="23" fillId="0" borderId="4" xfId="0" applyFont="1" applyBorder="1" applyAlignment="1">
      <alignment horizontal="center" vertical="center" wrapText="1"/>
    </xf>
    <xf numFmtId="0" fontId="23" fillId="0" borderId="11" xfId="0" applyFont="1" applyBorder="1" applyAlignment="1">
      <alignment horizontal="center" vertical="center"/>
    </xf>
    <xf numFmtId="0" fontId="23" fillId="0" borderId="0" xfId="0" applyFont="1" applyAlignment="1">
      <alignment vertical="top"/>
    </xf>
    <xf numFmtId="14" fontId="8" fillId="0" borderId="5" xfId="0" applyNumberFormat="1" applyFont="1" applyBorder="1" applyAlignment="1">
      <alignment horizontal="center" vertical="center" wrapText="1"/>
    </xf>
    <xf numFmtId="14" fontId="8" fillId="0" borderId="3" xfId="0" applyNumberFormat="1" applyFont="1" applyBorder="1" applyAlignment="1">
      <alignment horizontal="center" vertical="center" wrapText="1"/>
    </xf>
    <xf numFmtId="0" fontId="23" fillId="0" borderId="8" xfId="0" applyFont="1" applyBorder="1" applyAlignment="1">
      <alignment vertical="center"/>
    </xf>
    <xf numFmtId="0" fontId="23" fillId="0" borderId="11" xfId="0" applyFont="1" applyBorder="1" applyAlignment="1">
      <alignment vertical="center"/>
    </xf>
    <xf numFmtId="14" fontId="23" fillId="0" borderId="5" xfId="0" applyNumberFormat="1" applyFont="1" applyBorder="1" applyAlignment="1">
      <alignment horizontal="center" vertical="center" wrapText="1"/>
    </xf>
    <xf numFmtId="14" fontId="23" fillId="0" borderId="3" xfId="0" applyNumberFormat="1" applyFont="1" applyBorder="1" applyAlignment="1">
      <alignment horizontal="center" vertical="center" wrapText="1"/>
    </xf>
    <xf numFmtId="0" fontId="23" fillId="0" borderId="7" xfId="0" applyFont="1" applyBorder="1" applyAlignment="1">
      <alignment horizontal="center" vertical="center" wrapText="1"/>
    </xf>
    <xf numFmtId="14" fontId="8" fillId="0" borderId="8" xfId="0" applyNumberFormat="1" applyFont="1" applyBorder="1" applyAlignment="1">
      <alignment horizontal="center" vertical="center" wrapText="1"/>
    </xf>
    <xf numFmtId="14" fontId="8" fillId="0" borderId="6" xfId="0" applyNumberFormat="1" applyFont="1" applyBorder="1" applyAlignment="1">
      <alignment horizontal="center" vertical="center" wrapText="1"/>
    </xf>
    <xf numFmtId="0" fontId="13" fillId="0" borderId="5" xfId="0" applyFont="1" applyBorder="1" applyAlignment="1">
      <alignment horizontal="left" vertical="center" wrapText="1"/>
    </xf>
    <xf numFmtId="14" fontId="23" fillId="0" borderId="8" xfId="0" applyNumberFormat="1" applyFont="1" applyBorder="1" applyAlignment="1">
      <alignment horizontal="center" vertical="center" wrapText="1"/>
    </xf>
    <xf numFmtId="14" fontId="23" fillId="0" borderId="6" xfId="0" applyNumberFormat="1" applyFont="1" applyBorder="1" applyAlignment="1">
      <alignment horizontal="center" vertical="center" wrapText="1"/>
    </xf>
    <xf numFmtId="167" fontId="23" fillId="0" borderId="5" xfId="0" applyNumberFormat="1" applyFont="1" applyBorder="1" applyAlignment="1">
      <alignment horizontal="center" vertical="center" wrapText="1"/>
    </xf>
    <xf numFmtId="14" fontId="23" fillId="0" borderId="3" xfId="0" applyNumberFormat="1" applyFont="1" applyBorder="1" applyAlignment="1">
      <alignment horizontal="center" wrapText="1"/>
    </xf>
    <xf numFmtId="14" fontId="23" fillId="0" borderId="3" xfId="0" applyNumberFormat="1" applyFont="1" applyBorder="1" applyAlignment="1">
      <alignment horizontal="center"/>
    </xf>
    <xf numFmtId="14" fontId="23" fillId="0" borderId="6" xfId="0" applyNumberFormat="1" applyFont="1" applyBorder="1" applyAlignment="1">
      <alignment horizontal="center"/>
    </xf>
    <xf numFmtId="14" fontId="23" fillId="0" borderId="6" xfId="0" applyNumberFormat="1" applyFont="1" applyBorder="1" applyAlignment="1">
      <alignment horizontal="center" vertical="center"/>
    </xf>
    <xf numFmtId="14" fontId="23" fillId="0" borderId="8" xfId="0" applyNumberFormat="1" applyFont="1" applyBorder="1" applyAlignment="1">
      <alignment horizontal="center" vertical="center"/>
    </xf>
    <xf numFmtId="0" fontId="23" fillId="0" borderId="46" xfId="0" applyFont="1" applyBorder="1" applyAlignment="1">
      <alignment horizontal="center" vertical="center" wrapText="1"/>
    </xf>
    <xf numFmtId="14" fontId="23" fillId="0" borderId="5" xfId="0" applyNumberFormat="1" applyFont="1" applyBorder="1" applyAlignment="1">
      <alignment horizontal="center" vertical="center"/>
    </xf>
    <xf numFmtId="14" fontId="23" fillId="0" borderId="3" xfId="0" applyNumberFormat="1" applyFont="1" applyBorder="1" applyAlignment="1">
      <alignment horizontal="center" vertical="center"/>
    </xf>
    <xf numFmtId="0" fontId="23" fillId="0" borderId="10" xfId="0" applyFont="1" applyBorder="1" applyAlignment="1">
      <alignment horizontal="center"/>
    </xf>
    <xf numFmtId="0" fontId="23" fillId="0" borderId="5" xfId="0" applyFont="1" applyBorder="1" applyAlignment="1">
      <alignment horizontal="center"/>
    </xf>
    <xf numFmtId="0" fontId="8" fillId="0" borderId="5" xfId="0" applyFont="1" applyBorder="1" applyAlignment="1">
      <alignment horizontal="center" vertical="center"/>
    </xf>
    <xf numFmtId="0" fontId="13" fillId="0" borderId="0" xfId="0" applyFont="1" applyAlignment="1">
      <alignment horizontal="center"/>
    </xf>
    <xf numFmtId="0" fontId="23" fillId="0" borderId="0" xfId="0" applyFont="1" applyAlignment="1">
      <alignment horizontal="center" vertical="center" wrapText="1"/>
    </xf>
    <xf numFmtId="0" fontId="13" fillId="0" borderId="0" xfId="0" applyFont="1" applyAlignment="1">
      <alignment vertical="center"/>
    </xf>
    <xf numFmtId="0" fontId="19" fillId="0" borderId="0" xfId="0" applyFont="1" applyAlignment="1">
      <alignment horizontal="center"/>
    </xf>
    <xf numFmtId="0" fontId="19" fillId="4" borderId="20" xfId="0" applyFont="1" applyFill="1" applyBorder="1" applyAlignment="1">
      <alignment horizontal="center" vertical="center"/>
    </xf>
    <xf numFmtId="0" fontId="19" fillId="4" borderId="32" xfId="0" applyFont="1" applyFill="1" applyBorder="1" applyAlignment="1">
      <alignment horizontal="center" vertical="center"/>
    </xf>
    <xf numFmtId="0" fontId="35" fillId="0" borderId="0" xfId="0" applyFont="1" applyAlignment="1">
      <alignment horizontal="left"/>
    </xf>
    <xf numFmtId="2" fontId="23" fillId="0" borderId="0" xfId="0" applyNumberFormat="1" applyFont="1" applyAlignment="1">
      <alignment horizontal="center"/>
    </xf>
    <xf numFmtId="0" fontId="9" fillId="0" borderId="0" xfId="0" applyFont="1" applyAlignment="1">
      <alignment horizontal="center"/>
    </xf>
    <xf numFmtId="0" fontId="23" fillId="0" borderId="0" xfId="0" applyFont="1" applyAlignment="1">
      <alignment horizontal="left"/>
    </xf>
    <xf numFmtId="0" fontId="13" fillId="0" borderId="5" xfId="0" applyFont="1" applyBorder="1" applyAlignment="1">
      <alignment horizontal="left" vertical="center"/>
    </xf>
    <xf numFmtId="0" fontId="13" fillId="0" borderId="5" xfId="0" applyFont="1" applyBorder="1" applyAlignment="1">
      <alignment vertical="top" wrapText="1"/>
    </xf>
    <xf numFmtId="167" fontId="13" fillId="0" borderId="5" xfId="0" applyNumberFormat="1" applyFont="1" applyBorder="1" applyAlignment="1">
      <alignment horizontal="center" vertical="center" wrapText="1"/>
    </xf>
    <xf numFmtId="2" fontId="36" fillId="0" borderId="0" xfId="0" applyNumberFormat="1" applyFont="1" applyAlignment="1">
      <alignment horizontal="left" wrapText="1"/>
    </xf>
    <xf numFmtId="164" fontId="13" fillId="0" borderId="5" xfId="0" quotePrefix="1" applyNumberFormat="1" applyFont="1" applyBorder="1" applyAlignment="1">
      <alignment horizontal="center" vertical="center" wrapText="1"/>
    </xf>
    <xf numFmtId="0" fontId="13" fillId="0" borderId="0" xfId="0" applyFont="1" applyAlignment="1">
      <alignment vertical="top" wrapText="1"/>
    </xf>
    <xf numFmtId="164"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20" fillId="0" borderId="0" xfId="0" applyFont="1" applyAlignment="1">
      <alignment horizontal="left"/>
    </xf>
    <xf numFmtId="0" fontId="20" fillId="0" borderId="0" xfId="0" applyFont="1"/>
    <xf numFmtId="0" fontId="23" fillId="0" borderId="0" xfId="0" applyFont="1" applyAlignment="1">
      <alignment horizontal="left" vertical="center"/>
    </xf>
    <xf numFmtId="0" fontId="4" fillId="0" borderId="0" xfId="0" applyFont="1" applyAlignment="1">
      <alignment horizontal="left"/>
    </xf>
    <xf numFmtId="0" fontId="7" fillId="0" borderId="0" xfId="0" applyFont="1" applyAlignment="1">
      <alignment horizontal="left"/>
    </xf>
    <xf numFmtId="0" fontId="7" fillId="0" borderId="4" xfId="0" applyFont="1" applyBorder="1" applyAlignment="1">
      <alignment horizontal="left"/>
    </xf>
    <xf numFmtId="0" fontId="23" fillId="0" borderId="5" xfId="0" applyFont="1" applyBorder="1" applyAlignment="1">
      <alignment horizontal="left" wrapText="1"/>
    </xf>
    <xf numFmtId="167" fontId="23" fillId="0" borderId="4" xfId="0" applyNumberFormat="1" applyFont="1" applyBorder="1" applyAlignment="1">
      <alignment horizontal="center" vertical="center" wrapText="1"/>
    </xf>
    <xf numFmtId="15" fontId="23" fillId="0" borderId="5" xfId="0" quotePrefix="1" applyNumberFormat="1" applyFont="1" applyBorder="1" applyAlignment="1">
      <alignment horizontal="center" vertical="center" wrapText="1"/>
    </xf>
    <xf numFmtId="0" fontId="23" fillId="0" borderId="5" xfId="0" applyFont="1" applyBorder="1" applyAlignment="1">
      <alignment horizontal="left" vertical="center" wrapText="1"/>
    </xf>
    <xf numFmtId="14" fontId="8" fillId="0" borderId="4" xfId="0" applyNumberFormat="1" applyFont="1" applyBorder="1" applyAlignment="1">
      <alignment horizontal="center" vertical="center" wrapText="1"/>
    </xf>
    <xf numFmtId="14" fontId="8" fillId="0" borderId="4" xfId="0" applyNumberFormat="1" applyFont="1" applyBorder="1" applyAlignment="1">
      <alignment vertical="center"/>
    </xf>
    <xf numFmtId="0" fontId="7" fillId="0" borderId="5" xfId="0" applyFont="1" applyBorder="1" applyAlignment="1">
      <alignment vertical="center"/>
    </xf>
    <xf numFmtId="0" fontId="8" fillId="0" borderId="5" xfId="0" applyFont="1" applyBorder="1" applyAlignment="1">
      <alignment horizontal="center" wrapText="1"/>
    </xf>
    <xf numFmtId="0" fontId="23" fillId="0" borderId="5" xfId="0" applyFont="1" applyBorder="1" applyAlignment="1">
      <alignment horizontal="left" vertical="top" wrapText="1"/>
    </xf>
    <xf numFmtId="0" fontId="7" fillId="0" borderId="5" xfId="0" applyFont="1" applyBorder="1" applyAlignment="1">
      <alignment horizontal="center" vertical="center"/>
    </xf>
    <xf numFmtId="0" fontId="8" fillId="0" borderId="8" xfId="0" applyFont="1" applyBorder="1" applyAlignment="1">
      <alignment horizontal="center" vertical="center"/>
    </xf>
    <xf numFmtId="0" fontId="19" fillId="0" borderId="0" xfId="0" applyFont="1" applyAlignment="1">
      <alignment horizontal="left" vertical="center"/>
    </xf>
    <xf numFmtId="0" fontId="5" fillId="0" borderId="0" xfId="0" applyFont="1"/>
    <xf numFmtId="0" fontId="13" fillId="0" borderId="0" xfId="0" quotePrefix="1" applyFont="1" applyAlignment="1">
      <alignment horizontal="left"/>
    </xf>
    <xf numFmtId="2" fontId="13" fillId="0" borderId="0" xfId="0" applyNumberFormat="1" applyFont="1" applyAlignment="1">
      <alignment horizontal="left"/>
    </xf>
    <xf numFmtId="2" fontId="13" fillId="0" borderId="0" xfId="0" applyNumberFormat="1" applyFont="1" applyAlignment="1">
      <alignment horizontal="left" vertical="center"/>
    </xf>
    <xf numFmtId="0" fontId="3" fillId="0" borderId="0" xfId="0" applyFont="1" applyAlignment="1">
      <alignment horizontal="left"/>
    </xf>
    <xf numFmtId="0" fontId="13" fillId="0" borderId="0" xfId="0" applyFont="1" applyAlignment="1">
      <alignment horizontal="left" vertical="center"/>
    </xf>
    <xf numFmtId="0" fontId="5" fillId="0" borderId="8" xfId="0" applyFont="1" applyBorder="1" applyAlignment="1">
      <alignment horizontal="center" vertical="center" wrapText="1"/>
    </xf>
    <xf numFmtId="0" fontId="6" fillId="0" borderId="11" xfId="0" applyFont="1" applyBorder="1"/>
    <xf numFmtId="0" fontId="3" fillId="3" borderId="3" xfId="0" applyFont="1" applyFill="1" applyBorder="1" applyAlignment="1">
      <alignment horizontal="left" vertical="top"/>
    </xf>
    <xf numFmtId="0" fontId="6" fillId="0" borderId="12" xfId="0" applyFont="1" applyBorder="1"/>
    <xf numFmtId="0" fontId="6" fillId="0" borderId="4" xfId="0" applyFont="1" applyBorder="1"/>
    <xf numFmtId="0" fontId="12" fillId="0" borderId="0" xfId="0" applyFont="1" applyAlignment="1">
      <alignment horizontal="center" vertical="top"/>
    </xf>
    <xf numFmtId="0" fontId="0" fillId="0" borderId="0" xfId="0"/>
    <xf numFmtId="0" fontId="3" fillId="2" borderId="1" xfId="0" applyFont="1" applyFill="1" applyBorder="1" applyAlignment="1">
      <alignment horizontal="left" vertical="top"/>
    </xf>
    <xf numFmtId="0" fontId="6" fillId="0" borderId="2" xfId="0" applyFont="1" applyBorder="1"/>
    <xf numFmtId="0" fontId="8" fillId="0" borderId="3" xfId="0" applyFont="1" applyBorder="1" applyAlignment="1">
      <alignment horizontal="center" vertical="top"/>
    </xf>
    <xf numFmtId="0" fontId="5" fillId="0" borderId="6" xfId="0" applyFont="1" applyBorder="1" applyAlignment="1">
      <alignment horizontal="center" vertical="center" wrapText="1"/>
    </xf>
    <xf numFmtId="0" fontId="6" fillId="0" borderId="7" xfId="0" applyFont="1" applyBorder="1"/>
    <xf numFmtId="0" fontId="6" fillId="0" borderId="9" xfId="0" applyFont="1" applyBorder="1"/>
    <xf numFmtId="0" fontId="6" fillId="0" borderId="10" xfId="0" applyFont="1" applyBorder="1"/>
    <xf numFmtId="0" fontId="5" fillId="2" borderId="3" xfId="0" applyFont="1" applyFill="1" applyBorder="1" applyAlignment="1">
      <alignment horizontal="center" vertical="center" wrapText="1"/>
    </xf>
    <xf numFmtId="0" fontId="3" fillId="0" borderId="8" xfId="0" applyFont="1" applyBorder="1" applyAlignment="1">
      <alignment horizontal="left" vertical="top" wrapText="1"/>
    </xf>
    <xf numFmtId="0" fontId="6" fillId="0" borderId="13" xfId="0" applyFont="1" applyBorder="1"/>
    <xf numFmtId="9" fontId="5" fillId="4" borderId="21" xfId="0" applyNumberFormat="1" applyFont="1" applyFill="1" applyBorder="1" applyAlignment="1">
      <alignment horizontal="center" vertical="center"/>
    </xf>
    <xf numFmtId="0" fontId="6" fillId="0" borderId="25" xfId="0" applyFont="1" applyBorder="1"/>
    <xf numFmtId="0" fontId="6" fillId="0" borderId="27" xfId="0" applyFont="1" applyBorder="1"/>
    <xf numFmtId="0" fontId="5" fillId="4" borderId="23" xfId="0" applyFont="1" applyFill="1" applyBorder="1" applyAlignment="1">
      <alignment horizontal="center" vertical="top"/>
    </xf>
    <xf numFmtId="0" fontId="6" fillId="0" borderId="24" xfId="0" applyFont="1" applyBorder="1"/>
    <xf numFmtId="9" fontId="5" fillId="4" borderId="23" xfId="0" applyNumberFormat="1" applyFont="1" applyFill="1" applyBorder="1" applyAlignment="1">
      <alignment horizontal="center" vertical="top"/>
    </xf>
    <xf numFmtId="0" fontId="8" fillId="0" borderId="28" xfId="0" applyFont="1" applyBorder="1" applyAlignment="1">
      <alignment horizontal="center" vertical="top"/>
    </xf>
    <xf numFmtId="0" fontId="6" fillId="0" borderId="29" xfId="0" applyFont="1" applyBorder="1"/>
    <xf numFmtId="0" fontId="8" fillId="0" borderId="30" xfId="0" applyFont="1" applyBorder="1" applyAlignment="1">
      <alignment horizontal="center" vertical="top"/>
    </xf>
    <xf numFmtId="0" fontId="6" fillId="0" borderId="31" xfId="0" applyFont="1" applyBorder="1"/>
    <xf numFmtId="0" fontId="5" fillId="0" borderId="33" xfId="0" applyFont="1" applyBorder="1" applyAlignment="1">
      <alignment horizontal="center" vertical="center" wrapText="1"/>
    </xf>
    <xf numFmtId="0" fontId="6" fillId="0" borderId="35" xfId="0" applyFont="1" applyBorder="1"/>
    <xf numFmtId="0" fontId="6" fillId="0" borderId="36" xfId="0" applyFont="1" applyBorder="1"/>
    <xf numFmtId="0" fontId="5" fillId="0" borderId="3" xfId="0" applyFont="1" applyBorder="1" applyAlignment="1">
      <alignment horizontal="center" vertical="center" wrapText="1"/>
    </xf>
    <xf numFmtId="0" fontId="5" fillId="4" borderId="38" xfId="0" applyFont="1" applyFill="1" applyBorder="1" applyAlignment="1">
      <alignment horizontal="center" vertical="center"/>
    </xf>
    <xf numFmtId="0" fontId="6" fillId="0" borderId="43" xfId="0" applyFont="1" applyBorder="1"/>
    <xf numFmtId="9" fontId="5" fillId="4" borderId="42" xfId="0" applyNumberFormat="1" applyFont="1" applyFill="1" applyBorder="1" applyAlignment="1">
      <alignment horizontal="center" vertical="center"/>
    </xf>
    <xf numFmtId="0" fontId="6" fillId="0" borderId="45" xfId="0" applyFont="1" applyBorder="1"/>
    <xf numFmtId="0" fontId="5" fillId="0" borderId="34" xfId="0" applyFont="1" applyBorder="1" applyAlignment="1">
      <alignment horizontal="center" vertical="center" wrapText="1"/>
    </xf>
    <xf numFmtId="0" fontId="10" fillId="0" borderId="0" xfId="0" applyFont="1" applyAlignment="1">
      <alignment horizontal="center"/>
    </xf>
    <xf numFmtId="0" fontId="3" fillId="0" borderId="8" xfId="0" applyFont="1" applyBorder="1" applyAlignment="1">
      <alignment horizontal="center" vertical="center" wrapText="1"/>
    </xf>
    <xf numFmtId="0" fontId="5" fillId="3" borderId="3" xfId="0" applyFont="1" applyFill="1" applyBorder="1" applyAlignment="1">
      <alignment horizontal="left" vertical="top"/>
    </xf>
    <xf numFmtId="0" fontId="3" fillId="0" borderId="3" xfId="0" applyFont="1" applyBorder="1" applyAlignment="1">
      <alignment horizontal="center" vertical="top"/>
    </xf>
    <xf numFmtId="0" fontId="3" fillId="7" borderId="3" xfId="0" applyFont="1" applyFill="1" applyBorder="1" applyAlignment="1">
      <alignment horizontal="left" vertical="top" wrapText="1"/>
    </xf>
    <xf numFmtId="0" fontId="3" fillId="0" borderId="7" xfId="0" applyFont="1" applyBorder="1" applyAlignment="1">
      <alignment horizontal="left" vertical="top" wrapText="1"/>
    </xf>
    <xf numFmtId="9" fontId="5" fillId="4" borderId="23" xfId="0" applyNumberFormat="1" applyFont="1" applyFill="1" applyBorder="1" applyAlignment="1">
      <alignment horizontal="center" vertical="center"/>
    </xf>
    <xf numFmtId="0" fontId="6" fillId="0" borderId="49" xfId="0" applyFont="1" applyBorder="1"/>
    <xf numFmtId="0" fontId="5" fillId="4" borderId="28" xfId="0" applyFont="1" applyFill="1" applyBorder="1" applyAlignment="1">
      <alignment horizontal="center" vertical="center"/>
    </xf>
    <xf numFmtId="0" fontId="5" fillId="4" borderId="48" xfId="0" applyFont="1" applyFill="1" applyBorder="1" applyAlignment="1">
      <alignment horizontal="center" vertical="center"/>
    </xf>
    <xf numFmtId="0" fontId="5" fillId="0" borderId="46" xfId="0" applyFont="1" applyBorder="1" applyAlignment="1">
      <alignment horizontal="center" vertical="center" wrapText="1"/>
    </xf>
    <xf numFmtId="0" fontId="6" fillId="0" borderId="46" xfId="0" applyFont="1" applyBorder="1"/>
    <xf numFmtId="0" fontId="5" fillId="9" borderId="33" xfId="0" applyFont="1" applyFill="1" applyBorder="1" applyAlignment="1">
      <alignment horizontal="center" vertical="center" wrapText="1"/>
    </xf>
    <xf numFmtId="0" fontId="6" fillId="0" borderId="52" xfId="0" applyFont="1" applyBorder="1"/>
    <xf numFmtId="0" fontId="5" fillId="9" borderId="8" xfId="0" applyFont="1" applyFill="1" applyBorder="1" applyAlignment="1">
      <alignment horizontal="center" vertical="center"/>
    </xf>
    <xf numFmtId="0" fontId="3" fillId="3" borderId="53" xfId="0" applyFont="1" applyFill="1" applyBorder="1" applyAlignment="1">
      <alignment horizontal="left" vertical="top"/>
    </xf>
    <xf numFmtId="0" fontId="6" fillId="0" borderId="54" xfId="0" applyFont="1" applyBorder="1"/>
    <xf numFmtId="0" fontId="6" fillId="0" borderId="55" xfId="0" applyFont="1" applyBorder="1"/>
    <xf numFmtId="0" fontId="5" fillId="4" borderId="56" xfId="0" applyFont="1" applyFill="1" applyBorder="1" applyAlignment="1">
      <alignment horizontal="center" vertical="center"/>
    </xf>
    <xf numFmtId="0" fontId="6" fillId="0" borderId="57" xfId="0" applyFont="1" applyBorder="1"/>
    <xf numFmtId="0" fontId="5" fillId="4" borderId="42" xfId="0" applyFont="1" applyFill="1" applyBorder="1" applyAlignment="1">
      <alignment horizontal="center" vertical="center"/>
    </xf>
    <xf numFmtId="10" fontId="5" fillId="4" borderId="21" xfId="0" applyNumberFormat="1" applyFont="1" applyFill="1" applyBorder="1" applyAlignment="1">
      <alignment horizontal="center" vertical="center"/>
    </xf>
    <xf numFmtId="0" fontId="1" fillId="0" borderId="0" xfId="0" applyFont="1" applyAlignment="1">
      <alignment horizontal="left"/>
    </xf>
    <xf numFmtId="0" fontId="12" fillId="0" borderId="0" xfId="0" applyFont="1" applyAlignment="1">
      <alignment horizontal="left" vertical="top"/>
    </xf>
    <xf numFmtId="0" fontId="6" fillId="0" borderId="50" xfId="0" applyFont="1" applyBorder="1"/>
    <xf numFmtId="0" fontId="3" fillId="3" borderId="28" xfId="0" applyFont="1" applyFill="1" applyBorder="1" applyAlignment="1">
      <alignment horizontal="left" vertical="top"/>
    </xf>
    <xf numFmtId="0" fontId="3" fillId="0" borderId="21" xfId="0" applyFont="1" applyBorder="1" applyAlignment="1">
      <alignment horizontal="center" vertical="top" wrapText="1"/>
    </xf>
    <xf numFmtId="0" fontId="5" fillId="4" borderId="23" xfId="0" applyFont="1" applyFill="1" applyBorder="1" applyAlignment="1">
      <alignment horizontal="center" vertical="center"/>
    </xf>
    <xf numFmtId="0" fontId="6" fillId="0" borderId="58" xfId="0" applyFont="1" applyBorder="1"/>
    <xf numFmtId="0" fontId="3" fillId="0" borderId="34" xfId="0" applyFont="1" applyBorder="1" applyAlignment="1">
      <alignment horizontal="left" vertical="top" wrapText="1"/>
    </xf>
    <xf numFmtId="0" fontId="8" fillId="0" borderId="8" xfId="0" applyFont="1" applyBorder="1" applyAlignment="1">
      <alignment horizontal="center" vertical="center" wrapText="1"/>
    </xf>
    <xf numFmtId="0" fontId="23" fillId="0" borderId="3" xfId="0" applyFont="1" applyBorder="1" applyAlignment="1">
      <alignment horizontal="center"/>
    </xf>
    <xf numFmtId="0" fontId="23" fillId="0" borderId="6" xfId="0" applyFont="1" applyBorder="1" applyAlignment="1">
      <alignment horizontal="center"/>
    </xf>
    <xf numFmtId="0" fontId="19" fillId="0" borderId="50" xfId="0" applyFont="1" applyBorder="1" applyAlignment="1">
      <alignment horizontal="center" vertical="center" wrapText="1"/>
    </xf>
    <xf numFmtId="0" fontId="26" fillId="5" borderId="28" xfId="0" applyFont="1" applyFill="1" applyBorder="1" applyAlignment="1">
      <alignment horizontal="center"/>
    </xf>
    <xf numFmtId="0" fontId="8" fillId="12" borderId="82" xfId="0" applyFont="1" applyFill="1" applyBorder="1" applyAlignment="1">
      <alignment horizontal="left" vertical="center" wrapText="1"/>
    </xf>
    <xf numFmtId="0" fontId="6" fillId="0" borderId="83" xfId="0" applyFont="1" applyBorder="1"/>
    <xf numFmtId="0" fontId="6" fillId="0" borderId="84" xfId="0" applyFont="1" applyBorder="1"/>
    <xf numFmtId="0" fontId="3" fillId="3" borderId="82" xfId="0" applyFont="1" applyFill="1" applyBorder="1" applyAlignment="1">
      <alignment horizontal="left" vertical="center" wrapText="1"/>
    </xf>
    <xf numFmtId="0" fontId="26" fillId="3" borderId="61" xfId="0" applyFont="1" applyFill="1" applyBorder="1" applyAlignment="1">
      <alignment horizontal="center"/>
    </xf>
    <xf numFmtId="0" fontId="6" fillId="0" borderId="62" xfId="0" applyFont="1" applyBorder="1"/>
    <xf numFmtId="0" fontId="6" fillId="0" borderId="63" xfId="0" applyFont="1" applyBorder="1"/>
    <xf numFmtId="0" fontId="26" fillId="12" borderId="64" xfId="0" applyFont="1" applyFill="1" applyBorder="1" applyAlignment="1">
      <alignment horizontal="center"/>
    </xf>
    <xf numFmtId="0" fontId="19" fillId="0" borderId="3" xfId="0" applyFont="1" applyBorder="1" applyAlignment="1">
      <alignment horizontal="center"/>
    </xf>
    <xf numFmtId="0" fontId="26" fillId="12" borderId="65" xfId="0" applyFont="1" applyFill="1" applyBorder="1" applyAlignment="1">
      <alignment horizontal="center" vertical="center" wrapText="1"/>
    </xf>
    <xf numFmtId="0" fontId="6" fillId="0" borderId="69" xfId="0" applyFont="1" applyBorder="1"/>
    <xf numFmtId="0" fontId="26" fillId="12" borderId="8" xfId="0" applyFont="1" applyFill="1" applyBorder="1" applyAlignment="1">
      <alignment horizontal="center" vertical="center" wrapText="1"/>
    </xf>
    <xf numFmtId="0" fontId="6" fillId="0" borderId="70" xfId="0" applyFont="1" applyBorder="1"/>
    <xf numFmtId="0" fontId="26" fillId="13" borderId="68" xfId="0" applyFont="1" applyFill="1" applyBorder="1" applyAlignment="1">
      <alignment horizontal="center" vertical="center" wrapText="1"/>
    </xf>
    <xf numFmtId="0" fontId="6" fillId="0" borderId="74" xfId="0" applyFont="1" applyBorder="1"/>
    <xf numFmtId="0" fontId="26" fillId="13" borderId="8" xfId="0" applyFont="1" applyFill="1" applyBorder="1" applyAlignment="1">
      <alignment horizontal="center" vertical="center" wrapText="1"/>
    </xf>
    <xf numFmtId="0" fontId="34" fillId="0" borderId="0" xfId="0" applyFont="1" applyAlignment="1">
      <alignment horizontal="center" vertical="top"/>
    </xf>
    <xf numFmtId="0" fontId="3" fillId="0" borderId="0" xfId="0" applyFont="1" applyAlignment="1">
      <alignment horizontal="center" vertical="top"/>
    </xf>
    <xf numFmtId="0" fontId="23" fillId="0" borderId="0" xfId="0" applyFont="1" applyAlignment="1">
      <alignment horizontal="center" vertical="center"/>
    </xf>
    <xf numFmtId="0" fontId="19" fillId="13" borderId="8" xfId="0" applyFont="1" applyFill="1" applyBorder="1" applyAlignment="1">
      <alignment horizontal="center" vertical="center" wrapText="1"/>
    </xf>
    <xf numFmtId="0" fontId="19" fillId="14" borderId="3" xfId="0" applyFont="1" applyFill="1" applyBorder="1" applyAlignment="1">
      <alignment horizontal="left" vertical="center"/>
    </xf>
    <xf numFmtId="0" fontId="6" fillId="0" borderId="75" xfId="0" applyFont="1" applyBorder="1"/>
    <xf numFmtId="0" fontId="8" fillId="12" borderId="82" xfId="0" applyFont="1" applyFill="1" applyBorder="1" applyAlignment="1">
      <alignment horizontal="left" vertical="center"/>
    </xf>
    <xf numFmtId="0" fontId="26" fillId="3" borderId="65" xfId="0" applyFont="1" applyFill="1" applyBorder="1" applyAlignment="1">
      <alignment horizontal="center" vertical="center" wrapText="1"/>
    </xf>
    <xf numFmtId="0" fontId="26" fillId="3" borderId="8" xfId="0" applyFont="1" applyFill="1" applyBorder="1" applyAlignment="1">
      <alignment horizontal="center" vertical="center" wrapText="1"/>
    </xf>
    <xf numFmtId="0" fontId="26" fillId="3" borderId="66" xfId="0" applyFont="1" applyFill="1" applyBorder="1" applyAlignment="1">
      <alignment horizontal="center" vertical="center" wrapText="1"/>
    </xf>
    <xf numFmtId="0" fontId="6" fillId="0" borderId="71" xfId="0" applyFont="1" applyBorder="1"/>
    <xf numFmtId="0" fontId="26" fillId="12" borderId="67" xfId="0" applyFont="1" applyFill="1" applyBorder="1" applyAlignment="1">
      <alignment horizontal="center" vertical="center" wrapText="1"/>
    </xf>
    <xf numFmtId="0" fontId="6" fillId="0" borderId="73" xfId="0" applyFont="1" applyBorder="1"/>
    <xf numFmtId="0" fontId="23" fillId="0" borderId="3" xfId="0" applyFont="1" applyBorder="1" applyAlignment="1">
      <alignment horizontal="center" vertical="center"/>
    </xf>
    <xf numFmtId="0" fontId="26" fillId="0" borderId="6" xfId="0" applyFont="1" applyBorder="1" applyAlignment="1">
      <alignment horizontal="center" vertical="center" wrapText="1"/>
    </xf>
    <xf numFmtId="0" fontId="6" fillId="0" borderId="89" xfId="0" applyFont="1" applyBorder="1"/>
    <xf numFmtId="0" fontId="26" fillId="0" borderId="8" xfId="0" applyFont="1" applyBorder="1" applyAlignment="1">
      <alignment horizontal="center" vertical="center" wrapText="1"/>
    </xf>
    <xf numFmtId="0" fontId="26" fillId="0" borderId="7" xfId="0" applyFont="1" applyBorder="1" applyAlignment="1">
      <alignment horizontal="center" vertical="center" wrapText="1"/>
    </xf>
    <xf numFmtId="1" fontId="19" fillId="0" borderId="57" xfId="0" applyNumberFormat="1" applyFont="1" applyBorder="1" applyAlignment="1">
      <alignment horizontal="center" vertical="center"/>
    </xf>
    <xf numFmtId="2" fontId="26" fillId="4" borderId="23" xfId="0" applyNumberFormat="1" applyFont="1" applyFill="1" applyBorder="1" applyAlignment="1">
      <alignment horizontal="center" vertical="center"/>
    </xf>
    <xf numFmtId="0" fontId="6" fillId="0" borderId="90" xfId="0" applyFont="1" applyBorder="1"/>
    <xf numFmtId="0" fontId="23" fillId="0" borderId="0" xfId="0" applyFont="1" applyAlignment="1">
      <alignment horizontal="center" vertical="center" wrapText="1"/>
    </xf>
    <xf numFmtId="2" fontId="19" fillId="0" borderId="38" xfId="0" applyNumberFormat="1" applyFont="1" applyBorder="1" applyAlignment="1">
      <alignment horizontal="center" vertical="center"/>
    </xf>
    <xf numFmtId="0" fontId="23" fillId="0" borderId="8" xfId="0" applyFont="1" applyBorder="1" applyAlignment="1">
      <alignment horizontal="center" vertical="center"/>
    </xf>
    <xf numFmtId="0" fontId="3" fillId="0" borderId="8" xfId="0" applyFont="1" applyBorder="1" applyAlignment="1">
      <alignment horizontal="left" vertical="center" wrapText="1"/>
    </xf>
    <xf numFmtId="0" fontId="26" fillId="2" borderId="1" xfId="0" applyFont="1" applyFill="1" applyBorder="1" applyAlignment="1">
      <alignment horizontal="left" vertical="top" wrapText="1"/>
    </xf>
    <xf numFmtId="0" fontId="6" fillId="0" borderId="91" xfId="0" applyFont="1" applyBorder="1"/>
    <xf numFmtId="0" fontId="13" fillId="0" borderId="8" xfId="0" applyFont="1" applyBorder="1" applyAlignment="1">
      <alignment horizontal="center" vertical="center" wrapText="1"/>
    </xf>
    <xf numFmtId="0" fontId="23" fillId="0" borderId="12" xfId="0" applyFont="1" applyBorder="1" applyAlignment="1">
      <alignment horizontal="center" vertical="center"/>
    </xf>
    <xf numFmtId="0" fontId="26" fillId="0" borderId="7" xfId="0" applyFont="1" applyBorder="1" applyAlignment="1">
      <alignment horizontal="left" vertical="center"/>
    </xf>
    <xf numFmtId="0" fontId="7" fillId="0" borderId="8" xfId="0" applyFont="1" applyBorder="1" applyAlignment="1">
      <alignment horizontal="center" vertical="center"/>
    </xf>
    <xf numFmtId="0" fontId="23" fillId="0" borderId="8" xfId="0" applyFont="1" applyBorder="1" applyAlignment="1">
      <alignment horizontal="left" wrapText="1"/>
    </xf>
    <xf numFmtId="167" fontId="23" fillId="0" borderId="8" xfId="0" applyNumberFormat="1" applyFont="1" applyBorder="1" applyAlignment="1">
      <alignment horizontal="center" vertical="center" wrapText="1"/>
    </xf>
    <xf numFmtId="0" fontId="23" fillId="0" borderId="8" xfId="0" applyFont="1" applyBorder="1" applyAlignment="1">
      <alignment horizontal="center" vertical="center" wrapText="1"/>
    </xf>
    <xf numFmtId="14" fontId="8" fillId="0" borderId="8" xfId="0" applyNumberFormat="1" applyFont="1" applyBorder="1" applyAlignment="1">
      <alignment horizontal="center" vertical="center" wrapText="1"/>
    </xf>
    <xf numFmtId="14" fontId="23" fillId="0" borderId="8" xfId="0" applyNumberFormat="1" applyFont="1" applyBorder="1" applyAlignment="1">
      <alignment horizontal="center" vertical="center" wrapText="1"/>
    </xf>
    <xf numFmtId="16" fontId="7" fillId="0" borderId="8" xfId="0" quotePrefix="1" applyNumberFormat="1" applyFont="1" applyBorder="1" applyAlignment="1">
      <alignment horizontal="center" vertical="center"/>
    </xf>
    <xf numFmtId="0" fontId="8" fillId="0" borderId="8"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9.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2.png"/></Relationships>
</file>

<file path=xl/drawings/_rels/drawing10.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2.png"/><Relationship Id="rId1" Type="http://schemas.openxmlformats.org/officeDocument/2006/relationships/image" Target="../media/image15.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oneCellAnchor>
    <xdr:from>
      <xdr:col>1</xdr:col>
      <xdr:colOff>1390650</xdr:colOff>
      <xdr:row>55</xdr:row>
      <xdr:rowOff>57150</xdr:rowOff>
    </xdr:from>
    <xdr:ext cx="923925" cy="1038225"/>
    <xdr:pic>
      <xdr:nvPicPr>
        <xdr:cNvPr id="2" name="image4.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1114425</xdr:colOff>
      <xdr:row>61</xdr:row>
      <xdr:rowOff>123825</xdr:rowOff>
    </xdr:from>
    <xdr:ext cx="1857375" cy="933450"/>
    <xdr:pic>
      <xdr:nvPicPr>
        <xdr:cNvPr id="3" name="image1.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561975</xdr:colOff>
      <xdr:row>60</xdr:row>
      <xdr:rowOff>114300</xdr:rowOff>
    </xdr:from>
    <xdr:ext cx="1181100" cy="485775"/>
    <xdr:pic>
      <xdr:nvPicPr>
        <xdr:cNvPr id="2" name="image3.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381000</xdr:colOff>
      <xdr:row>60</xdr:row>
      <xdr:rowOff>123825</xdr:rowOff>
    </xdr:from>
    <xdr:ext cx="1304925" cy="514350"/>
    <xdr:pic>
      <xdr:nvPicPr>
        <xdr:cNvPr id="3" name="image2.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723900</xdr:colOff>
      <xdr:row>29</xdr:row>
      <xdr:rowOff>47625</xdr:rowOff>
    </xdr:from>
    <xdr:ext cx="1019175" cy="1000125"/>
    <xdr:pic>
      <xdr:nvPicPr>
        <xdr:cNvPr id="2" name="image7.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180975</xdr:colOff>
      <xdr:row>35</xdr:row>
      <xdr:rowOff>0</xdr:rowOff>
    </xdr:from>
    <xdr:ext cx="1857375" cy="942975"/>
    <xdr:pic>
      <xdr:nvPicPr>
        <xdr:cNvPr id="3" name="image1.pn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209550</xdr:colOff>
      <xdr:row>1458</xdr:row>
      <xdr:rowOff>123825</xdr:rowOff>
    </xdr:from>
    <xdr:ext cx="933450" cy="428625"/>
    <xdr:pic>
      <xdr:nvPicPr>
        <xdr:cNvPr id="2" name="image6.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619125</xdr:colOff>
      <xdr:row>1454</xdr:row>
      <xdr:rowOff>171450</xdr:rowOff>
    </xdr:from>
    <xdr:ext cx="1200150" cy="1628775"/>
    <xdr:pic>
      <xdr:nvPicPr>
        <xdr:cNvPr id="3" name="image5.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676275</xdr:colOff>
      <xdr:row>22</xdr:row>
      <xdr:rowOff>85725</xdr:rowOff>
    </xdr:from>
    <xdr:ext cx="923925" cy="1047750"/>
    <xdr:pic>
      <xdr:nvPicPr>
        <xdr:cNvPr id="2" name="image4.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266700</xdr:colOff>
      <xdr:row>28</xdr:row>
      <xdr:rowOff>152400</xdr:rowOff>
    </xdr:from>
    <xdr:ext cx="1381125" cy="933450"/>
    <xdr:pic>
      <xdr:nvPicPr>
        <xdr:cNvPr id="3" name="image8.pn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533400</xdr:colOff>
      <xdr:row>37</xdr:row>
      <xdr:rowOff>66675</xdr:rowOff>
    </xdr:from>
    <xdr:ext cx="1181100" cy="485775"/>
    <xdr:pic>
      <xdr:nvPicPr>
        <xdr:cNvPr id="2" name="image3.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352425</xdr:colOff>
      <xdr:row>42</xdr:row>
      <xdr:rowOff>142875</xdr:rowOff>
    </xdr:from>
    <xdr:ext cx="1181100" cy="466725"/>
    <xdr:pic>
      <xdr:nvPicPr>
        <xdr:cNvPr id="3" name="image9.png">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466725</xdr:colOff>
      <xdr:row>18</xdr:row>
      <xdr:rowOff>161925</xdr:rowOff>
    </xdr:from>
    <xdr:ext cx="1057275" cy="457200"/>
    <xdr:pic>
      <xdr:nvPicPr>
        <xdr:cNvPr id="2" name="image10.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257175</xdr:colOff>
      <xdr:row>24</xdr:row>
      <xdr:rowOff>28575</xdr:rowOff>
    </xdr:from>
    <xdr:ext cx="1390650" cy="942975"/>
    <xdr:pic>
      <xdr:nvPicPr>
        <xdr:cNvPr id="3" name="image12.png">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xdr:col>
      <xdr:colOff>495300</xdr:colOff>
      <xdr:row>236</xdr:row>
      <xdr:rowOff>0</xdr:rowOff>
    </xdr:from>
    <xdr:ext cx="1123950" cy="390525"/>
    <xdr:pic>
      <xdr:nvPicPr>
        <xdr:cNvPr id="2" name="image11.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771525</xdr:colOff>
      <xdr:row>230</xdr:row>
      <xdr:rowOff>9525</xdr:rowOff>
    </xdr:from>
    <xdr:ext cx="1076325" cy="771525"/>
    <xdr:pic>
      <xdr:nvPicPr>
        <xdr:cNvPr id="3" name="image13.png">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xdr:col>
      <xdr:colOff>1009650</xdr:colOff>
      <xdr:row>82</xdr:row>
      <xdr:rowOff>85725</xdr:rowOff>
    </xdr:from>
    <xdr:ext cx="1123950" cy="428625"/>
    <xdr:pic>
      <xdr:nvPicPr>
        <xdr:cNvPr id="2" name="image11.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904875</xdr:colOff>
      <xdr:row>76</xdr:row>
      <xdr:rowOff>104775</xdr:rowOff>
    </xdr:from>
    <xdr:ext cx="1447800" cy="914400"/>
    <xdr:pic>
      <xdr:nvPicPr>
        <xdr:cNvPr id="3" name="image14.png">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xdr:col>
      <xdr:colOff>666750</xdr:colOff>
      <xdr:row>28</xdr:row>
      <xdr:rowOff>57150</xdr:rowOff>
    </xdr:from>
    <xdr:ext cx="0" cy="390525"/>
    <xdr:pic>
      <xdr:nvPicPr>
        <xdr:cNvPr id="2" name="image16.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1000125</xdr:colOff>
      <xdr:row>28</xdr:row>
      <xdr:rowOff>47625</xdr:rowOff>
    </xdr:from>
    <xdr:ext cx="1123950" cy="390525"/>
    <xdr:pic>
      <xdr:nvPicPr>
        <xdr:cNvPr id="3" name="image11.png">
          <a:extLst>
            <a:ext uri="{FF2B5EF4-FFF2-40B4-BE49-F238E27FC236}">
              <a16:creationId xmlns:a16="http://schemas.microsoft.com/office/drawing/2014/main" id="{00000000-0008-0000-09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1019175</xdr:colOff>
      <xdr:row>23</xdr:row>
      <xdr:rowOff>47625</xdr:rowOff>
    </xdr:from>
    <xdr:ext cx="990600" cy="619125"/>
    <xdr:pic>
      <xdr:nvPicPr>
        <xdr:cNvPr id="4" name="image15.png">
          <a:extLst>
            <a:ext uri="{FF2B5EF4-FFF2-40B4-BE49-F238E27FC236}">
              <a16:creationId xmlns:a16="http://schemas.microsoft.com/office/drawing/2014/main" id="{00000000-0008-0000-09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xdr:col>
      <xdr:colOff>676275</xdr:colOff>
      <xdr:row>98</xdr:row>
      <xdr:rowOff>76200</xdr:rowOff>
    </xdr:from>
    <xdr:ext cx="1123950" cy="514350"/>
    <xdr:pic>
      <xdr:nvPicPr>
        <xdr:cNvPr id="2" name="image11.png">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1000125</xdr:colOff>
      <xdr:row>98</xdr:row>
      <xdr:rowOff>47625</xdr:rowOff>
    </xdr:from>
    <xdr:ext cx="0" cy="762000"/>
    <xdr:pic>
      <xdr:nvPicPr>
        <xdr:cNvPr id="3" name="image11.png">
          <a:extLst>
            <a:ext uri="{FF2B5EF4-FFF2-40B4-BE49-F238E27FC236}">
              <a16:creationId xmlns:a16="http://schemas.microsoft.com/office/drawing/2014/main" id="{00000000-0008-0000-0A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809625</xdr:colOff>
      <xdr:row>93</xdr:row>
      <xdr:rowOff>76200</xdr:rowOff>
    </xdr:from>
    <xdr:ext cx="990600" cy="628650"/>
    <xdr:pic>
      <xdr:nvPicPr>
        <xdr:cNvPr id="4" name="image15.png">
          <a:extLst>
            <a:ext uri="{FF2B5EF4-FFF2-40B4-BE49-F238E27FC236}">
              <a16:creationId xmlns:a16="http://schemas.microsoft.com/office/drawing/2014/main" id="{00000000-0008-0000-0A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BB-2021-SUMMARY-SHEETS_Q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ackup_melli7PC/2021%20PBB%20Docs/Summary%20Sheets/PBB-2021-SUMMARY-SHEETS-Higher-Education-Trac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gher Education (Op1)"/>
      <sheetName val="Higher Education (Op2)"/>
      <sheetName val="Higher Education (Oc1)"/>
      <sheetName val="Higher Education (Oc2)"/>
      <sheetName val="Advanced Education _SU (Op1)"/>
      <sheetName val="Advanced Education_SC (Op1)"/>
      <sheetName val="Advanced Education (Op2)"/>
      <sheetName val="Advanced Ed (Oc)"/>
      <sheetName val="Research Program (Op and Oc)"/>
      <sheetName val="Extension Program (Op1 and Op3)"/>
      <sheetName val="Extension Program (Op2)"/>
      <sheetName val="Extension Program (Oc)"/>
      <sheetName val="Custodial Care (Op1)"/>
      <sheetName val="Custodial Care (Op2)"/>
      <sheetName val="Custodial Care (Oc)"/>
      <sheetName val="Legend"/>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gher Education (Op1)"/>
      <sheetName val="Higher Education (Op2)"/>
      <sheetName val="Higher Education (Oc1)"/>
      <sheetName val="Higher Education (Oc2)"/>
      <sheetName val="Advanced Education _SU (Op1)"/>
      <sheetName val="Advanced Education_SC (Op1)"/>
      <sheetName val="Advanced Education (Op2)"/>
      <sheetName val="Advanced Ed (Oc)"/>
      <sheetName val="Research Program (Op and Oc)"/>
      <sheetName val="Extension Program (Op1 and Op3)"/>
      <sheetName val="Extension Program (Op2)"/>
      <sheetName val="Extension Program (Oc)"/>
      <sheetName val="Custodial Care (Op1)"/>
      <sheetName val="Custodial Care (Op2)"/>
      <sheetName val="Custodial Care (Oc)"/>
      <sheetName val="Legend"/>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Quattrocento Sans"/>
        <a:ea typeface="Quattrocento Sans"/>
        <a:cs typeface="Quattrocento Sans"/>
      </a:majorFont>
      <a:minorFont>
        <a:latin typeface="Quattrocento Sans"/>
        <a:ea typeface="Quattrocento Sans"/>
        <a:cs typeface="Quattrocento San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48DD4"/>
  </sheetPr>
  <dimension ref="A1:Y1000"/>
  <sheetViews>
    <sheetView workbookViewId="0"/>
  </sheetViews>
  <sheetFormatPr defaultColWidth="12.59765625" defaultRowHeight="15" customHeight="1" x14ac:dyDescent="0.25"/>
  <cols>
    <col min="1" max="1" width="2.69921875" customWidth="1"/>
    <col min="2" max="2" width="52" customWidth="1"/>
    <col min="3" max="4" width="24.8984375" customWidth="1"/>
    <col min="5" max="5" width="21.19921875" customWidth="1"/>
    <col min="6" max="25" width="9" customWidth="1"/>
  </cols>
  <sheetData>
    <row r="1" spans="1:25" ht="12.75" customHeight="1" x14ac:dyDescent="0.25">
      <c r="A1" s="1" t="s">
        <v>0</v>
      </c>
      <c r="B1" s="2"/>
      <c r="C1" s="2"/>
      <c r="D1" s="2"/>
      <c r="E1" s="2"/>
      <c r="F1" s="2"/>
      <c r="G1" s="2"/>
      <c r="H1" s="2"/>
      <c r="I1" s="2"/>
      <c r="J1" s="2"/>
      <c r="K1" s="2"/>
      <c r="L1" s="2"/>
      <c r="M1" s="2"/>
      <c r="N1" s="2"/>
      <c r="O1" s="2"/>
      <c r="P1" s="2"/>
      <c r="Q1" s="2"/>
      <c r="R1" s="2"/>
      <c r="S1" s="2"/>
      <c r="T1" s="2"/>
      <c r="U1" s="2"/>
      <c r="V1" s="2"/>
      <c r="W1" s="2"/>
    </row>
    <row r="2" spans="1:25" ht="12.75" customHeight="1" x14ac:dyDescent="0.25">
      <c r="A2" s="1" t="s">
        <v>1</v>
      </c>
      <c r="B2" s="2"/>
      <c r="C2" s="2"/>
      <c r="D2" s="2"/>
      <c r="E2" s="2"/>
      <c r="F2" s="2"/>
      <c r="G2" s="2"/>
      <c r="H2" s="2"/>
      <c r="I2" s="2"/>
      <c r="J2" s="2"/>
      <c r="K2" s="2"/>
      <c r="L2" s="2"/>
      <c r="M2" s="2"/>
      <c r="N2" s="2"/>
      <c r="O2" s="2"/>
      <c r="P2" s="2"/>
      <c r="Q2" s="2"/>
      <c r="R2" s="2"/>
      <c r="S2" s="2"/>
      <c r="T2" s="2"/>
      <c r="U2" s="2"/>
      <c r="V2" s="2"/>
      <c r="W2" s="2"/>
    </row>
    <row r="3" spans="1:25" ht="12.75" customHeight="1" x14ac:dyDescent="0.25">
      <c r="A3" s="2"/>
      <c r="B3" s="2"/>
      <c r="C3" s="2"/>
      <c r="D3" s="2"/>
      <c r="E3" s="2"/>
      <c r="F3" s="2"/>
      <c r="G3" s="2"/>
      <c r="H3" s="2"/>
      <c r="I3" s="2"/>
      <c r="J3" s="2"/>
      <c r="K3" s="2"/>
      <c r="L3" s="2"/>
      <c r="M3" s="2"/>
      <c r="N3" s="2"/>
      <c r="O3" s="2"/>
      <c r="P3" s="2"/>
      <c r="Q3" s="2"/>
      <c r="R3" s="2"/>
      <c r="S3" s="2"/>
      <c r="T3" s="2"/>
      <c r="U3" s="2"/>
      <c r="V3" s="2"/>
      <c r="W3" s="2"/>
    </row>
    <row r="4" spans="1:25" ht="12.75" customHeight="1" x14ac:dyDescent="0.25">
      <c r="B4" s="3" t="s">
        <v>2</v>
      </c>
      <c r="C4" s="4"/>
      <c r="D4" s="4"/>
      <c r="E4" s="4"/>
      <c r="F4" s="5"/>
      <c r="G4" s="5"/>
      <c r="H4" s="5"/>
      <c r="I4" s="5"/>
      <c r="J4" s="5"/>
      <c r="K4" s="5"/>
      <c r="L4" s="5"/>
      <c r="M4" s="5"/>
      <c r="N4" s="5"/>
      <c r="O4" s="5"/>
      <c r="P4" s="5"/>
      <c r="Q4" s="5"/>
      <c r="R4" s="5"/>
      <c r="S4" s="5"/>
      <c r="T4" s="5"/>
      <c r="U4" s="5"/>
      <c r="V4" s="5"/>
      <c r="W4" s="5"/>
    </row>
    <row r="5" spans="1:25" ht="12.75" customHeight="1" x14ac:dyDescent="0.25">
      <c r="B5" s="3" t="s">
        <v>3</v>
      </c>
      <c r="C5" s="5"/>
      <c r="D5" s="5"/>
      <c r="E5" s="5"/>
      <c r="F5" s="5"/>
      <c r="G5" s="5"/>
      <c r="H5" s="5"/>
      <c r="I5" s="5"/>
      <c r="J5" s="5"/>
      <c r="K5" s="5"/>
      <c r="L5" s="5"/>
      <c r="M5" s="5"/>
      <c r="N5" s="5"/>
      <c r="O5" s="5"/>
      <c r="P5" s="5"/>
      <c r="Q5" s="5"/>
      <c r="R5" s="5"/>
      <c r="S5" s="5"/>
      <c r="T5" s="5"/>
      <c r="U5" s="5"/>
      <c r="V5" s="5"/>
      <c r="W5" s="5"/>
    </row>
    <row r="6" spans="1:25" ht="15" customHeight="1" x14ac:dyDescent="0.25">
      <c r="A6" s="6"/>
      <c r="B6" s="374" t="s">
        <v>4</v>
      </c>
      <c r="C6" s="375"/>
      <c r="D6" s="7"/>
      <c r="E6" s="7"/>
      <c r="F6" s="5"/>
      <c r="G6" s="5"/>
      <c r="H6" s="5"/>
      <c r="I6" s="5"/>
      <c r="J6" s="5"/>
      <c r="K6" s="5"/>
      <c r="L6" s="5"/>
      <c r="M6" s="5"/>
      <c r="N6" s="5"/>
      <c r="O6" s="5"/>
      <c r="P6" s="5"/>
      <c r="Q6" s="5"/>
      <c r="R6" s="5"/>
      <c r="S6" s="5"/>
      <c r="T6" s="5"/>
      <c r="U6" s="5"/>
      <c r="V6" s="5"/>
      <c r="W6" s="5"/>
    </row>
    <row r="7" spans="1:25" ht="12.75" customHeight="1" x14ac:dyDescent="0.25">
      <c r="A7" s="6"/>
      <c r="C7" s="8"/>
      <c r="D7" s="8"/>
      <c r="E7" s="8"/>
      <c r="F7" s="5"/>
      <c r="G7" s="5"/>
      <c r="H7" s="5"/>
      <c r="I7" s="5"/>
      <c r="J7" s="5"/>
      <c r="K7" s="5"/>
      <c r="L7" s="5"/>
      <c r="M7" s="5"/>
      <c r="N7" s="5"/>
      <c r="O7" s="5"/>
      <c r="P7" s="5"/>
      <c r="Q7" s="5"/>
      <c r="R7" s="5"/>
      <c r="S7" s="5"/>
      <c r="T7" s="5"/>
      <c r="U7" s="5"/>
      <c r="V7" s="5"/>
      <c r="W7" s="5"/>
    </row>
    <row r="8" spans="1:25" ht="12.75" customHeight="1" x14ac:dyDescent="0.25">
      <c r="A8" s="6"/>
      <c r="B8" s="5" t="s">
        <v>5</v>
      </c>
      <c r="C8" s="5" t="s">
        <v>6</v>
      </c>
      <c r="D8" s="8"/>
      <c r="E8" s="8"/>
      <c r="F8" s="5"/>
      <c r="G8" s="5"/>
      <c r="H8" s="5"/>
      <c r="I8" s="5"/>
      <c r="J8" s="5"/>
      <c r="K8" s="5"/>
      <c r="L8" s="5"/>
      <c r="M8" s="5"/>
      <c r="N8" s="5"/>
      <c r="O8" s="5"/>
      <c r="P8" s="5"/>
      <c r="Q8" s="5"/>
      <c r="R8" s="5"/>
      <c r="S8" s="5"/>
      <c r="T8" s="5"/>
      <c r="U8" s="5"/>
      <c r="V8" s="5"/>
      <c r="W8" s="5"/>
    </row>
    <row r="9" spans="1:25" ht="12.75" customHeight="1" x14ac:dyDescent="0.25">
      <c r="A9" s="6"/>
      <c r="B9" s="3" t="s">
        <v>7</v>
      </c>
      <c r="C9" s="3" t="s">
        <v>8</v>
      </c>
      <c r="D9" s="8"/>
      <c r="E9" s="8"/>
      <c r="F9" s="5"/>
      <c r="G9" s="5"/>
      <c r="H9" s="5"/>
      <c r="I9" s="5"/>
      <c r="J9" s="5"/>
      <c r="K9" s="5"/>
      <c r="L9" s="5"/>
      <c r="M9" s="5"/>
      <c r="N9" s="5"/>
      <c r="O9" s="5"/>
      <c r="P9" s="5"/>
      <c r="Q9" s="5"/>
      <c r="R9" s="5"/>
      <c r="S9" s="5"/>
      <c r="T9" s="5"/>
      <c r="U9" s="5"/>
      <c r="V9" s="5"/>
      <c r="W9" s="5"/>
      <c r="X9" s="5"/>
      <c r="Y9" s="5"/>
    </row>
    <row r="10" spans="1:25" ht="12.75" customHeight="1" x14ac:dyDescent="0.25">
      <c r="A10" s="9"/>
      <c r="B10" s="9"/>
      <c r="C10" s="3" t="s">
        <v>9</v>
      </c>
      <c r="D10" s="9"/>
      <c r="E10" s="9"/>
      <c r="F10" s="9"/>
      <c r="G10" s="9"/>
      <c r="H10" s="9"/>
      <c r="I10" s="9"/>
      <c r="J10" s="9"/>
      <c r="K10" s="9"/>
      <c r="L10" s="9"/>
      <c r="M10" s="9"/>
      <c r="N10" s="9"/>
      <c r="O10" s="9"/>
      <c r="P10" s="9"/>
      <c r="Q10" s="9"/>
      <c r="R10" s="9"/>
      <c r="S10" s="9"/>
      <c r="T10" s="9"/>
      <c r="U10" s="9"/>
      <c r="V10" s="9"/>
      <c r="W10" s="9"/>
      <c r="X10" s="9"/>
      <c r="Y10" s="9"/>
    </row>
    <row r="11" spans="1:25" ht="12.75" customHeight="1" x14ac:dyDescent="0.25">
      <c r="A11" s="9"/>
      <c r="B11" s="9"/>
      <c r="C11" s="3" t="s">
        <v>10</v>
      </c>
      <c r="D11" s="9"/>
      <c r="E11" s="9"/>
      <c r="F11" s="9"/>
      <c r="G11" s="9"/>
      <c r="H11" s="9"/>
      <c r="I11" s="9"/>
      <c r="J11" s="9"/>
      <c r="K11" s="9"/>
      <c r="L11" s="9"/>
      <c r="M11" s="9"/>
      <c r="N11" s="9"/>
      <c r="O11" s="9"/>
      <c r="P11" s="9"/>
      <c r="Q11" s="9"/>
      <c r="R11" s="9"/>
      <c r="S11" s="9"/>
      <c r="T11" s="9"/>
      <c r="U11" s="9"/>
      <c r="V11" s="9"/>
      <c r="W11" s="9"/>
      <c r="X11" s="9"/>
      <c r="Y11" s="9"/>
    </row>
    <row r="12" spans="1:25" ht="12.75" customHeight="1" x14ac:dyDescent="0.25">
      <c r="A12" s="376">
        <v>1</v>
      </c>
      <c r="B12" s="371"/>
      <c r="C12" s="376">
        <v>2</v>
      </c>
      <c r="D12" s="371"/>
      <c r="E12" s="10">
        <v>3</v>
      </c>
      <c r="F12" s="9"/>
      <c r="G12" s="9"/>
      <c r="H12" s="9"/>
      <c r="I12" s="9"/>
      <c r="J12" s="9"/>
      <c r="K12" s="9"/>
      <c r="L12" s="9"/>
      <c r="M12" s="9"/>
      <c r="N12" s="9"/>
      <c r="O12" s="9"/>
      <c r="P12" s="9"/>
      <c r="Q12" s="9"/>
      <c r="R12" s="9"/>
      <c r="S12" s="9"/>
      <c r="T12" s="9"/>
      <c r="U12" s="9"/>
      <c r="V12" s="9"/>
      <c r="W12" s="9"/>
      <c r="X12" s="9"/>
      <c r="Y12" s="9"/>
    </row>
    <row r="13" spans="1:25" ht="29.25" customHeight="1" x14ac:dyDescent="0.25">
      <c r="A13" s="377" t="s">
        <v>11</v>
      </c>
      <c r="B13" s="378"/>
      <c r="C13" s="381" t="s">
        <v>12</v>
      </c>
      <c r="D13" s="371"/>
      <c r="E13" s="367" t="s">
        <v>13</v>
      </c>
      <c r="F13" s="13"/>
      <c r="G13" s="13"/>
      <c r="H13" s="13"/>
      <c r="I13" s="13"/>
      <c r="J13" s="13"/>
      <c r="K13" s="13"/>
      <c r="L13" s="13"/>
      <c r="M13" s="13"/>
      <c r="N13" s="13"/>
      <c r="O13" s="13"/>
      <c r="P13" s="13"/>
      <c r="Q13" s="13"/>
      <c r="R13" s="13"/>
      <c r="S13" s="13"/>
      <c r="T13" s="13"/>
      <c r="U13" s="13"/>
      <c r="V13" s="13"/>
      <c r="W13" s="13"/>
      <c r="X13" s="13"/>
      <c r="Y13" s="13"/>
    </row>
    <row r="14" spans="1:25" ht="40.5" customHeight="1" x14ac:dyDescent="0.25">
      <c r="A14" s="379"/>
      <c r="B14" s="380"/>
      <c r="C14" s="14" t="s">
        <v>14</v>
      </c>
      <c r="D14" s="14" t="s">
        <v>15</v>
      </c>
      <c r="E14" s="368"/>
      <c r="F14" s="13"/>
      <c r="G14" s="13"/>
      <c r="H14" s="13"/>
      <c r="I14" s="13"/>
      <c r="J14" s="13"/>
      <c r="K14" s="13"/>
      <c r="L14" s="13"/>
      <c r="M14" s="13"/>
      <c r="N14" s="13"/>
      <c r="O14" s="13"/>
      <c r="P14" s="13"/>
      <c r="Q14" s="13"/>
      <c r="R14" s="13"/>
      <c r="S14" s="13"/>
      <c r="T14" s="13"/>
      <c r="U14" s="13"/>
      <c r="V14" s="13"/>
      <c r="W14" s="13"/>
      <c r="X14" s="13"/>
      <c r="Y14" s="13"/>
    </row>
    <row r="15" spans="1:25" ht="16.5" customHeight="1" x14ac:dyDescent="0.25">
      <c r="A15" s="369" t="s">
        <v>16</v>
      </c>
      <c r="B15" s="370"/>
      <c r="C15" s="370"/>
      <c r="D15" s="371"/>
      <c r="E15" s="382" t="s">
        <v>17</v>
      </c>
      <c r="F15" s="5"/>
      <c r="G15" s="5"/>
      <c r="H15" s="5"/>
      <c r="I15" s="5"/>
      <c r="J15" s="5"/>
      <c r="K15" s="5"/>
      <c r="L15" s="5"/>
      <c r="M15" s="5"/>
      <c r="N15" s="5"/>
      <c r="O15" s="5"/>
      <c r="P15" s="5"/>
      <c r="Q15" s="5"/>
      <c r="R15" s="5"/>
      <c r="S15" s="5"/>
      <c r="T15" s="5"/>
      <c r="U15" s="5"/>
      <c r="V15" s="5"/>
      <c r="W15" s="5"/>
      <c r="X15" s="5"/>
      <c r="Y15" s="5"/>
    </row>
    <row r="16" spans="1:25" ht="12.75" customHeight="1" x14ac:dyDescent="0.25">
      <c r="A16" s="15">
        <v>1</v>
      </c>
      <c r="B16" s="15" t="s">
        <v>18</v>
      </c>
      <c r="C16" s="16">
        <v>439</v>
      </c>
      <c r="D16" s="16"/>
      <c r="E16" s="383"/>
      <c r="F16" s="5"/>
      <c r="G16" s="5"/>
      <c r="H16" s="5"/>
      <c r="I16" s="5"/>
      <c r="J16" s="5"/>
      <c r="K16" s="5"/>
      <c r="L16" s="5"/>
      <c r="M16" s="5"/>
      <c r="N16" s="5"/>
      <c r="O16" s="5"/>
      <c r="P16" s="5"/>
      <c r="Q16" s="5"/>
      <c r="R16" s="5"/>
      <c r="S16" s="5"/>
      <c r="T16" s="5"/>
      <c r="U16" s="5"/>
      <c r="V16" s="5"/>
      <c r="W16" s="5"/>
      <c r="X16" s="5"/>
      <c r="Y16" s="5"/>
    </row>
    <row r="17" spans="1:25" ht="12.75" customHeight="1" x14ac:dyDescent="0.25">
      <c r="A17" s="15">
        <v>2</v>
      </c>
      <c r="B17" s="15" t="s">
        <v>19</v>
      </c>
      <c r="C17" s="16">
        <v>81</v>
      </c>
      <c r="D17" s="16"/>
      <c r="E17" s="383"/>
      <c r="F17" s="5"/>
      <c r="G17" s="5"/>
      <c r="H17" s="5"/>
      <c r="I17" s="5"/>
      <c r="J17" s="5"/>
      <c r="K17" s="5"/>
      <c r="L17" s="5"/>
      <c r="M17" s="5"/>
      <c r="N17" s="5"/>
      <c r="O17" s="5"/>
      <c r="P17" s="5"/>
      <c r="Q17" s="5"/>
      <c r="R17" s="5"/>
      <c r="S17" s="5"/>
      <c r="T17" s="5"/>
      <c r="U17" s="5"/>
      <c r="V17" s="5"/>
      <c r="W17" s="5"/>
      <c r="X17" s="5"/>
      <c r="Y17" s="5"/>
    </row>
    <row r="18" spans="1:25" ht="12.75" customHeight="1" x14ac:dyDescent="0.25">
      <c r="A18" s="15">
        <v>3</v>
      </c>
      <c r="B18" s="15" t="s">
        <v>20</v>
      </c>
      <c r="C18" s="16">
        <v>95</v>
      </c>
      <c r="D18" s="16"/>
      <c r="E18" s="383"/>
      <c r="F18" s="5"/>
      <c r="G18" s="5"/>
      <c r="H18" s="5"/>
      <c r="I18" s="5"/>
      <c r="J18" s="5"/>
      <c r="K18" s="5"/>
      <c r="L18" s="5"/>
      <c r="M18" s="5"/>
      <c r="N18" s="5"/>
      <c r="O18" s="5"/>
      <c r="P18" s="5"/>
      <c r="Q18" s="5"/>
      <c r="R18" s="5"/>
      <c r="S18" s="5"/>
      <c r="T18" s="5"/>
      <c r="U18" s="5"/>
      <c r="V18" s="5"/>
      <c r="W18" s="5"/>
      <c r="X18" s="5"/>
      <c r="Y18" s="5"/>
    </row>
    <row r="19" spans="1:25" ht="12.75" customHeight="1" x14ac:dyDescent="0.25">
      <c r="A19" s="15">
        <v>4</v>
      </c>
      <c r="B19" s="15" t="s">
        <v>21</v>
      </c>
      <c r="C19" s="16">
        <v>131</v>
      </c>
      <c r="D19" s="16"/>
      <c r="E19" s="383"/>
      <c r="F19" s="5"/>
      <c r="G19" s="5"/>
      <c r="H19" s="5"/>
      <c r="I19" s="5"/>
      <c r="J19" s="5"/>
      <c r="K19" s="5"/>
      <c r="L19" s="5"/>
      <c r="M19" s="5"/>
      <c r="N19" s="5"/>
      <c r="O19" s="5"/>
      <c r="P19" s="5"/>
      <c r="Q19" s="5"/>
      <c r="R19" s="5"/>
      <c r="S19" s="5"/>
      <c r="T19" s="5"/>
      <c r="U19" s="5"/>
      <c r="V19" s="5"/>
      <c r="W19" s="5"/>
      <c r="X19" s="5"/>
      <c r="Y19" s="5"/>
    </row>
    <row r="20" spans="1:25" ht="12.75" customHeight="1" x14ac:dyDescent="0.25">
      <c r="A20" s="15">
        <v>5</v>
      </c>
      <c r="B20" s="15" t="s">
        <v>22</v>
      </c>
      <c r="C20" s="16">
        <v>121</v>
      </c>
      <c r="D20" s="16"/>
      <c r="E20" s="383"/>
      <c r="F20" s="5"/>
      <c r="G20" s="5"/>
      <c r="H20" s="5"/>
      <c r="I20" s="5"/>
      <c r="J20" s="5"/>
      <c r="K20" s="5"/>
      <c r="L20" s="5"/>
      <c r="M20" s="5"/>
      <c r="N20" s="5"/>
      <c r="O20" s="5"/>
      <c r="P20" s="5"/>
      <c r="Q20" s="5"/>
      <c r="R20" s="5"/>
      <c r="S20" s="5"/>
      <c r="T20" s="5"/>
      <c r="U20" s="5"/>
      <c r="V20" s="5"/>
      <c r="W20" s="5"/>
      <c r="X20" s="5"/>
      <c r="Y20" s="5"/>
    </row>
    <row r="21" spans="1:25" ht="12.75" customHeight="1" x14ac:dyDescent="0.25">
      <c r="A21" s="15">
        <v>6</v>
      </c>
      <c r="B21" s="15" t="s">
        <v>23</v>
      </c>
      <c r="C21" s="16">
        <v>268</v>
      </c>
      <c r="D21" s="16"/>
      <c r="E21" s="383"/>
      <c r="F21" s="5"/>
      <c r="G21" s="5"/>
      <c r="H21" s="5"/>
      <c r="I21" s="5"/>
      <c r="J21" s="5"/>
      <c r="K21" s="5"/>
      <c r="L21" s="5"/>
      <c r="M21" s="5"/>
      <c r="N21" s="5"/>
      <c r="O21" s="5"/>
      <c r="P21" s="5"/>
      <c r="Q21" s="5"/>
      <c r="R21" s="5"/>
      <c r="S21" s="5"/>
      <c r="T21" s="5"/>
      <c r="U21" s="5"/>
      <c r="V21" s="5"/>
      <c r="W21" s="5"/>
      <c r="X21" s="5"/>
      <c r="Y21" s="5"/>
    </row>
    <row r="22" spans="1:25" ht="15.75" customHeight="1" x14ac:dyDescent="0.25">
      <c r="A22" s="15">
        <v>7</v>
      </c>
      <c r="B22" s="15" t="s">
        <v>24</v>
      </c>
      <c r="C22" s="16">
        <v>90</v>
      </c>
      <c r="D22" s="16"/>
      <c r="E22" s="383"/>
      <c r="F22" s="5"/>
      <c r="G22" s="5"/>
      <c r="H22" s="5"/>
      <c r="I22" s="5"/>
      <c r="J22" s="5"/>
      <c r="K22" s="5"/>
      <c r="L22" s="5"/>
      <c r="M22" s="5"/>
      <c r="N22" s="5"/>
      <c r="O22" s="5"/>
      <c r="P22" s="5"/>
      <c r="Q22" s="5"/>
      <c r="R22" s="5"/>
      <c r="S22" s="5"/>
      <c r="T22" s="5"/>
      <c r="U22" s="5"/>
      <c r="V22" s="5"/>
      <c r="W22" s="5"/>
      <c r="X22" s="5"/>
      <c r="Y22" s="5"/>
    </row>
    <row r="23" spans="1:25" ht="12.75" customHeight="1" x14ac:dyDescent="0.25">
      <c r="A23" s="15">
        <v>8</v>
      </c>
      <c r="B23" s="15" t="s">
        <v>25</v>
      </c>
      <c r="C23" s="16">
        <v>82</v>
      </c>
      <c r="D23" s="16"/>
      <c r="E23" s="383"/>
      <c r="F23" s="5"/>
      <c r="G23" s="5"/>
      <c r="H23" s="5"/>
      <c r="I23" s="5"/>
      <c r="J23" s="5"/>
      <c r="K23" s="5"/>
      <c r="L23" s="5"/>
      <c r="M23" s="5"/>
      <c r="N23" s="5"/>
      <c r="O23" s="5"/>
      <c r="P23" s="5"/>
      <c r="Q23" s="5"/>
      <c r="R23" s="5"/>
      <c r="S23" s="5"/>
      <c r="T23" s="5"/>
      <c r="U23" s="5"/>
      <c r="V23" s="5"/>
      <c r="W23" s="5"/>
      <c r="X23" s="5"/>
      <c r="Y23" s="5"/>
    </row>
    <row r="24" spans="1:25" ht="12.75" customHeight="1" x14ac:dyDescent="0.25">
      <c r="A24" s="15">
        <v>9</v>
      </c>
      <c r="B24" s="15" t="s">
        <v>26</v>
      </c>
      <c r="C24" s="16">
        <v>1473</v>
      </c>
      <c r="D24" s="16"/>
      <c r="E24" s="383"/>
      <c r="F24" s="5"/>
      <c r="G24" s="5"/>
      <c r="H24" s="5"/>
      <c r="I24" s="5"/>
      <c r="J24" s="5"/>
      <c r="K24" s="5"/>
      <c r="L24" s="5"/>
      <c r="M24" s="5"/>
      <c r="N24" s="5"/>
      <c r="O24" s="5"/>
      <c r="P24" s="5"/>
      <c r="Q24" s="5"/>
      <c r="R24" s="5"/>
      <c r="S24" s="5"/>
      <c r="T24" s="5"/>
      <c r="U24" s="5"/>
      <c r="V24" s="5"/>
      <c r="W24" s="5"/>
      <c r="X24" s="5"/>
      <c r="Y24" s="5"/>
    </row>
    <row r="25" spans="1:25" ht="12.75" customHeight="1" x14ac:dyDescent="0.25">
      <c r="A25" s="15">
        <v>10</v>
      </c>
      <c r="B25" s="15" t="s">
        <v>27</v>
      </c>
      <c r="C25" s="16">
        <v>684</v>
      </c>
      <c r="D25" s="16"/>
      <c r="E25" s="383"/>
      <c r="F25" s="5"/>
      <c r="G25" s="5"/>
      <c r="H25" s="5"/>
      <c r="I25" s="5"/>
      <c r="J25" s="5"/>
      <c r="K25" s="5"/>
      <c r="L25" s="5"/>
      <c r="M25" s="5"/>
      <c r="N25" s="5"/>
      <c r="O25" s="5"/>
      <c r="P25" s="5"/>
      <c r="Q25" s="5"/>
      <c r="R25" s="5"/>
      <c r="S25" s="5"/>
      <c r="T25" s="5"/>
      <c r="U25" s="5"/>
      <c r="V25" s="5"/>
      <c r="W25" s="5"/>
      <c r="X25" s="5"/>
      <c r="Y25" s="5"/>
    </row>
    <row r="26" spans="1:25" ht="15.75" customHeight="1" x14ac:dyDescent="0.25">
      <c r="A26" s="15">
        <v>11</v>
      </c>
      <c r="B26" s="15" t="s">
        <v>28</v>
      </c>
      <c r="C26" s="16">
        <v>189</v>
      </c>
      <c r="D26" s="16"/>
      <c r="E26" s="383"/>
      <c r="F26" s="5"/>
      <c r="G26" s="5"/>
      <c r="H26" s="5"/>
      <c r="I26" s="5"/>
      <c r="J26" s="5"/>
      <c r="K26" s="5"/>
      <c r="L26" s="5"/>
      <c r="M26" s="5"/>
      <c r="N26" s="5"/>
      <c r="O26" s="5"/>
      <c r="P26" s="5"/>
      <c r="Q26" s="5"/>
      <c r="R26" s="5"/>
      <c r="S26" s="5"/>
      <c r="T26" s="5"/>
      <c r="U26" s="5"/>
      <c r="V26" s="5"/>
      <c r="W26" s="5"/>
      <c r="X26" s="5"/>
      <c r="Y26" s="5"/>
    </row>
    <row r="27" spans="1:25" ht="15" customHeight="1" x14ac:dyDescent="0.25">
      <c r="A27" s="15">
        <v>12</v>
      </c>
      <c r="B27" s="15" t="s">
        <v>29</v>
      </c>
      <c r="C27" s="16">
        <v>156</v>
      </c>
      <c r="D27" s="16"/>
      <c r="E27" s="383"/>
      <c r="F27" s="5"/>
      <c r="G27" s="5"/>
      <c r="H27" s="5"/>
      <c r="I27" s="5"/>
      <c r="J27" s="5"/>
      <c r="K27" s="5"/>
      <c r="L27" s="5"/>
      <c r="M27" s="5"/>
      <c r="N27" s="5"/>
      <c r="O27" s="5"/>
      <c r="P27" s="5"/>
      <c r="Q27" s="5"/>
      <c r="R27" s="5"/>
      <c r="S27" s="5"/>
      <c r="T27" s="5"/>
      <c r="U27" s="5"/>
      <c r="V27" s="5"/>
      <c r="W27" s="5"/>
      <c r="X27" s="5"/>
      <c r="Y27" s="5"/>
    </row>
    <row r="28" spans="1:25" ht="15" customHeight="1" x14ac:dyDescent="0.25">
      <c r="A28" s="15">
        <v>13</v>
      </c>
      <c r="B28" s="15" t="s">
        <v>30</v>
      </c>
      <c r="C28" s="16">
        <v>193</v>
      </c>
      <c r="D28" s="16"/>
      <c r="E28" s="383"/>
      <c r="F28" s="5"/>
      <c r="G28" s="5"/>
      <c r="H28" s="5"/>
      <c r="I28" s="5"/>
      <c r="J28" s="5"/>
      <c r="K28" s="5"/>
      <c r="L28" s="5"/>
      <c r="M28" s="5"/>
      <c r="N28" s="5"/>
      <c r="O28" s="5"/>
      <c r="P28" s="5"/>
      <c r="Q28" s="5"/>
      <c r="R28" s="5"/>
      <c r="S28" s="5"/>
      <c r="T28" s="5"/>
      <c r="U28" s="5"/>
      <c r="V28" s="5"/>
      <c r="W28" s="5"/>
      <c r="X28" s="5"/>
      <c r="Y28" s="5"/>
    </row>
    <row r="29" spans="1:25" ht="15" customHeight="1" x14ac:dyDescent="0.25">
      <c r="A29" s="15">
        <v>14</v>
      </c>
      <c r="B29" s="15" t="s">
        <v>31</v>
      </c>
      <c r="C29" s="16">
        <v>263</v>
      </c>
      <c r="D29" s="16"/>
      <c r="E29" s="383"/>
      <c r="F29" s="5"/>
      <c r="G29" s="5"/>
      <c r="H29" s="5"/>
      <c r="I29" s="5"/>
      <c r="J29" s="5"/>
      <c r="K29" s="5"/>
      <c r="L29" s="5"/>
      <c r="M29" s="5"/>
      <c r="N29" s="5"/>
      <c r="O29" s="5"/>
      <c r="P29" s="5"/>
      <c r="Q29" s="5"/>
      <c r="R29" s="5"/>
      <c r="S29" s="5"/>
      <c r="T29" s="5"/>
      <c r="U29" s="5"/>
      <c r="V29" s="5"/>
      <c r="W29" s="5"/>
      <c r="X29" s="5"/>
      <c r="Y29" s="5"/>
    </row>
    <row r="30" spans="1:25" ht="12.75" customHeight="1" x14ac:dyDescent="0.25">
      <c r="A30" s="15">
        <v>15</v>
      </c>
      <c r="B30" s="15" t="s">
        <v>32</v>
      </c>
      <c r="C30" s="16">
        <v>125</v>
      </c>
      <c r="D30" s="16"/>
      <c r="E30" s="383"/>
      <c r="F30" s="5"/>
      <c r="G30" s="5"/>
      <c r="H30" s="5"/>
      <c r="I30" s="5"/>
      <c r="J30" s="5"/>
      <c r="K30" s="5"/>
      <c r="L30" s="5"/>
      <c r="M30" s="5"/>
      <c r="N30" s="5"/>
      <c r="O30" s="5"/>
      <c r="P30" s="5"/>
      <c r="Q30" s="5"/>
      <c r="R30" s="5"/>
      <c r="S30" s="5"/>
      <c r="T30" s="5"/>
      <c r="U30" s="5"/>
      <c r="V30" s="5"/>
      <c r="W30" s="5"/>
      <c r="X30" s="5"/>
      <c r="Y30" s="5"/>
    </row>
    <row r="31" spans="1:25" ht="12.75" customHeight="1" x14ac:dyDescent="0.25">
      <c r="A31" s="15">
        <v>16</v>
      </c>
      <c r="B31" s="15" t="s">
        <v>33</v>
      </c>
      <c r="C31" s="16">
        <v>273</v>
      </c>
      <c r="D31" s="16"/>
      <c r="E31" s="383"/>
      <c r="F31" s="5"/>
      <c r="G31" s="5"/>
      <c r="H31" s="5"/>
      <c r="I31" s="5"/>
      <c r="J31" s="5"/>
      <c r="K31" s="5"/>
      <c r="L31" s="5"/>
      <c r="M31" s="5"/>
      <c r="N31" s="5"/>
      <c r="O31" s="5"/>
      <c r="P31" s="5"/>
      <c r="Q31" s="5"/>
      <c r="R31" s="5"/>
      <c r="S31" s="5"/>
      <c r="T31" s="5"/>
      <c r="U31" s="5"/>
      <c r="V31" s="5"/>
      <c r="W31" s="5"/>
      <c r="X31" s="5"/>
      <c r="Y31" s="5"/>
    </row>
    <row r="32" spans="1:25" ht="12.75" customHeight="1" x14ac:dyDescent="0.25">
      <c r="A32" s="15">
        <v>17</v>
      </c>
      <c r="B32" s="15" t="s">
        <v>34</v>
      </c>
      <c r="C32" s="16">
        <v>291</v>
      </c>
      <c r="D32" s="16"/>
      <c r="E32" s="383"/>
      <c r="F32" s="5"/>
      <c r="G32" s="5"/>
      <c r="H32" s="5"/>
      <c r="I32" s="5"/>
      <c r="J32" s="5"/>
      <c r="K32" s="5"/>
      <c r="L32" s="5"/>
      <c r="M32" s="5"/>
      <c r="N32" s="5"/>
      <c r="O32" s="5"/>
      <c r="P32" s="5"/>
      <c r="Q32" s="5"/>
      <c r="R32" s="5"/>
      <c r="S32" s="5"/>
      <c r="T32" s="5"/>
      <c r="U32" s="5"/>
      <c r="V32" s="5"/>
      <c r="W32" s="5"/>
      <c r="X32" s="5"/>
      <c r="Y32" s="5"/>
    </row>
    <row r="33" spans="1:25" ht="12.75" customHeight="1" x14ac:dyDescent="0.25">
      <c r="A33" s="15">
        <v>18</v>
      </c>
      <c r="B33" s="15" t="s">
        <v>35</v>
      </c>
      <c r="C33" s="16">
        <v>191</v>
      </c>
      <c r="D33" s="16"/>
      <c r="E33" s="383"/>
      <c r="F33" s="5"/>
      <c r="G33" s="5"/>
      <c r="H33" s="5"/>
      <c r="I33" s="5"/>
      <c r="J33" s="5"/>
      <c r="K33" s="5"/>
      <c r="L33" s="5"/>
      <c r="M33" s="5"/>
      <c r="N33" s="5"/>
      <c r="O33" s="5"/>
      <c r="P33" s="5"/>
      <c r="Q33" s="5"/>
      <c r="R33" s="5"/>
      <c r="S33" s="5"/>
      <c r="T33" s="5"/>
      <c r="U33" s="5"/>
      <c r="V33" s="5"/>
      <c r="W33" s="5"/>
      <c r="X33" s="5"/>
      <c r="Y33" s="5"/>
    </row>
    <row r="34" spans="1:25" ht="12.75" customHeight="1" x14ac:dyDescent="0.25">
      <c r="A34" s="15">
        <v>19</v>
      </c>
      <c r="B34" s="15" t="s">
        <v>36</v>
      </c>
      <c r="C34" s="16">
        <v>480</v>
      </c>
      <c r="D34" s="16"/>
      <c r="E34" s="383"/>
      <c r="F34" s="5"/>
      <c r="G34" s="5"/>
      <c r="H34" s="5"/>
      <c r="I34" s="5"/>
      <c r="J34" s="5"/>
      <c r="K34" s="5"/>
      <c r="L34" s="5"/>
      <c r="M34" s="5"/>
      <c r="N34" s="5"/>
      <c r="O34" s="5"/>
      <c r="P34" s="5"/>
      <c r="Q34" s="5"/>
      <c r="R34" s="5"/>
      <c r="S34" s="5"/>
      <c r="T34" s="5"/>
      <c r="U34" s="5"/>
      <c r="V34" s="5"/>
      <c r="W34" s="5"/>
      <c r="X34" s="5"/>
      <c r="Y34" s="5"/>
    </row>
    <row r="35" spans="1:25" ht="12.75" customHeight="1" x14ac:dyDescent="0.25">
      <c r="A35" s="15">
        <v>20</v>
      </c>
      <c r="B35" s="15" t="s">
        <v>37</v>
      </c>
      <c r="C35" s="16">
        <v>83</v>
      </c>
      <c r="D35" s="16"/>
      <c r="E35" s="383"/>
      <c r="F35" s="5"/>
      <c r="G35" s="5"/>
      <c r="H35" s="5"/>
      <c r="I35" s="5"/>
      <c r="J35" s="5"/>
      <c r="K35" s="5"/>
      <c r="L35" s="5"/>
      <c r="M35" s="5"/>
      <c r="N35" s="5"/>
      <c r="O35" s="5"/>
      <c r="P35" s="5"/>
      <c r="Q35" s="5"/>
      <c r="R35" s="5"/>
      <c r="S35" s="5"/>
      <c r="T35" s="5"/>
      <c r="U35" s="5"/>
      <c r="V35" s="5"/>
      <c r="W35" s="5"/>
      <c r="X35" s="5"/>
      <c r="Y35" s="5"/>
    </row>
    <row r="36" spans="1:25" ht="12.75" customHeight="1" x14ac:dyDescent="0.25">
      <c r="A36" s="15">
        <v>21</v>
      </c>
      <c r="B36" s="15" t="s">
        <v>38</v>
      </c>
      <c r="C36" s="16">
        <v>367</v>
      </c>
      <c r="D36" s="16"/>
      <c r="E36" s="383"/>
      <c r="F36" s="5"/>
      <c r="G36" s="5"/>
      <c r="H36" s="5"/>
      <c r="I36" s="5"/>
      <c r="J36" s="5"/>
      <c r="K36" s="5"/>
      <c r="L36" s="5"/>
      <c r="M36" s="5"/>
      <c r="N36" s="5"/>
      <c r="O36" s="5"/>
      <c r="P36" s="5"/>
      <c r="Q36" s="5"/>
      <c r="R36" s="5"/>
      <c r="S36" s="5"/>
      <c r="T36" s="5"/>
      <c r="U36" s="5"/>
      <c r="V36" s="5"/>
      <c r="W36" s="5"/>
      <c r="X36" s="5"/>
      <c r="Y36" s="5"/>
    </row>
    <row r="37" spans="1:25" ht="12.75" customHeight="1" x14ac:dyDescent="0.25">
      <c r="A37" s="15">
        <v>22</v>
      </c>
      <c r="B37" s="15" t="s">
        <v>39</v>
      </c>
      <c r="C37" s="16">
        <v>251</v>
      </c>
      <c r="D37" s="16"/>
      <c r="E37" s="383"/>
      <c r="F37" s="5"/>
      <c r="G37" s="5"/>
      <c r="H37" s="5"/>
      <c r="I37" s="5"/>
      <c r="J37" s="5"/>
      <c r="K37" s="5"/>
      <c r="L37" s="5"/>
      <c r="M37" s="5"/>
      <c r="N37" s="5"/>
      <c r="O37" s="5"/>
      <c r="P37" s="5"/>
      <c r="Q37" s="5"/>
      <c r="R37" s="5"/>
      <c r="S37" s="5"/>
      <c r="T37" s="5"/>
      <c r="U37" s="5"/>
      <c r="V37" s="5"/>
      <c r="W37" s="5"/>
      <c r="X37" s="5"/>
      <c r="Y37" s="5"/>
    </row>
    <row r="38" spans="1:25" ht="12.75" customHeight="1" x14ac:dyDescent="0.25">
      <c r="A38" s="15">
        <v>23</v>
      </c>
      <c r="B38" s="15" t="s">
        <v>40</v>
      </c>
      <c r="C38" s="16">
        <v>319</v>
      </c>
      <c r="D38" s="16"/>
      <c r="E38" s="383"/>
      <c r="F38" s="5"/>
      <c r="G38" s="5"/>
      <c r="H38" s="5"/>
      <c r="I38" s="5"/>
      <c r="J38" s="5"/>
      <c r="K38" s="5"/>
      <c r="L38" s="5"/>
      <c r="M38" s="5"/>
      <c r="N38" s="5"/>
      <c r="O38" s="5"/>
      <c r="P38" s="5"/>
      <c r="Q38" s="5"/>
      <c r="R38" s="5"/>
      <c r="S38" s="5"/>
      <c r="T38" s="5"/>
      <c r="U38" s="5"/>
      <c r="V38" s="5"/>
      <c r="W38" s="5"/>
      <c r="X38" s="5"/>
      <c r="Y38" s="5"/>
    </row>
    <row r="39" spans="1:25" ht="12.75" customHeight="1" x14ac:dyDescent="0.25">
      <c r="A39" s="15">
        <v>24</v>
      </c>
      <c r="B39" s="15" t="s">
        <v>41</v>
      </c>
      <c r="C39" s="16"/>
      <c r="D39" s="16">
        <v>64</v>
      </c>
      <c r="E39" s="383"/>
      <c r="F39" s="5"/>
      <c r="G39" s="5"/>
      <c r="H39" s="5"/>
      <c r="I39" s="5"/>
      <c r="J39" s="5"/>
      <c r="K39" s="5"/>
      <c r="L39" s="5"/>
      <c r="M39" s="5"/>
      <c r="N39" s="5"/>
      <c r="O39" s="5"/>
      <c r="P39" s="5"/>
      <c r="Q39" s="5"/>
      <c r="R39" s="5"/>
      <c r="S39" s="5"/>
      <c r="T39" s="5"/>
      <c r="U39" s="5"/>
      <c r="V39" s="5"/>
      <c r="W39" s="5"/>
      <c r="X39" s="5"/>
      <c r="Y39" s="5"/>
    </row>
    <row r="40" spans="1:25" ht="15.75" customHeight="1" x14ac:dyDescent="0.25">
      <c r="A40" s="17" t="s">
        <v>42</v>
      </c>
      <c r="B40" s="17"/>
      <c r="C40" s="18"/>
      <c r="D40" s="19"/>
      <c r="E40" s="383"/>
      <c r="F40" s="5"/>
      <c r="G40" s="5"/>
      <c r="H40" s="5"/>
      <c r="I40" s="5"/>
      <c r="J40" s="5"/>
      <c r="K40" s="5"/>
      <c r="L40" s="5"/>
      <c r="M40" s="5"/>
      <c r="N40" s="5"/>
      <c r="O40" s="5"/>
      <c r="P40" s="5"/>
      <c r="Q40" s="5"/>
      <c r="R40" s="5"/>
      <c r="S40" s="5"/>
      <c r="T40" s="5"/>
      <c r="U40" s="5"/>
      <c r="V40" s="5"/>
      <c r="W40" s="5"/>
      <c r="X40" s="5"/>
      <c r="Y40" s="5"/>
    </row>
    <row r="41" spans="1:25" ht="12.75" customHeight="1" x14ac:dyDescent="0.25">
      <c r="A41" s="15">
        <v>1</v>
      </c>
      <c r="B41" s="15" t="s">
        <v>43</v>
      </c>
      <c r="C41" s="20">
        <v>227</v>
      </c>
      <c r="D41" s="15"/>
      <c r="E41" s="383"/>
      <c r="F41" s="5"/>
      <c r="G41" s="5"/>
      <c r="H41" s="5"/>
      <c r="I41" s="5"/>
      <c r="J41" s="5"/>
      <c r="K41" s="5"/>
      <c r="L41" s="5"/>
      <c r="M41" s="5"/>
      <c r="N41" s="5"/>
      <c r="O41" s="5"/>
      <c r="P41" s="5"/>
      <c r="Q41" s="5"/>
      <c r="R41" s="5"/>
      <c r="S41" s="5"/>
      <c r="T41" s="5"/>
      <c r="U41" s="5"/>
      <c r="V41" s="5"/>
      <c r="W41" s="5"/>
      <c r="X41" s="5"/>
      <c r="Y41" s="5"/>
    </row>
    <row r="42" spans="1:25" ht="12.75" customHeight="1" x14ac:dyDescent="0.25">
      <c r="A42" s="17" t="s">
        <v>44</v>
      </c>
      <c r="B42" s="18"/>
      <c r="C42" s="19"/>
      <c r="D42" s="19"/>
      <c r="E42" s="383"/>
      <c r="F42" s="5"/>
      <c r="G42" s="5"/>
      <c r="H42" s="5"/>
      <c r="I42" s="5"/>
      <c r="J42" s="5"/>
      <c r="K42" s="5"/>
      <c r="L42" s="5"/>
      <c r="M42" s="5"/>
      <c r="N42" s="5"/>
      <c r="O42" s="5"/>
      <c r="P42" s="5"/>
      <c r="Q42" s="5"/>
      <c r="R42" s="5"/>
      <c r="S42" s="5"/>
      <c r="T42" s="5"/>
      <c r="U42" s="5"/>
      <c r="V42" s="5"/>
      <c r="W42" s="5"/>
      <c r="X42" s="5"/>
      <c r="Y42" s="5"/>
    </row>
    <row r="43" spans="1:25" ht="12.75" customHeight="1" x14ac:dyDescent="0.25">
      <c r="A43" s="15">
        <v>1</v>
      </c>
      <c r="B43" s="15" t="s">
        <v>45</v>
      </c>
      <c r="C43" s="16">
        <v>101</v>
      </c>
      <c r="D43" s="15"/>
      <c r="E43" s="383"/>
      <c r="F43" s="5"/>
      <c r="G43" s="5"/>
      <c r="H43" s="5"/>
      <c r="I43" s="5"/>
      <c r="J43" s="5"/>
      <c r="K43" s="5"/>
      <c r="L43" s="5"/>
      <c r="M43" s="5"/>
      <c r="N43" s="5"/>
      <c r="O43" s="5"/>
      <c r="P43" s="5"/>
      <c r="Q43" s="5"/>
      <c r="R43" s="5"/>
      <c r="S43" s="5"/>
      <c r="T43" s="5"/>
      <c r="U43" s="5"/>
      <c r="V43" s="5"/>
      <c r="W43" s="5"/>
      <c r="X43" s="5"/>
      <c r="Y43" s="5"/>
    </row>
    <row r="44" spans="1:25" ht="12.75" customHeight="1" x14ac:dyDescent="0.25">
      <c r="A44" s="15">
        <v>2</v>
      </c>
      <c r="B44" s="15" t="s">
        <v>46</v>
      </c>
      <c r="C44" s="16">
        <v>233</v>
      </c>
      <c r="D44" s="15"/>
      <c r="E44" s="383"/>
      <c r="F44" s="5"/>
      <c r="G44" s="5"/>
      <c r="H44" s="5"/>
      <c r="I44" s="5"/>
      <c r="J44" s="5"/>
      <c r="K44" s="5"/>
      <c r="L44" s="5"/>
      <c r="M44" s="5"/>
      <c r="N44" s="5"/>
      <c r="O44" s="5"/>
      <c r="P44" s="5"/>
      <c r="Q44" s="5"/>
      <c r="R44" s="5"/>
      <c r="S44" s="5"/>
      <c r="T44" s="5"/>
      <c r="U44" s="5"/>
      <c r="V44" s="5"/>
      <c r="W44" s="5"/>
      <c r="X44" s="5"/>
      <c r="Y44" s="5"/>
    </row>
    <row r="45" spans="1:25" ht="12.75" customHeight="1" x14ac:dyDescent="0.25">
      <c r="A45" s="15">
        <v>3</v>
      </c>
      <c r="B45" s="15" t="s">
        <v>28</v>
      </c>
      <c r="C45" s="16">
        <v>147</v>
      </c>
      <c r="D45" s="15"/>
      <c r="E45" s="383"/>
      <c r="F45" s="5"/>
      <c r="G45" s="5"/>
      <c r="H45" s="5"/>
      <c r="I45" s="5"/>
      <c r="J45" s="5"/>
      <c r="K45" s="5"/>
      <c r="L45" s="5"/>
      <c r="M45" s="5"/>
      <c r="N45" s="5"/>
      <c r="O45" s="5"/>
      <c r="P45" s="5"/>
      <c r="Q45" s="5"/>
      <c r="R45" s="5"/>
      <c r="S45" s="5"/>
      <c r="T45" s="5"/>
      <c r="U45" s="5"/>
      <c r="V45" s="5"/>
      <c r="W45" s="5"/>
      <c r="X45" s="5"/>
      <c r="Y45" s="5"/>
    </row>
    <row r="46" spans="1:25" ht="12.75" customHeight="1" x14ac:dyDescent="0.25">
      <c r="A46" s="17" t="s">
        <v>47</v>
      </c>
      <c r="B46" s="18"/>
      <c r="C46" s="21"/>
      <c r="D46" s="19"/>
      <c r="E46" s="383"/>
      <c r="F46" s="5"/>
      <c r="G46" s="5"/>
      <c r="H46" s="5"/>
      <c r="I46" s="5"/>
      <c r="J46" s="5"/>
      <c r="K46" s="5"/>
      <c r="L46" s="5"/>
      <c r="M46" s="5"/>
      <c r="N46" s="5"/>
      <c r="O46" s="5"/>
      <c r="P46" s="5"/>
      <c r="Q46" s="5"/>
      <c r="R46" s="5"/>
      <c r="S46" s="5"/>
      <c r="T46" s="5"/>
      <c r="U46" s="5"/>
      <c r="V46" s="5"/>
      <c r="W46" s="5"/>
      <c r="X46" s="5"/>
      <c r="Y46" s="5"/>
    </row>
    <row r="47" spans="1:25" ht="12.75" customHeight="1" x14ac:dyDescent="0.25">
      <c r="A47" s="15">
        <v>1</v>
      </c>
      <c r="B47" s="15" t="s">
        <v>48</v>
      </c>
      <c r="C47" s="16">
        <v>23</v>
      </c>
      <c r="D47" s="15"/>
      <c r="E47" s="383"/>
      <c r="F47" s="5"/>
      <c r="G47" s="5"/>
      <c r="H47" s="5"/>
      <c r="I47" s="5"/>
      <c r="J47" s="5"/>
      <c r="K47" s="5"/>
      <c r="L47" s="5"/>
      <c r="M47" s="5"/>
      <c r="N47" s="5"/>
      <c r="O47" s="5"/>
      <c r="P47" s="5"/>
      <c r="Q47" s="5"/>
      <c r="R47" s="5"/>
      <c r="S47" s="5"/>
      <c r="T47" s="5"/>
      <c r="U47" s="5"/>
      <c r="V47" s="5"/>
      <c r="W47" s="5"/>
      <c r="X47" s="5"/>
      <c r="Y47" s="5"/>
    </row>
    <row r="48" spans="1:25" ht="12.75" customHeight="1" x14ac:dyDescent="0.25">
      <c r="A48" s="15">
        <v>2</v>
      </c>
      <c r="B48" s="15" t="s">
        <v>49</v>
      </c>
      <c r="C48" s="16">
        <v>104</v>
      </c>
      <c r="D48" s="15"/>
      <c r="E48" s="383"/>
      <c r="F48" s="5"/>
      <c r="G48" s="5"/>
      <c r="H48" s="5"/>
      <c r="I48" s="5"/>
      <c r="J48" s="5"/>
      <c r="K48" s="5"/>
      <c r="L48" s="5"/>
      <c r="M48" s="5"/>
      <c r="N48" s="5"/>
      <c r="O48" s="5"/>
      <c r="P48" s="5"/>
      <c r="Q48" s="5"/>
      <c r="R48" s="5"/>
      <c r="S48" s="5"/>
      <c r="T48" s="5"/>
      <c r="U48" s="5"/>
      <c r="V48" s="5"/>
      <c r="W48" s="5"/>
      <c r="X48" s="5"/>
      <c r="Y48" s="5"/>
    </row>
    <row r="49" spans="1:25" ht="12.75" customHeight="1" x14ac:dyDescent="0.25">
      <c r="A49" s="15">
        <v>3</v>
      </c>
      <c r="B49" s="15" t="s">
        <v>50</v>
      </c>
      <c r="C49" s="16">
        <v>19</v>
      </c>
      <c r="D49" s="15"/>
      <c r="E49" s="383"/>
      <c r="F49" s="5"/>
      <c r="G49" s="5"/>
      <c r="H49" s="5"/>
      <c r="I49" s="5"/>
      <c r="J49" s="5"/>
      <c r="K49" s="5"/>
      <c r="L49" s="5"/>
      <c r="M49" s="5"/>
      <c r="N49" s="5"/>
      <c r="O49" s="5"/>
      <c r="P49" s="5"/>
      <c r="Q49" s="5"/>
      <c r="R49" s="5"/>
      <c r="S49" s="5"/>
      <c r="T49" s="5"/>
      <c r="U49" s="5"/>
      <c r="V49" s="5"/>
      <c r="W49" s="5"/>
      <c r="X49" s="5"/>
      <c r="Y49" s="5"/>
    </row>
    <row r="50" spans="1:25" ht="12.75" customHeight="1" x14ac:dyDescent="0.25">
      <c r="A50" s="15">
        <v>4</v>
      </c>
      <c r="B50" s="15" t="s">
        <v>51</v>
      </c>
      <c r="C50" s="15"/>
      <c r="D50" s="16">
        <v>135</v>
      </c>
      <c r="E50" s="383"/>
      <c r="F50" s="5"/>
      <c r="G50" s="5"/>
      <c r="H50" s="5"/>
      <c r="I50" s="5"/>
      <c r="J50" s="5"/>
      <c r="K50" s="5"/>
      <c r="L50" s="5"/>
      <c r="M50" s="5"/>
      <c r="N50" s="5"/>
      <c r="O50" s="5"/>
      <c r="P50" s="5"/>
      <c r="Q50" s="5"/>
      <c r="R50" s="5"/>
      <c r="S50" s="5"/>
      <c r="T50" s="5"/>
      <c r="U50" s="5"/>
      <c r="V50" s="5"/>
      <c r="W50" s="5"/>
      <c r="X50" s="5"/>
      <c r="Y50" s="5"/>
    </row>
    <row r="51" spans="1:25" ht="12.75" customHeight="1" x14ac:dyDescent="0.25">
      <c r="A51" s="15">
        <v>5</v>
      </c>
      <c r="B51" s="15" t="s">
        <v>52</v>
      </c>
      <c r="C51" s="15"/>
      <c r="D51" s="16">
        <v>69</v>
      </c>
      <c r="E51" s="383"/>
      <c r="F51" s="5"/>
      <c r="G51" s="5"/>
      <c r="H51" s="5"/>
      <c r="I51" s="5"/>
      <c r="J51" s="5"/>
      <c r="K51" s="5"/>
      <c r="L51" s="5"/>
      <c r="M51" s="5"/>
      <c r="N51" s="5"/>
      <c r="O51" s="5"/>
      <c r="P51" s="5"/>
      <c r="Q51" s="5"/>
      <c r="R51" s="5"/>
      <c r="S51" s="5"/>
      <c r="T51" s="5"/>
      <c r="U51" s="5"/>
      <c r="V51" s="5"/>
      <c r="W51" s="5"/>
      <c r="X51" s="5"/>
      <c r="Y51" s="5"/>
    </row>
    <row r="52" spans="1:25" ht="12.75" customHeight="1" x14ac:dyDescent="0.25">
      <c r="A52" s="5"/>
      <c r="B52" s="5"/>
      <c r="C52" s="5"/>
      <c r="D52" s="5"/>
      <c r="E52" s="22"/>
      <c r="F52" s="5"/>
      <c r="G52" s="5"/>
      <c r="H52" s="5"/>
      <c r="I52" s="5"/>
      <c r="J52" s="5"/>
      <c r="K52" s="5"/>
      <c r="L52" s="5"/>
      <c r="M52" s="5"/>
      <c r="N52" s="5"/>
      <c r="O52" s="5"/>
      <c r="P52" s="5"/>
      <c r="Q52" s="5"/>
      <c r="R52" s="5"/>
      <c r="S52" s="5"/>
      <c r="T52" s="5"/>
      <c r="U52" s="5"/>
      <c r="V52" s="5"/>
      <c r="W52" s="5"/>
      <c r="X52" s="5"/>
      <c r="Y52" s="5"/>
    </row>
    <row r="53" spans="1:25" ht="12.75" customHeight="1" x14ac:dyDescent="0.25">
      <c r="A53" s="23"/>
      <c r="B53" s="24" t="s">
        <v>53</v>
      </c>
      <c r="C53" s="25">
        <f t="shared" ref="C53:D53" si="0">SUM(C16:C52)</f>
        <v>7499</v>
      </c>
      <c r="D53" s="25">
        <f t="shared" si="0"/>
        <v>268</v>
      </c>
      <c r="E53" s="384"/>
      <c r="F53" s="5"/>
      <c r="G53" s="5"/>
      <c r="H53" s="5"/>
      <c r="I53" s="5"/>
      <c r="J53" s="5"/>
      <c r="K53" s="5"/>
      <c r="L53" s="5"/>
      <c r="M53" s="5"/>
      <c r="N53" s="5"/>
      <c r="O53" s="5"/>
      <c r="P53" s="5"/>
      <c r="Q53" s="5"/>
      <c r="R53" s="5"/>
      <c r="S53" s="5"/>
      <c r="T53" s="5"/>
      <c r="U53" s="5"/>
      <c r="V53" s="5"/>
      <c r="W53" s="5"/>
      <c r="X53" s="5"/>
      <c r="Y53" s="5"/>
    </row>
    <row r="54" spans="1:25" ht="12.75" customHeight="1" x14ac:dyDescent="0.25">
      <c r="A54" s="23"/>
      <c r="B54" s="26" t="s">
        <v>54</v>
      </c>
      <c r="C54" s="387">
        <f>SUM(C53:D53)</f>
        <v>7767</v>
      </c>
      <c r="D54" s="388"/>
      <c r="E54" s="385"/>
      <c r="F54" s="5"/>
      <c r="G54" s="5"/>
      <c r="H54" s="5"/>
      <c r="I54" s="5"/>
      <c r="J54" s="5"/>
      <c r="K54" s="5"/>
      <c r="L54" s="5"/>
      <c r="M54" s="5"/>
      <c r="N54" s="5"/>
      <c r="O54" s="5"/>
      <c r="P54" s="5"/>
      <c r="Q54" s="5"/>
      <c r="R54" s="5"/>
      <c r="S54" s="5"/>
      <c r="T54" s="5"/>
      <c r="U54" s="5"/>
      <c r="V54" s="5"/>
      <c r="W54" s="5"/>
      <c r="X54" s="5"/>
      <c r="Y54" s="5"/>
    </row>
    <row r="55" spans="1:25" ht="12.75" customHeight="1" x14ac:dyDescent="0.25">
      <c r="A55" s="27"/>
      <c r="B55" s="26" t="s">
        <v>55</v>
      </c>
      <c r="C55" s="389">
        <f>C53/C54</f>
        <v>0.96549504313119605</v>
      </c>
      <c r="D55" s="388"/>
      <c r="E55" s="386"/>
      <c r="F55" s="5"/>
      <c r="G55" s="5"/>
      <c r="H55" s="5"/>
      <c r="I55" s="5"/>
      <c r="J55" s="5"/>
      <c r="K55" s="5"/>
      <c r="L55" s="5"/>
      <c r="M55" s="5"/>
      <c r="N55" s="5"/>
      <c r="O55" s="5"/>
      <c r="P55" s="5"/>
      <c r="Q55" s="5"/>
      <c r="R55" s="5"/>
      <c r="S55" s="5"/>
      <c r="T55" s="5"/>
      <c r="U55" s="5"/>
      <c r="V55" s="5"/>
      <c r="W55" s="5"/>
      <c r="X55" s="5"/>
      <c r="Y55" s="5"/>
    </row>
    <row r="56" spans="1:25" ht="12.75" customHeight="1" x14ac:dyDescent="0.25">
      <c r="A56" s="5"/>
      <c r="B56" s="5"/>
      <c r="C56" s="5"/>
      <c r="D56" s="5"/>
      <c r="E56" s="5"/>
      <c r="F56" s="5"/>
      <c r="G56" s="5"/>
      <c r="H56" s="5"/>
      <c r="I56" s="5"/>
      <c r="J56" s="5"/>
      <c r="K56" s="5"/>
      <c r="L56" s="5"/>
      <c r="M56" s="5"/>
      <c r="N56" s="5"/>
      <c r="O56" s="5"/>
      <c r="P56" s="5"/>
      <c r="Q56" s="5"/>
      <c r="R56" s="5"/>
      <c r="S56" s="5"/>
      <c r="T56" s="5"/>
      <c r="U56" s="5"/>
      <c r="V56" s="5"/>
      <c r="W56" s="5"/>
      <c r="X56" s="5"/>
      <c r="Y56" s="5"/>
    </row>
    <row r="57" spans="1:25" ht="12.75" customHeight="1" x14ac:dyDescent="0.25">
      <c r="A57" s="28" t="s">
        <v>56</v>
      </c>
      <c r="B57" s="29"/>
      <c r="C57" s="5"/>
      <c r="D57" s="5"/>
      <c r="E57" s="5"/>
      <c r="F57" s="5"/>
      <c r="G57" s="5"/>
      <c r="H57" s="5"/>
      <c r="I57" s="5"/>
      <c r="J57" s="5"/>
      <c r="K57" s="5"/>
      <c r="L57" s="5"/>
      <c r="M57" s="5"/>
      <c r="N57" s="5"/>
      <c r="O57" s="5"/>
      <c r="P57" s="5"/>
      <c r="Q57" s="5"/>
      <c r="R57" s="5"/>
      <c r="S57" s="5"/>
      <c r="T57" s="5"/>
      <c r="U57" s="5"/>
      <c r="V57" s="5"/>
      <c r="W57" s="5"/>
      <c r="X57" s="5"/>
      <c r="Y57" s="5"/>
    </row>
    <row r="58" spans="1:25" ht="12.75" customHeight="1" x14ac:dyDescent="0.25">
      <c r="A58" s="28"/>
      <c r="B58" s="29"/>
      <c r="C58" s="5"/>
      <c r="D58" s="5"/>
      <c r="E58" s="5"/>
      <c r="F58" s="5"/>
      <c r="G58" s="5"/>
      <c r="H58" s="5"/>
      <c r="I58" s="5"/>
      <c r="J58" s="5"/>
      <c r="K58" s="5"/>
      <c r="L58" s="5"/>
      <c r="M58" s="5"/>
      <c r="N58" s="5"/>
      <c r="O58" s="5"/>
      <c r="P58" s="5"/>
      <c r="Q58" s="5"/>
      <c r="R58" s="5"/>
      <c r="S58" s="5"/>
      <c r="T58" s="5"/>
      <c r="U58" s="5"/>
      <c r="V58" s="5"/>
      <c r="W58" s="5"/>
      <c r="X58" s="5"/>
      <c r="Y58" s="5"/>
    </row>
    <row r="59" spans="1:25" ht="12.75" customHeight="1" x14ac:dyDescent="0.25">
      <c r="A59" s="29"/>
      <c r="B59" s="30" t="s">
        <v>57</v>
      </c>
      <c r="C59" s="31">
        <v>44592</v>
      </c>
      <c r="D59" s="5"/>
      <c r="E59" s="5"/>
      <c r="F59" s="5"/>
      <c r="G59" s="5"/>
      <c r="H59" s="5"/>
      <c r="I59" s="5"/>
      <c r="J59" s="5"/>
      <c r="K59" s="5"/>
      <c r="L59" s="5"/>
      <c r="M59" s="5"/>
      <c r="N59" s="5"/>
      <c r="O59" s="5"/>
      <c r="P59" s="5"/>
      <c r="Q59" s="5"/>
      <c r="R59" s="5"/>
      <c r="S59" s="5"/>
      <c r="T59" s="5"/>
      <c r="U59" s="5"/>
      <c r="V59" s="5"/>
      <c r="W59" s="5"/>
      <c r="X59" s="5"/>
      <c r="Y59" s="5"/>
    </row>
    <row r="60" spans="1:25" ht="12.75" customHeight="1" x14ac:dyDescent="0.25">
      <c r="A60" s="372" t="s">
        <v>58</v>
      </c>
      <c r="B60" s="373"/>
      <c r="C60" s="32" t="s">
        <v>59</v>
      </c>
      <c r="D60" s="5"/>
      <c r="E60" s="5"/>
      <c r="F60" s="5"/>
      <c r="G60" s="5"/>
      <c r="H60" s="5"/>
      <c r="I60" s="5"/>
      <c r="J60" s="5"/>
      <c r="K60" s="5"/>
      <c r="L60" s="5"/>
      <c r="M60" s="5"/>
      <c r="N60" s="5"/>
      <c r="O60" s="5"/>
      <c r="P60" s="5"/>
      <c r="Q60" s="5"/>
      <c r="R60" s="5"/>
      <c r="S60" s="5"/>
      <c r="T60" s="5"/>
      <c r="U60" s="5"/>
      <c r="V60" s="5"/>
      <c r="W60" s="5"/>
      <c r="X60" s="5"/>
      <c r="Y60" s="5"/>
    </row>
    <row r="61" spans="1:25" ht="12.75" customHeight="1" x14ac:dyDescent="0.25">
      <c r="A61" s="5"/>
      <c r="B61" s="5"/>
      <c r="C61" s="5"/>
      <c r="D61" s="5"/>
      <c r="E61" s="5"/>
      <c r="F61" s="5"/>
      <c r="G61" s="5"/>
      <c r="H61" s="5"/>
      <c r="I61" s="5"/>
      <c r="J61" s="5"/>
      <c r="K61" s="5"/>
      <c r="L61" s="5"/>
      <c r="M61" s="5"/>
      <c r="N61" s="5"/>
      <c r="O61" s="5"/>
      <c r="P61" s="5"/>
      <c r="Q61" s="5"/>
      <c r="R61" s="5"/>
      <c r="S61" s="5"/>
      <c r="T61" s="5"/>
      <c r="U61" s="5"/>
      <c r="V61" s="5"/>
      <c r="W61" s="5"/>
      <c r="X61" s="5"/>
      <c r="Y61" s="5"/>
    </row>
    <row r="62" spans="1:25" ht="12.75" customHeight="1" x14ac:dyDescent="0.25">
      <c r="A62" s="5"/>
      <c r="B62" s="5"/>
      <c r="C62" s="5"/>
      <c r="D62" s="5"/>
      <c r="E62" s="5"/>
      <c r="F62" s="5"/>
      <c r="G62" s="5"/>
      <c r="H62" s="5"/>
      <c r="I62" s="5"/>
      <c r="J62" s="5"/>
      <c r="K62" s="5"/>
      <c r="L62" s="5"/>
      <c r="M62" s="5"/>
      <c r="N62" s="5"/>
      <c r="O62" s="5"/>
      <c r="P62" s="5"/>
      <c r="Q62" s="5"/>
      <c r="R62" s="5"/>
      <c r="S62" s="5"/>
      <c r="T62" s="5"/>
      <c r="U62" s="5"/>
      <c r="V62" s="5"/>
      <c r="W62" s="5"/>
      <c r="X62" s="5"/>
      <c r="Y62" s="5"/>
    </row>
    <row r="63" spans="1:25" ht="12.75" customHeight="1" x14ac:dyDescent="0.25">
      <c r="A63" s="33" t="s">
        <v>60</v>
      </c>
      <c r="B63" s="5"/>
      <c r="C63" s="5"/>
      <c r="D63" s="5"/>
      <c r="E63" s="5"/>
      <c r="F63" s="5"/>
      <c r="G63" s="5"/>
      <c r="H63" s="5"/>
      <c r="I63" s="5"/>
      <c r="J63" s="5"/>
      <c r="K63" s="5"/>
      <c r="L63" s="5"/>
      <c r="M63" s="5"/>
      <c r="N63" s="5"/>
      <c r="O63" s="5"/>
      <c r="P63" s="5"/>
      <c r="Q63" s="5"/>
      <c r="R63" s="5"/>
      <c r="S63" s="5"/>
      <c r="T63" s="5"/>
      <c r="U63" s="5"/>
      <c r="V63" s="5"/>
      <c r="W63" s="5"/>
      <c r="X63" s="5"/>
      <c r="Y63" s="5"/>
    </row>
    <row r="64" spans="1:25" ht="12.75" customHeight="1" x14ac:dyDescent="0.25">
      <c r="A64" s="5"/>
      <c r="B64" s="5"/>
      <c r="C64" s="5"/>
      <c r="D64" s="5"/>
      <c r="E64" s="5"/>
      <c r="F64" s="5"/>
      <c r="G64" s="5"/>
      <c r="H64" s="5"/>
      <c r="I64" s="5"/>
      <c r="J64" s="5"/>
      <c r="K64" s="5"/>
      <c r="L64" s="5"/>
      <c r="M64" s="5"/>
      <c r="N64" s="5"/>
      <c r="O64" s="5"/>
      <c r="P64" s="5"/>
      <c r="Q64" s="5"/>
      <c r="R64" s="5"/>
      <c r="S64" s="5"/>
      <c r="T64" s="5"/>
      <c r="U64" s="5"/>
      <c r="V64" s="5"/>
      <c r="W64" s="5"/>
      <c r="X64" s="5"/>
      <c r="Y64" s="5"/>
    </row>
    <row r="65" spans="1:25" ht="12.75" customHeight="1" x14ac:dyDescent="0.25">
      <c r="A65" s="29"/>
      <c r="B65" s="30" t="s">
        <v>61</v>
      </c>
      <c r="C65" s="31">
        <v>44616</v>
      </c>
      <c r="D65" s="5"/>
      <c r="E65" s="5"/>
      <c r="F65" s="5"/>
      <c r="G65" s="5"/>
      <c r="H65" s="5"/>
      <c r="I65" s="5"/>
      <c r="J65" s="5"/>
      <c r="K65" s="5"/>
      <c r="L65" s="5"/>
      <c r="M65" s="5"/>
      <c r="N65" s="5"/>
      <c r="O65" s="5"/>
      <c r="P65" s="5"/>
      <c r="Q65" s="5"/>
      <c r="R65" s="5"/>
      <c r="S65" s="5"/>
      <c r="T65" s="5"/>
      <c r="U65" s="5"/>
      <c r="V65" s="5"/>
      <c r="W65" s="5"/>
      <c r="X65" s="5"/>
      <c r="Y65" s="5"/>
    </row>
    <row r="66" spans="1:25" ht="12.75" customHeight="1" x14ac:dyDescent="0.25">
      <c r="A66" s="372" t="s">
        <v>58</v>
      </c>
      <c r="B66" s="373"/>
      <c r="C66" s="32" t="s">
        <v>59</v>
      </c>
      <c r="D66" s="5"/>
      <c r="E66" s="5"/>
      <c r="F66" s="5"/>
      <c r="G66" s="5"/>
      <c r="H66" s="5"/>
      <c r="I66" s="5"/>
      <c r="J66" s="5"/>
      <c r="K66" s="5"/>
      <c r="L66" s="5"/>
      <c r="M66" s="5"/>
      <c r="N66" s="5"/>
      <c r="O66" s="5"/>
      <c r="P66" s="5"/>
      <c r="Q66" s="5"/>
      <c r="R66" s="5"/>
      <c r="S66" s="5"/>
      <c r="T66" s="5"/>
      <c r="U66" s="5"/>
      <c r="V66" s="5"/>
      <c r="W66" s="5"/>
      <c r="X66" s="5"/>
      <c r="Y66" s="5"/>
    </row>
    <row r="67" spans="1:25" ht="12.75" customHeight="1" x14ac:dyDescent="0.25">
      <c r="A67" s="5"/>
      <c r="B67" s="5"/>
      <c r="C67" s="34"/>
      <c r="D67" s="34"/>
      <c r="E67" s="5"/>
      <c r="F67" s="5"/>
      <c r="G67" s="5"/>
      <c r="H67" s="5"/>
      <c r="I67" s="5"/>
      <c r="J67" s="5"/>
      <c r="K67" s="5"/>
      <c r="L67" s="5"/>
      <c r="M67" s="5"/>
      <c r="N67" s="5"/>
      <c r="O67" s="5"/>
      <c r="P67" s="5"/>
      <c r="Q67" s="5"/>
      <c r="R67" s="5"/>
      <c r="S67" s="5"/>
      <c r="T67" s="5"/>
      <c r="U67" s="5"/>
      <c r="V67" s="5"/>
      <c r="W67" s="5"/>
      <c r="X67" s="5"/>
      <c r="Y67" s="5"/>
    </row>
    <row r="68" spans="1:25" ht="12.75" customHeight="1" x14ac:dyDescent="0.25">
      <c r="A68" s="5"/>
      <c r="B68" s="5"/>
      <c r="C68" s="5"/>
      <c r="D68" s="5"/>
      <c r="E68" s="5"/>
      <c r="F68" s="5"/>
      <c r="G68" s="5"/>
      <c r="H68" s="5"/>
      <c r="I68" s="5"/>
      <c r="J68" s="5"/>
      <c r="K68" s="5"/>
      <c r="L68" s="5"/>
      <c r="M68" s="5"/>
      <c r="N68" s="5"/>
      <c r="O68" s="5"/>
      <c r="P68" s="5"/>
      <c r="Q68" s="5"/>
      <c r="R68" s="5"/>
      <c r="S68" s="5"/>
      <c r="T68" s="5"/>
      <c r="U68" s="5"/>
      <c r="V68" s="5"/>
      <c r="W68" s="5"/>
      <c r="X68" s="5"/>
      <c r="Y68" s="5"/>
    </row>
    <row r="69" spans="1:25" ht="12.75" customHeight="1" x14ac:dyDescent="0.25">
      <c r="A69" s="5"/>
      <c r="B69" s="5"/>
      <c r="C69" s="5"/>
      <c r="D69" s="5"/>
      <c r="E69" s="5"/>
      <c r="F69" s="5"/>
      <c r="G69" s="5"/>
      <c r="H69" s="5"/>
      <c r="I69" s="5"/>
      <c r="J69" s="5"/>
      <c r="K69" s="5"/>
      <c r="L69" s="5"/>
      <c r="M69" s="5"/>
      <c r="N69" s="5"/>
      <c r="O69" s="5"/>
      <c r="P69" s="5"/>
      <c r="Q69" s="5"/>
      <c r="R69" s="5"/>
      <c r="S69" s="5"/>
      <c r="T69" s="5"/>
      <c r="U69" s="5"/>
      <c r="V69" s="5"/>
      <c r="W69" s="5"/>
      <c r="X69" s="5"/>
      <c r="Y69" s="5"/>
    </row>
    <row r="70" spans="1:25" ht="12.75" customHeight="1" x14ac:dyDescent="0.25">
      <c r="A70" s="5"/>
      <c r="B70" s="5"/>
      <c r="C70" s="5"/>
      <c r="D70" s="5"/>
      <c r="E70" s="5"/>
      <c r="F70" s="5"/>
      <c r="G70" s="5"/>
      <c r="H70" s="5"/>
      <c r="I70" s="5"/>
      <c r="J70" s="5"/>
      <c r="K70" s="5"/>
      <c r="L70" s="5"/>
      <c r="M70" s="5"/>
      <c r="N70" s="5"/>
      <c r="O70" s="5"/>
      <c r="P70" s="5"/>
      <c r="Q70" s="5"/>
      <c r="R70" s="5"/>
      <c r="S70" s="5"/>
      <c r="T70" s="5"/>
      <c r="U70" s="5"/>
      <c r="V70" s="5"/>
      <c r="W70" s="5"/>
      <c r="X70" s="5"/>
      <c r="Y70" s="5"/>
    </row>
    <row r="71" spans="1:25" ht="12.75" customHeight="1" x14ac:dyDescent="0.25">
      <c r="A71" s="5"/>
      <c r="B71" s="5"/>
      <c r="C71" s="5"/>
      <c r="D71" s="5"/>
      <c r="E71" s="5"/>
      <c r="F71" s="5"/>
      <c r="G71" s="5"/>
      <c r="H71" s="5"/>
      <c r="I71" s="5"/>
      <c r="J71" s="5"/>
      <c r="K71" s="5"/>
      <c r="L71" s="5"/>
      <c r="M71" s="5"/>
      <c r="N71" s="5"/>
      <c r="O71" s="5"/>
      <c r="P71" s="5"/>
      <c r="Q71" s="5"/>
      <c r="R71" s="5"/>
      <c r="S71" s="5"/>
      <c r="T71" s="5"/>
      <c r="U71" s="5"/>
      <c r="V71" s="5"/>
      <c r="W71" s="5"/>
      <c r="X71" s="5"/>
      <c r="Y71" s="5"/>
    </row>
    <row r="72" spans="1:25" ht="12.75" customHeight="1" x14ac:dyDescent="0.25">
      <c r="A72" s="5"/>
      <c r="B72" s="5"/>
      <c r="C72" s="5"/>
      <c r="D72" s="5"/>
      <c r="E72" s="5"/>
      <c r="F72" s="5"/>
      <c r="G72" s="5"/>
      <c r="H72" s="5"/>
      <c r="I72" s="5"/>
      <c r="J72" s="5"/>
      <c r="K72" s="5"/>
      <c r="L72" s="5"/>
      <c r="M72" s="5"/>
      <c r="N72" s="5"/>
      <c r="O72" s="5"/>
      <c r="P72" s="5"/>
      <c r="Q72" s="5"/>
      <c r="R72" s="5"/>
      <c r="S72" s="5"/>
      <c r="T72" s="5"/>
      <c r="U72" s="5"/>
      <c r="V72" s="5"/>
      <c r="W72" s="5"/>
      <c r="X72" s="5"/>
      <c r="Y72" s="5"/>
    </row>
    <row r="73" spans="1:25" ht="12.75" customHeight="1" x14ac:dyDescent="0.25">
      <c r="A73" s="5"/>
      <c r="B73" s="5"/>
      <c r="C73" s="5"/>
      <c r="D73" s="5"/>
      <c r="E73" s="5"/>
      <c r="F73" s="5"/>
      <c r="G73" s="5"/>
      <c r="H73" s="5"/>
      <c r="I73" s="5"/>
      <c r="J73" s="5"/>
      <c r="K73" s="5"/>
      <c r="L73" s="5"/>
      <c r="M73" s="5"/>
      <c r="N73" s="5"/>
      <c r="O73" s="5"/>
      <c r="P73" s="5"/>
      <c r="Q73" s="5"/>
      <c r="R73" s="5"/>
      <c r="S73" s="5"/>
      <c r="T73" s="5"/>
      <c r="U73" s="5"/>
      <c r="V73" s="5"/>
      <c r="W73" s="5"/>
      <c r="X73" s="5"/>
      <c r="Y73" s="5"/>
    </row>
    <row r="74" spans="1:25" ht="12.75" customHeight="1" x14ac:dyDescent="0.25">
      <c r="A74" s="5"/>
      <c r="B74" s="5"/>
      <c r="C74" s="5"/>
      <c r="D74" s="5"/>
      <c r="E74" s="5"/>
      <c r="F74" s="5"/>
      <c r="G74" s="5"/>
      <c r="H74" s="5"/>
      <c r="I74" s="5"/>
      <c r="J74" s="5"/>
      <c r="K74" s="5"/>
      <c r="L74" s="5"/>
      <c r="M74" s="5"/>
      <c r="N74" s="5"/>
      <c r="O74" s="5"/>
      <c r="P74" s="5"/>
      <c r="Q74" s="5"/>
      <c r="R74" s="5"/>
      <c r="S74" s="5"/>
      <c r="T74" s="5"/>
      <c r="U74" s="5"/>
      <c r="V74" s="5"/>
      <c r="W74" s="5"/>
      <c r="X74" s="5"/>
      <c r="Y74" s="5"/>
    </row>
    <row r="75" spans="1:25" ht="12.75" customHeight="1" x14ac:dyDescent="0.25">
      <c r="A75" s="5"/>
      <c r="B75" s="5"/>
      <c r="C75" s="5"/>
      <c r="D75" s="5"/>
      <c r="E75" s="5"/>
      <c r="F75" s="5"/>
      <c r="G75" s="5"/>
      <c r="H75" s="5"/>
      <c r="I75" s="5"/>
      <c r="J75" s="5"/>
      <c r="K75" s="5"/>
      <c r="L75" s="5"/>
      <c r="M75" s="5"/>
      <c r="N75" s="5"/>
      <c r="O75" s="5"/>
      <c r="P75" s="5"/>
      <c r="Q75" s="5"/>
      <c r="R75" s="5"/>
      <c r="S75" s="5"/>
      <c r="T75" s="5"/>
      <c r="U75" s="5"/>
      <c r="V75" s="5"/>
      <c r="W75" s="5"/>
      <c r="X75" s="5"/>
      <c r="Y75" s="5"/>
    </row>
    <row r="76" spans="1:25" ht="12.75" customHeight="1" x14ac:dyDescent="0.25">
      <c r="A76" s="5"/>
      <c r="B76" s="5"/>
      <c r="C76" s="5"/>
      <c r="D76" s="5"/>
      <c r="E76" s="5"/>
      <c r="F76" s="5"/>
      <c r="G76" s="5"/>
      <c r="H76" s="5"/>
      <c r="I76" s="5"/>
      <c r="J76" s="5"/>
      <c r="K76" s="5"/>
      <c r="L76" s="5"/>
      <c r="M76" s="5"/>
      <c r="N76" s="5"/>
      <c r="O76" s="5"/>
      <c r="P76" s="5"/>
      <c r="Q76" s="5"/>
      <c r="R76" s="5"/>
      <c r="S76" s="5"/>
      <c r="T76" s="5"/>
      <c r="U76" s="5"/>
      <c r="V76" s="5"/>
      <c r="W76" s="5"/>
      <c r="X76" s="5"/>
      <c r="Y76" s="5"/>
    </row>
    <row r="77" spans="1:25" ht="12.75" customHeight="1" x14ac:dyDescent="0.25">
      <c r="A77" s="5"/>
      <c r="B77" s="5"/>
      <c r="C77" s="5"/>
      <c r="D77" s="5"/>
      <c r="E77" s="5"/>
      <c r="F77" s="5"/>
      <c r="G77" s="5"/>
      <c r="H77" s="5"/>
      <c r="I77" s="5"/>
      <c r="J77" s="5"/>
      <c r="K77" s="5"/>
      <c r="L77" s="5"/>
      <c r="M77" s="5"/>
      <c r="N77" s="5"/>
      <c r="O77" s="5"/>
      <c r="P77" s="5"/>
      <c r="Q77" s="5"/>
      <c r="R77" s="5"/>
      <c r="S77" s="5"/>
      <c r="T77" s="5"/>
      <c r="U77" s="5"/>
      <c r="V77" s="5"/>
      <c r="W77" s="5"/>
      <c r="X77" s="5"/>
      <c r="Y77" s="5"/>
    </row>
    <row r="78" spans="1:25" ht="12.75" customHeight="1" x14ac:dyDescent="0.25">
      <c r="A78" s="5"/>
      <c r="B78" s="5"/>
      <c r="C78" s="5"/>
      <c r="D78" s="5"/>
      <c r="E78" s="5"/>
      <c r="F78" s="5"/>
      <c r="G78" s="5"/>
      <c r="H78" s="5"/>
      <c r="I78" s="5"/>
      <c r="J78" s="5"/>
      <c r="K78" s="5"/>
      <c r="L78" s="5"/>
      <c r="M78" s="5"/>
      <c r="N78" s="5"/>
      <c r="O78" s="5"/>
      <c r="P78" s="5"/>
      <c r="Q78" s="5"/>
      <c r="R78" s="5"/>
      <c r="S78" s="5"/>
      <c r="T78" s="5"/>
      <c r="U78" s="5"/>
      <c r="V78" s="5"/>
      <c r="W78" s="5"/>
      <c r="X78" s="5"/>
      <c r="Y78" s="5"/>
    </row>
    <row r="79" spans="1:25" ht="12.75" customHeight="1" x14ac:dyDescent="0.25">
      <c r="A79" s="5"/>
      <c r="B79" s="5"/>
      <c r="C79" s="5"/>
      <c r="D79" s="5"/>
      <c r="E79" s="5"/>
      <c r="F79" s="5"/>
      <c r="G79" s="5"/>
      <c r="H79" s="5"/>
      <c r="I79" s="5"/>
      <c r="J79" s="5"/>
      <c r="K79" s="5"/>
      <c r="L79" s="5"/>
      <c r="M79" s="5"/>
      <c r="N79" s="5"/>
      <c r="O79" s="5"/>
      <c r="P79" s="5"/>
      <c r="Q79" s="5"/>
      <c r="R79" s="5"/>
      <c r="S79" s="5"/>
      <c r="T79" s="5"/>
      <c r="U79" s="5"/>
      <c r="V79" s="5"/>
      <c r="W79" s="5"/>
      <c r="X79" s="5"/>
      <c r="Y79" s="5"/>
    </row>
    <row r="80" spans="1:25" ht="12.75" customHeight="1" x14ac:dyDescent="0.25">
      <c r="A80" s="5"/>
      <c r="B80" s="5"/>
      <c r="C80" s="5"/>
      <c r="D80" s="5"/>
      <c r="E80" s="5"/>
      <c r="F80" s="5"/>
      <c r="G80" s="5"/>
      <c r="H80" s="5"/>
      <c r="I80" s="5"/>
      <c r="J80" s="5"/>
      <c r="K80" s="5"/>
      <c r="L80" s="5"/>
      <c r="M80" s="5"/>
      <c r="N80" s="5"/>
      <c r="O80" s="5"/>
      <c r="P80" s="5"/>
      <c r="Q80" s="5"/>
      <c r="R80" s="5"/>
      <c r="S80" s="5"/>
      <c r="T80" s="5"/>
      <c r="U80" s="5"/>
      <c r="V80" s="5"/>
      <c r="W80" s="5"/>
      <c r="X80" s="5"/>
      <c r="Y80" s="5"/>
    </row>
    <row r="81" spans="1:25" ht="12.75" customHeight="1" x14ac:dyDescent="0.25">
      <c r="A81" s="5"/>
      <c r="B81" s="5"/>
      <c r="C81" s="5"/>
      <c r="D81" s="5"/>
      <c r="E81" s="5"/>
      <c r="F81" s="5"/>
      <c r="G81" s="5"/>
      <c r="H81" s="5"/>
      <c r="I81" s="5"/>
      <c r="J81" s="5"/>
      <c r="K81" s="5"/>
      <c r="L81" s="5"/>
      <c r="M81" s="5"/>
      <c r="N81" s="5"/>
      <c r="O81" s="5"/>
      <c r="P81" s="5"/>
      <c r="Q81" s="5"/>
      <c r="R81" s="5"/>
      <c r="S81" s="5"/>
      <c r="T81" s="5"/>
      <c r="U81" s="5"/>
      <c r="V81" s="5"/>
      <c r="W81" s="5"/>
      <c r="X81" s="5"/>
      <c r="Y81" s="5"/>
    </row>
    <row r="82" spans="1:25" ht="12.75" customHeight="1" x14ac:dyDescent="0.25">
      <c r="A82" s="5"/>
      <c r="B82" s="5"/>
      <c r="C82" s="5"/>
      <c r="D82" s="5"/>
      <c r="E82" s="5"/>
      <c r="F82" s="5"/>
      <c r="G82" s="5"/>
      <c r="H82" s="5"/>
      <c r="I82" s="5"/>
      <c r="J82" s="5"/>
      <c r="K82" s="5"/>
      <c r="L82" s="5"/>
      <c r="M82" s="5"/>
      <c r="N82" s="5"/>
      <c r="O82" s="5"/>
      <c r="P82" s="5"/>
      <c r="Q82" s="5"/>
      <c r="R82" s="5"/>
      <c r="S82" s="5"/>
      <c r="T82" s="5"/>
      <c r="U82" s="5"/>
      <c r="V82" s="5"/>
      <c r="W82" s="5"/>
      <c r="X82" s="5"/>
      <c r="Y82" s="5"/>
    </row>
    <row r="83" spans="1:25" ht="12.75" customHeight="1" x14ac:dyDescent="0.25">
      <c r="A83" s="5"/>
      <c r="B83" s="5"/>
      <c r="C83" s="5"/>
      <c r="D83" s="5"/>
      <c r="E83" s="5"/>
      <c r="F83" s="5"/>
      <c r="G83" s="5"/>
      <c r="H83" s="5"/>
      <c r="I83" s="5"/>
      <c r="J83" s="5"/>
      <c r="K83" s="5"/>
      <c r="L83" s="5"/>
      <c r="M83" s="5"/>
      <c r="N83" s="5"/>
      <c r="O83" s="5"/>
      <c r="P83" s="5"/>
      <c r="Q83" s="5"/>
      <c r="R83" s="5"/>
      <c r="S83" s="5"/>
      <c r="T83" s="5"/>
      <c r="U83" s="5"/>
      <c r="V83" s="5"/>
      <c r="W83" s="5"/>
      <c r="X83" s="5"/>
      <c r="Y83" s="5"/>
    </row>
    <row r="84" spans="1:25" ht="12.75" customHeight="1" x14ac:dyDescent="0.25">
      <c r="A84" s="5"/>
      <c r="B84" s="5"/>
      <c r="C84" s="5"/>
      <c r="D84" s="5"/>
      <c r="E84" s="5"/>
      <c r="F84" s="5"/>
      <c r="G84" s="5"/>
      <c r="H84" s="5"/>
      <c r="I84" s="5"/>
      <c r="J84" s="5"/>
      <c r="K84" s="5"/>
      <c r="L84" s="5"/>
      <c r="M84" s="5"/>
      <c r="N84" s="5"/>
      <c r="O84" s="5"/>
      <c r="P84" s="5"/>
      <c r="Q84" s="5"/>
      <c r="R84" s="5"/>
      <c r="S84" s="5"/>
      <c r="T84" s="5"/>
      <c r="U84" s="5"/>
      <c r="V84" s="5"/>
      <c r="W84" s="5"/>
      <c r="X84" s="5"/>
      <c r="Y84" s="5"/>
    </row>
    <row r="85" spans="1:25" ht="12.75" customHeight="1" x14ac:dyDescent="0.25">
      <c r="A85" s="5"/>
      <c r="B85" s="5"/>
      <c r="C85" s="5"/>
      <c r="D85" s="5"/>
      <c r="E85" s="5"/>
      <c r="F85" s="5"/>
      <c r="G85" s="5"/>
      <c r="H85" s="5"/>
      <c r="I85" s="5"/>
      <c r="J85" s="5"/>
      <c r="K85" s="5"/>
      <c r="L85" s="5"/>
      <c r="M85" s="5"/>
      <c r="N85" s="5"/>
      <c r="O85" s="5"/>
      <c r="P85" s="5"/>
      <c r="Q85" s="5"/>
      <c r="R85" s="5"/>
      <c r="S85" s="5"/>
      <c r="T85" s="5"/>
      <c r="U85" s="5"/>
      <c r="V85" s="5"/>
      <c r="W85" s="5"/>
      <c r="X85" s="5"/>
      <c r="Y85" s="5"/>
    </row>
    <row r="86" spans="1:25" ht="12.75" customHeight="1" x14ac:dyDescent="0.25">
      <c r="A86" s="5"/>
      <c r="B86" s="5"/>
      <c r="C86" s="5"/>
      <c r="D86" s="5"/>
      <c r="E86" s="5"/>
      <c r="F86" s="5"/>
      <c r="G86" s="5"/>
      <c r="H86" s="5"/>
      <c r="I86" s="5"/>
      <c r="J86" s="5"/>
      <c r="K86" s="5"/>
      <c r="L86" s="5"/>
      <c r="M86" s="5"/>
      <c r="N86" s="5"/>
      <c r="O86" s="5"/>
      <c r="P86" s="5"/>
      <c r="Q86" s="5"/>
      <c r="R86" s="5"/>
      <c r="S86" s="5"/>
      <c r="T86" s="5"/>
      <c r="U86" s="5"/>
      <c r="V86" s="5"/>
      <c r="W86" s="5"/>
      <c r="X86" s="5"/>
      <c r="Y86" s="5"/>
    </row>
    <row r="87" spans="1:25" ht="12.75" customHeight="1" x14ac:dyDescent="0.25">
      <c r="A87" s="5"/>
      <c r="B87" s="5"/>
      <c r="C87" s="5"/>
      <c r="D87" s="5"/>
      <c r="E87" s="5"/>
      <c r="F87" s="5"/>
      <c r="G87" s="5"/>
      <c r="H87" s="5"/>
      <c r="I87" s="5"/>
      <c r="J87" s="5"/>
      <c r="K87" s="5"/>
      <c r="L87" s="5"/>
      <c r="M87" s="5"/>
      <c r="N87" s="5"/>
      <c r="O87" s="5"/>
      <c r="P87" s="5"/>
      <c r="Q87" s="5"/>
      <c r="R87" s="5"/>
      <c r="S87" s="5"/>
      <c r="T87" s="5"/>
      <c r="U87" s="5"/>
      <c r="V87" s="5"/>
      <c r="W87" s="5"/>
      <c r="X87" s="5"/>
      <c r="Y87" s="5"/>
    </row>
    <row r="88" spans="1:25" ht="12.75" customHeight="1" x14ac:dyDescent="0.25">
      <c r="A88" s="5"/>
      <c r="B88" s="5"/>
      <c r="C88" s="5"/>
      <c r="D88" s="5"/>
      <c r="E88" s="5"/>
      <c r="F88" s="5"/>
      <c r="G88" s="5"/>
      <c r="H88" s="5"/>
      <c r="I88" s="5"/>
      <c r="J88" s="5"/>
      <c r="K88" s="5"/>
      <c r="L88" s="5"/>
      <c r="M88" s="5"/>
      <c r="N88" s="5"/>
      <c r="O88" s="5"/>
      <c r="P88" s="5"/>
      <c r="Q88" s="5"/>
      <c r="R88" s="5"/>
      <c r="S88" s="5"/>
      <c r="T88" s="5"/>
      <c r="U88" s="5"/>
      <c r="V88" s="5"/>
      <c r="W88" s="5"/>
      <c r="X88" s="5"/>
      <c r="Y88" s="5"/>
    </row>
    <row r="89" spans="1:25" ht="12.75" customHeight="1" x14ac:dyDescent="0.25">
      <c r="A89" s="5"/>
      <c r="B89" s="5"/>
      <c r="C89" s="5"/>
      <c r="D89" s="5"/>
      <c r="E89" s="5"/>
      <c r="F89" s="5"/>
      <c r="G89" s="5"/>
      <c r="H89" s="5"/>
      <c r="I89" s="5"/>
      <c r="J89" s="5"/>
      <c r="K89" s="5"/>
      <c r="L89" s="5"/>
      <c r="M89" s="5"/>
      <c r="N89" s="5"/>
      <c r="O89" s="5"/>
      <c r="P89" s="5"/>
      <c r="Q89" s="5"/>
      <c r="R89" s="5"/>
      <c r="S89" s="5"/>
      <c r="T89" s="5"/>
      <c r="U89" s="5"/>
      <c r="V89" s="5"/>
      <c r="W89" s="5"/>
      <c r="X89" s="5"/>
      <c r="Y89" s="5"/>
    </row>
    <row r="90" spans="1:25" ht="12.75" customHeight="1" x14ac:dyDescent="0.25">
      <c r="A90" s="5"/>
      <c r="B90" s="5"/>
      <c r="C90" s="5"/>
      <c r="D90" s="5"/>
      <c r="E90" s="5"/>
      <c r="F90" s="5"/>
      <c r="G90" s="5"/>
      <c r="H90" s="5"/>
      <c r="I90" s="5"/>
      <c r="J90" s="5"/>
      <c r="K90" s="5"/>
      <c r="L90" s="5"/>
      <c r="M90" s="5"/>
      <c r="N90" s="5"/>
      <c r="O90" s="5"/>
      <c r="P90" s="5"/>
      <c r="Q90" s="5"/>
      <c r="R90" s="5"/>
      <c r="S90" s="5"/>
      <c r="T90" s="5"/>
      <c r="U90" s="5"/>
      <c r="V90" s="5"/>
      <c r="W90" s="5"/>
      <c r="X90" s="5"/>
      <c r="Y90" s="5"/>
    </row>
    <row r="91" spans="1:25" ht="12.75" customHeight="1" x14ac:dyDescent="0.25">
      <c r="A91" s="5"/>
      <c r="B91" s="5"/>
      <c r="C91" s="5"/>
      <c r="D91" s="5"/>
      <c r="E91" s="5"/>
      <c r="F91" s="5"/>
      <c r="G91" s="5"/>
      <c r="H91" s="5"/>
      <c r="I91" s="5"/>
      <c r="J91" s="5"/>
      <c r="K91" s="5"/>
      <c r="L91" s="5"/>
      <c r="M91" s="5"/>
      <c r="N91" s="5"/>
      <c r="O91" s="5"/>
      <c r="P91" s="5"/>
      <c r="Q91" s="5"/>
      <c r="R91" s="5"/>
      <c r="S91" s="5"/>
      <c r="T91" s="5"/>
      <c r="U91" s="5"/>
      <c r="V91" s="5"/>
      <c r="W91" s="5"/>
      <c r="X91" s="5"/>
      <c r="Y91" s="5"/>
    </row>
    <row r="92" spans="1:25" ht="12.75" customHeight="1" x14ac:dyDescent="0.25">
      <c r="A92" s="5"/>
      <c r="B92" s="5"/>
      <c r="C92" s="5"/>
      <c r="D92" s="5"/>
      <c r="E92" s="5"/>
      <c r="F92" s="5"/>
      <c r="G92" s="5"/>
      <c r="H92" s="5"/>
      <c r="I92" s="5"/>
      <c r="J92" s="5"/>
      <c r="K92" s="5"/>
      <c r="L92" s="5"/>
      <c r="M92" s="5"/>
      <c r="N92" s="5"/>
      <c r="O92" s="5"/>
      <c r="P92" s="5"/>
      <c r="Q92" s="5"/>
      <c r="R92" s="5"/>
      <c r="S92" s="5"/>
      <c r="T92" s="5"/>
      <c r="U92" s="5"/>
      <c r="V92" s="5"/>
      <c r="W92" s="5"/>
      <c r="X92" s="5"/>
      <c r="Y92" s="5"/>
    </row>
    <row r="93" spans="1:25" ht="12.75" customHeight="1" x14ac:dyDescent="0.25">
      <c r="A93" s="5"/>
      <c r="B93" s="5"/>
      <c r="C93" s="5"/>
      <c r="D93" s="5"/>
      <c r="E93" s="5"/>
      <c r="F93" s="5"/>
      <c r="G93" s="5"/>
      <c r="H93" s="5"/>
      <c r="I93" s="5"/>
      <c r="J93" s="5"/>
      <c r="K93" s="5"/>
      <c r="L93" s="5"/>
      <c r="M93" s="5"/>
      <c r="N93" s="5"/>
      <c r="O93" s="5"/>
      <c r="P93" s="5"/>
      <c r="Q93" s="5"/>
      <c r="R93" s="5"/>
      <c r="S93" s="5"/>
      <c r="T93" s="5"/>
      <c r="U93" s="5"/>
      <c r="V93" s="5"/>
      <c r="W93" s="5"/>
      <c r="X93" s="5"/>
      <c r="Y93" s="5"/>
    </row>
    <row r="94" spans="1:25" ht="12.75" customHeight="1" x14ac:dyDescent="0.25">
      <c r="A94" s="5"/>
      <c r="B94" s="5"/>
      <c r="C94" s="5"/>
      <c r="D94" s="5"/>
      <c r="E94" s="5"/>
      <c r="F94" s="5"/>
      <c r="G94" s="5"/>
      <c r="H94" s="5"/>
      <c r="I94" s="5"/>
      <c r="J94" s="5"/>
      <c r="K94" s="5"/>
      <c r="L94" s="5"/>
      <c r="M94" s="5"/>
      <c r="N94" s="5"/>
      <c r="O94" s="5"/>
      <c r="P94" s="5"/>
      <c r="Q94" s="5"/>
      <c r="R94" s="5"/>
      <c r="S94" s="5"/>
      <c r="T94" s="5"/>
      <c r="U94" s="5"/>
      <c r="V94" s="5"/>
      <c r="W94" s="5"/>
      <c r="X94" s="5"/>
      <c r="Y94" s="5"/>
    </row>
    <row r="95" spans="1:25" ht="12.75" customHeight="1" x14ac:dyDescent="0.25">
      <c r="A95" s="5"/>
      <c r="B95" s="5"/>
      <c r="C95" s="5"/>
      <c r="D95" s="5"/>
      <c r="E95" s="5"/>
      <c r="F95" s="5"/>
      <c r="G95" s="5"/>
      <c r="H95" s="5"/>
      <c r="I95" s="5"/>
      <c r="J95" s="5"/>
      <c r="K95" s="5"/>
      <c r="L95" s="5"/>
      <c r="M95" s="5"/>
      <c r="N95" s="5"/>
      <c r="O95" s="5"/>
      <c r="P95" s="5"/>
      <c r="Q95" s="5"/>
      <c r="R95" s="5"/>
      <c r="S95" s="5"/>
      <c r="T95" s="5"/>
      <c r="U95" s="5"/>
      <c r="V95" s="5"/>
      <c r="W95" s="5"/>
      <c r="X95" s="5"/>
      <c r="Y95" s="5"/>
    </row>
    <row r="96" spans="1:25" ht="12.75" customHeight="1" x14ac:dyDescent="0.25">
      <c r="A96" s="5"/>
      <c r="B96" s="5"/>
      <c r="C96" s="5"/>
      <c r="D96" s="5"/>
      <c r="E96" s="5"/>
      <c r="F96" s="5"/>
      <c r="G96" s="5"/>
      <c r="H96" s="5"/>
      <c r="I96" s="5"/>
      <c r="J96" s="5"/>
      <c r="K96" s="5"/>
      <c r="L96" s="5"/>
      <c r="M96" s="5"/>
      <c r="N96" s="5"/>
      <c r="O96" s="5"/>
      <c r="P96" s="5"/>
      <c r="Q96" s="5"/>
      <c r="R96" s="5"/>
      <c r="S96" s="5"/>
      <c r="T96" s="5"/>
      <c r="U96" s="5"/>
      <c r="V96" s="5"/>
      <c r="W96" s="5"/>
      <c r="X96" s="5"/>
      <c r="Y96" s="5"/>
    </row>
    <row r="97" spans="1:25" ht="12.75" customHeight="1" x14ac:dyDescent="0.25">
      <c r="A97" s="5"/>
      <c r="B97" s="5"/>
      <c r="C97" s="5"/>
      <c r="D97" s="5"/>
      <c r="E97" s="5"/>
      <c r="F97" s="5"/>
      <c r="G97" s="5"/>
      <c r="H97" s="5"/>
      <c r="I97" s="5"/>
      <c r="J97" s="5"/>
      <c r="K97" s="5"/>
      <c r="L97" s="5"/>
      <c r="M97" s="5"/>
      <c r="N97" s="5"/>
      <c r="O97" s="5"/>
      <c r="P97" s="5"/>
      <c r="Q97" s="5"/>
      <c r="R97" s="5"/>
      <c r="S97" s="5"/>
      <c r="T97" s="5"/>
      <c r="U97" s="5"/>
      <c r="V97" s="5"/>
      <c r="W97" s="5"/>
      <c r="X97" s="5"/>
      <c r="Y97" s="5"/>
    </row>
    <row r="98" spans="1:25" ht="12.75" customHeight="1" x14ac:dyDescent="0.25">
      <c r="A98" s="5"/>
      <c r="B98" s="5"/>
      <c r="C98" s="5"/>
      <c r="D98" s="5"/>
      <c r="E98" s="5"/>
      <c r="F98" s="5"/>
      <c r="G98" s="5"/>
      <c r="H98" s="5"/>
      <c r="I98" s="5"/>
      <c r="J98" s="5"/>
      <c r="K98" s="5"/>
      <c r="L98" s="5"/>
      <c r="M98" s="5"/>
      <c r="N98" s="5"/>
      <c r="O98" s="5"/>
      <c r="P98" s="5"/>
      <c r="Q98" s="5"/>
      <c r="R98" s="5"/>
      <c r="S98" s="5"/>
      <c r="T98" s="5"/>
      <c r="U98" s="5"/>
      <c r="V98" s="5"/>
      <c r="W98" s="5"/>
      <c r="X98" s="5"/>
      <c r="Y98" s="5"/>
    </row>
    <row r="99" spans="1:25" ht="12.75" customHeight="1" x14ac:dyDescent="0.25">
      <c r="A99" s="5"/>
      <c r="B99" s="5"/>
      <c r="C99" s="5"/>
      <c r="D99" s="5"/>
      <c r="E99" s="5"/>
      <c r="F99" s="5"/>
      <c r="G99" s="5"/>
      <c r="H99" s="5"/>
      <c r="I99" s="5"/>
      <c r="J99" s="5"/>
      <c r="K99" s="5"/>
      <c r="L99" s="5"/>
      <c r="M99" s="5"/>
      <c r="N99" s="5"/>
      <c r="O99" s="5"/>
      <c r="P99" s="5"/>
      <c r="Q99" s="5"/>
      <c r="R99" s="5"/>
      <c r="S99" s="5"/>
      <c r="T99" s="5"/>
      <c r="U99" s="5"/>
      <c r="V99" s="5"/>
      <c r="W99" s="5"/>
      <c r="X99" s="5"/>
      <c r="Y99" s="5"/>
    </row>
    <row r="100" spans="1:25" ht="12.75" customHeight="1"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row r="101" spans="1:25" ht="12.75" customHeight="1"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row>
    <row r="102" spans="1:25" ht="12.75" customHeight="1"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row>
    <row r="103" spans="1:25" ht="12.75" customHeight="1"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spans="1:25" ht="12.75" customHeight="1"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spans="1:25" ht="12.75" customHeight="1"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spans="1:25" ht="12.75" customHeight="1"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spans="1:25" ht="12.75" customHeight="1"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spans="1:25" ht="12.75" customHeight="1"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spans="1:25" ht="12.75" customHeight="1"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spans="1:25" ht="12.75" customHeight="1"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spans="1:25" ht="12.75" customHeight="1"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spans="1:25" ht="12.75" customHeight="1"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spans="1:25" ht="12.75" customHeight="1"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spans="1:25" ht="12.75" customHeight="1"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spans="1:25" ht="12.75" customHeight="1"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spans="1:25" ht="12.75" customHeight="1"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spans="1:25" ht="12.75" customHeight="1"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spans="1:25" ht="12.75" customHeight="1"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spans="1:25" ht="12.75" customHeight="1"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spans="1:25" ht="12.75" customHeight="1"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spans="1:25" ht="12.75" customHeight="1"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spans="1:25" ht="12.75" customHeight="1"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spans="1:25" ht="12.75" customHeight="1"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spans="1:25" ht="12.75" customHeight="1"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spans="1:25" ht="12.75" customHeight="1"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spans="1:25" ht="12.75" customHeight="1"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spans="1:25" ht="12.75" customHeight="1"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spans="1:25" ht="12.75" customHeight="1"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spans="1:25" ht="12.75" customHeight="1"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spans="1:25" ht="12.75" customHeight="1"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spans="1:25" ht="12.75" customHeight="1"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spans="1:25" ht="12.75" customHeight="1"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spans="1:25" ht="12.75" customHeight="1"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spans="1:25" ht="12.75" customHeight="1"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spans="1:25" ht="12.75" customHeight="1"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spans="1:25" ht="12.75" customHeight="1"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spans="1:25" ht="12.75" customHeight="1"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spans="1:25" ht="12.75" customHeight="1"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spans="1:25" ht="12.75" customHeight="1"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spans="1:25" ht="12.75" customHeight="1"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spans="1:25" ht="12.75" customHeight="1"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spans="1:25" ht="12.75" customHeight="1"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spans="1:25" ht="12.75" customHeight="1"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spans="1:25" ht="12.75" customHeight="1"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spans="1:25" ht="12.75" customHeight="1"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spans="1:25" ht="12.75" customHeight="1"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spans="1:25" ht="12.75" customHeight="1"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spans="1:25" ht="12.75" customHeight="1"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spans="1:25" ht="12.75" customHeight="1"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spans="1:25" ht="12.75" customHeight="1"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spans="1:25" ht="12.75" customHeight="1"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spans="1:25" ht="12.75" customHeight="1"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spans="1:25" ht="12.75" customHeight="1"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spans="1:25" ht="12.75" customHeight="1"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spans="1:25" ht="12.75" customHeight="1"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spans="1:25" ht="12.75" customHeight="1"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spans="1:25" ht="12.75" customHeight="1"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spans="1:25" ht="12.75" customHeight="1"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spans="1:25" ht="12.75" customHeight="1"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spans="1:25" ht="12.75" customHeight="1"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spans="1:25" ht="12.75" customHeight="1"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spans="1:25" ht="12.75" customHeight="1"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spans="1:25" ht="12.75" customHeight="1"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spans="1:25" ht="12.75" customHeight="1"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spans="1:25" ht="12.75" customHeight="1"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spans="1:25" ht="12.75" customHeight="1"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spans="1:25" ht="12.75" customHeight="1"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spans="1:25" ht="12.75" customHeight="1"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spans="1:25" ht="12.75" customHeight="1"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spans="1:25" ht="12.75" customHeight="1"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spans="1:25" ht="12.75" customHeight="1"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spans="1:25" ht="12.75" customHeight="1"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spans="1:25" ht="12.75" customHeight="1"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spans="1:25" ht="12.75" customHeight="1"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spans="1:25" ht="12.75" customHeight="1"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spans="1:25" ht="12.75" customHeight="1"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spans="1:25" ht="12.75" customHeight="1"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spans="1:25" ht="12.75" customHeight="1"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spans="1:25" ht="12.75" customHeight="1"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spans="1:25" ht="12.75" customHeight="1"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spans="1:25" ht="12.75" customHeight="1"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spans="1:25" ht="12.75" customHeight="1"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spans="1:25" ht="12.75" customHeight="1"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spans="1:25" ht="12.75" customHeight="1"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spans="1:25" ht="12.75" customHeight="1"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spans="1:25" ht="12.75" customHeight="1"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spans="1:25" ht="12.75" customHeight="1"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spans="1:25" ht="12.75" customHeight="1"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spans="1:25" ht="12.75" customHeight="1"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spans="1:25" ht="12.75" customHeight="1"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spans="1:25" ht="12.75" customHeight="1"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spans="1:25" ht="12.75" customHeight="1"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spans="1:25" ht="12.75" customHeight="1"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spans="1:25" ht="12.75" customHeight="1"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spans="1:25" ht="12.75" customHeight="1"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spans="1:25" ht="12.75" customHeight="1"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spans="1:25" ht="12.75" customHeight="1"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spans="1:25" ht="12.75" customHeight="1"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spans="1:25" ht="12.75" customHeight="1"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spans="1:25" ht="12.75" customHeight="1"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spans="1:25" ht="12.75" customHeight="1"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spans="1:25" ht="12.75" customHeight="1"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spans="1:25" ht="12.75" customHeight="1"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spans="1:25" ht="12.75" customHeight="1"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spans="1:25" ht="12.75" customHeight="1"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spans="1:25" ht="12.75" customHeight="1"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spans="1:25" ht="12.75" customHeight="1"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spans="1:25" ht="12.75" customHeight="1"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spans="1:25" ht="12.75" customHeight="1"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spans="1:25" ht="12.75" customHeight="1"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spans="1:25" ht="12.75" customHeight="1"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spans="1:25" ht="12.75" customHeight="1"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spans="1:25" ht="12.75" customHeight="1"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spans="1:25" ht="12.75" customHeight="1"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spans="1:25" ht="12.75" customHeight="1"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spans="1:25" ht="12.75" customHeight="1"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spans="1:25" ht="12.75" customHeight="1"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spans="1:25" ht="12.75" customHeight="1"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spans="1:25" ht="12.75" customHeight="1"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spans="1:25" ht="12.75" customHeight="1"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spans="1:25" ht="12.75" customHeight="1"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spans="1:25" ht="12.75" customHeight="1"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spans="1:25" ht="12.75" customHeight="1"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spans="1:25" ht="12.75" customHeight="1"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spans="1:25" ht="12.75" customHeight="1"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spans="1:25" ht="12.75" customHeight="1"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spans="1:25" ht="12.75" customHeight="1"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spans="1:25" ht="12.75" customHeight="1"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spans="1:25" ht="12.75" customHeight="1"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spans="1:25" ht="12.75" customHeight="1"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spans="1:25" ht="12.75" customHeight="1"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spans="1:25" ht="12.75" customHeight="1"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spans="1:25" ht="12.75" customHeight="1"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spans="1:25" ht="12.75" customHeight="1"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spans="1:25" ht="12.75" customHeight="1"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spans="1:25" ht="12.75" customHeight="1"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spans="1:25" ht="12.75" customHeight="1"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spans="1:25" ht="12.75" customHeight="1"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spans="1:25" ht="12.75" customHeight="1"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spans="1:25"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3">
    <mergeCell ref="E13:E14"/>
    <mergeCell ref="A15:D15"/>
    <mergeCell ref="A66:B66"/>
    <mergeCell ref="B6:C6"/>
    <mergeCell ref="A12:B12"/>
    <mergeCell ref="C12:D12"/>
    <mergeCell ref="A13:B14"/>
    <mergeCell ref="C13:D13"/>
    <mergeCell ref="E15:E51"/>
    <mergeCell ref="E53:E55"/>
    <mergeCell ref="C54:D54"/>
    <mergeCell ref="C55:D55"/>
    <mergeCell ref="A60:B60"/>
  </mergeCells>
  <pageMargins left="0.69930555555555596" right="0.41944444444444401" top="0.66" bottom="0.44" header="0" footer="0"/>
  <pageSetup paperSize="14" scale="95" pageOrder="overThenDown"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13" workbookViewId="0">
      <selection activeCell="A38" sqref="A38"/>
    </sheetView>
  </sheetViews>
  <sheetFormatPr defaultColWidth="12.59765625" defaultRowHeight="15" customHeight="1" x14ac:dyDescent="0.25"/>
  <cols>
    <col min="1" max="1" width="2.69921875" customWidth="1"/>
    <col min="2" max="2" width="29.19921875" customWidth="1"/>
    <col min="3" max="3" width="17.3984375" customWidth="1"/>
    <col min="4" max="9" width="7.8984375" customWidth="1"/>
    <col min="10" max="11" width="15" customWidth="1"/>
    <col min="12" max="12" width="21.19921875" customWidth="1"/>
    <col min="13" max="13" width="19.3984375" customWidth="1"/>
    <col min="14" max="26" width="9" customWidth="1"/>
  </cols>
  <sheetData>
    <row r="1" spans="1:26" ht="12.75" customHeight="1" x14ac:dyDescent="0.25">
      <c r="A1" s="1" t="s">
        <v>0</v>
      </c>
      <c r="B1" s="5"/>
      <c r="C1" s="5"/>
      <c r="D1" s="5"/>
      <c r="E1" s="5"/>
      <c r="F1" s="5"/>
      <c r="G1" s="5"/>
      <c r="H1" s="5"/>
      <c r="I1" s="5"/>
      <c r="J1" s="5"/>
      <c r="K1" s="5"/>
      <c r="L1" s="5"/>
      <c r="M1" s="5"/>
      <c r="N1" s="5"/>
      <c r="O1" s="5"/>
      <c r="P1" s="5"/>
      <c r="Q1" s="5"/>
      <c r="R1" s="5"/>
      <c r="S1" s="5"/>
      <c r="T1" s="5"/>
      <c r="U1" s="5"/>
      <c r="V1" s="5"/>
      <c r="W1" s="5"/>
      <c r="X1" s="5"/>
      <c r="Y1" s="5"/>
      <c r="Z1" s="5"/>
    </row>
    <row r="2" spans="1:26" ht="12.75" customHeight="1" x14ac:dyDescent="0.25">
      <c r="A2" s="1" t="s">
        <v>62</v>
      </c>
      <c r="B2" s="5"/>
      <c r="C2" s="5"/>
      <c r="D2" s="5"/>
      <c r="E2" s="5"/>
      <c r="F2" s="5"/>
      <c r="G2" s="5"/>
      <c r="H2" s="5"/>
      <c r="I2" s="5"/>
      <c r="J2" s="5"/>
      <c r="K2" s="5"/>
      <c r="L2" s="5"/>
      <c r="M2" s="5"/>
      <c r="N2" s="5"/>
      <c r="O2" s="5"/>
      <c r="P2" s="5"/>
      <c r="Q2" s="5"/>
      <c r="R2" s="5"/>
      <c r="S2" s="5"/>
      <c r="T2" s="5"/>
      <c r="U2" s="5"/>
      <c r="V2" s="5"/>
      <c r="W2" s="5"/>
      <c r="X2" s="5"/>
      <c r="Y2" s="5"/>
      <c r="Z2" s="5"/>
    </row>
    <row r="3" spans="1:26" ht="12.75" customHeight="1" x14ac:dyDescent="0.25">
      <c r="A3" s="5"/>
      <c r="B3" s="5"/>
      <c r="C3" s="5"/>
      <c r="D3" s="5"/>
      <c r="E3" s="5"/>
      <c r="F3" s="5"/>
      <c r="G3" s="5"/>
      <c r="H3" s="5"/>
      <c r="I3" s="5"/>
      <c r="J3" s="5"/>
      <c r="K3" s="5"/>
      <c r="L3" s="5"/>
      <c r="M3" s="5"/>
      <c r="N3" s="5"/>
      <c r="O3" s="5"/>
      <c r="P3" s="5"/>
      <c r="Q3" s="5"/>
      <c r="R3" s="5"/>
      <c r="S3" s="5"/>
      <c r="T3" s="5"/>
      <c r="U3" s="5"/>
      <c r="V3" s="5"/>
      <c r="W3" s="5"/>
      <c r="X3" s="5"/>
      <c r="Y3" s="5"/>
      <c r="Z3" s="5"/>
    </row>
    <row r="4" spans="1:26" ht="12.75" customHeight="1" x14ac:dyDescent="0.25">
      <c r="A4" s="4"/>
      <c r="B4" s="3" t="s">
        <v>63</v>
      </c>
      <c r="C4" s="5"/>
      <c r="D4" s="5"/>
      <c r="E4" s="5"/>
      <c r="F4" s="5"/>
      <c r="G4" s="5"/>
      <c r="H4" s="5"/>
      <c r="I4" s="5"/>
      <c r="J4" s="5"/>
      <c r="K4" s="5"/>
      <c r="L4" s="5"/>
      <c r="M4" s="5"/>
      <c r="N4" s="5"/>
      <c r="O4" s="5"/>
      <c r="P4" s="5"/>
      <c r="Q4" s="5"/>
      <c r="R4" s="5"/>
      <c r="S4" s="5"/>
      <c r="T4" s="5"/>
      <c r="U4" s="5"/>
      <c r="V4" s="5"/>
      <c r="W4" s="5"/>
      <c r="X4" s="5"/>
      <c r="Y4" s="5"/>
      <c r="Z4" s="5"/>
    </row>
    <row r="5" spans="1:26" ht="12.75" customHeight="1" x14ac:dyDescent="0.25">
      <c r="A5" s="6"/>
      <c r="B5" s="3" t="s">
        <v>64</v>
      </c>
      <c r="C5" s="3"/>
      <c r="D5" s="5"/>
      <c r="E5" s="5"/>
      <c r="F5" s="5"/>
      <c r="G5" s="5"/>
      <c r="H5" s="5"/>
      <c r="I5" s="5"/>
      <c r="J5" s="5"/>
      <c r="K5" s="5"/>
      <c r="L5" s="5"/>
      <c r="M5" s="5"/>
      <c r="N5" s="5"/>
      <c r="O5" s="5"/>
      <c r="P5" s="5"/>
      <c r="Q5" s="5"/>
      <c r="R5" s="5"/>
      <c r="S5" s="5"/>
      <c r="T5" s="5"/>
      <c r="U5" s="5"/>
      <c r="V5" s="5"/>
      <c r="W5" s="5"/>
      <c r="X5" s="5"/>
      <c r="Y5" s="5"/>
      <c r="Z5" s="5"/>
    </row>
    <row r="6" spans="1:26" ht="12.75" customHeight="1" x14ac:dyDescent="0.25">
      <c r="A6" s="6"/>
      <c r="B6" s="3" t="s">
        <v>65</v>
      </c>
      <c r="C6" s="3"/>
      <c r="D6" s="5"/>
      <c r="E6" s="5"/>
      <c r="F6" s="5"/>
      <c r="G6" s="5"/>
      <c r="H6" s="5"/>
      <c r="I6" s="5"/>
      <c r="J6" s="5"/>
      <c r="K6" s="5"/>
      <c r="L6" s="5"/>
      <c r="M6" s="5"/>
      <c r="N6" s="5"/>
      <c r="O6" s="5"/>
      <c r="P6" s="5"/>
      <c r="Q6" s="5"/>
      <c r="R6" s="5"/>
      <c r="S6" s="5"/>
      <c r="T6" s="5"/>
      <c r="U6" s="5"/>
      <c r="V6" s="5"/>
      <c r="W6" s="5"/>
      <c r="X6" s="5"/>
      <c r="Y6" s="5"/>
      <c r="Z6" s="5"/>
    </row>
    <row r="7" spans="1:26" ht="12.75" customHeight="1" x14ac:dyDescent="0.25">
      <c r="A7" s="6"/>
      <c r="B7" s="3" t="s">
        <v>66</v>
      </c>
      <c r="C7" s="3"/>
      <c r="D7" s="5"/>
      <c r="E7" s="5"/>
      <c r="F7" s="5"/>
      <c r="G7" s="5"/>
      <c r="H7" s="5"/>
      <c r="I7" s="5"/>
      <c r="J7" s="5"/>
      <c r="K7" s="5"/>
      <c r="L7" s="5"/>
      <c r="M7" s="5"/>
      <c r="N7" s="5"/>
      <c r="O7" s="5"/>
      <c r="P7" s="5"/>
      <c r="Q7" s="5"/>
      <c r="R7" s="5"/>
      <c r="S7" s="5"/>
      <c r="T7" s="5"/>
      <c r="U7" s="5"/>
      <c r="V7" s="5"/>
      <c r="W7" s="5"/>
      <c r="X7" s="5"/>
      <c r="Y7" s="5"/>
      <c r="Z7" s="5"/>
    </row>
    <row r="8" spans="1:26" ht="12.75" customHeight="1" x14ac:dyDescent="0.25">
      <c r="A8" s="6"/>
      <c r="B8" s="374" t="s">
        <v>67</v>
      </c>
      <c r="C8" s="375"/>
      <c r="D8" s="5"/>
      <c r="E8" s="5"/>
      <c r="F8" s="5"/>
      <c r="G8" s="5"/>
      <c r="H8" s="5"/>
      <c r="I8" s="5"/>
      <c r="J8" s="5"/>
      <c r="K8" s="5"/>
      <c r="L8" s="5"/>
      <c r="M8" s="5"/>
      <c r="N8" s="5"/>
      <c r="O8" s="5"/>
      <c r="P8" s="5"/>
      <c r="Q8" s="5"/>
      <c r="R8" s="5"/>
      <c r="S8" s="5"/>
      <c r="T8" s="5"/>
      <c r="U8" s="5"/>
      <c r="V8" s="5"/>
      <c r="W8" s="5"/>
      <c r="X8" s="5"/>
      <c r="Y8" s="5"/>
      <c r="Z8" s="5"/>
    </row>
    <row r="9" spans="1:26" ht="12.75" customHeight="1" x14ac:dyDescent="0.25">
      <c r="A9" s="9"/>
      <c r="B9" s="9"/>
      <c r="C9" s="9"/>
      <c r="D9" s="9"/>
      <c r="E9" s="9"/>
      <c r="F9" s="9"/>
      <c r="G9" s="9"/>
      <c r="H9" s="9"/>
      <c r="I9" s="9"/>
      <c r="J9" s="9"/>
      <c r="K9" s="9"/>
      <c r="L9" s="35"/>
      <c r="M9" s="35"/>
      <c r="N9" s="9"/>
      <c r="O9" s="9"/>
      <c r="P9" s="9"/>
      <c r="Q9" s="9"/>
      <c r="R9" s="9"/>
      <c r="S9" s="9"/>
      <c r="T9" s="9"/>
      <c r="U9" s="9"/>
      <c r="V9" s="9"/>
      <c r="W9" s="9"/>
      <c r="X9" s="9"/>
      <c r="Y9" s="9"/>
      <c r="Z9" s="9"/>
    </row>
    <row r="10" spans="1:26" ht="12.75" customHeight="1" x14ac:dyDescent="0.25">
      <c r="A10" s="9"/>
      <c r="B10" s="3" t="s">
        <v>68</v>
      </c>
      <c r="C10" s="3" t="s">
        <v>69</v>
      </c>
      <c r="D10" s="9"/>
      <c r="E10" s="9"/>
      <c r="F10" s="9"/>
      <c r="G10" s="9"/>
      <c r="H10" s="9"/>
      <c r="I10" s="9"/>
      <c r="J10" s="9"/>
      <c r="K10" s="9"/>
      <c r="L10" s="35"/>
      <c r="M10" s="35"/>
      <c r="N10" s="9"/>
      <c r="O10" s="9"/>
      <c r="P10" s="9"/>
      <c r="Q10" s="9"/>
      <c r="R10" s="9"/>
      <c r="S10" s="9"/>
      <c r="T10" s="9"/>
      <c r="U10" s="9"/>
      <c r="V10" s="9"/>
      <c r="W10" s="9"/>
      <c r="X10" s="9"/>
      <c r="Y10" s="9"/>
      <c r="Z10" s="9"/>
    </row>
    <row r="11" spans="1:26" ht="12.75" customHeight="1" x14ac:dyDescent="0.25">
      <c r="A11" s="9"/>
      <c r="B11" s="9"/>
      <c r="C11" s="9"/>
      <c r="D11" s="9"/>
      <c r="E11" s="9"/>
      <c r="F11" s="9"/>
      <c r="G11" s="9"/>
      <c r="H11" s="9"/>
      <c r="I11" s="9"/>
      <c r="J11" s="9"/>
      <c r="K11" s="9"/>
      <c r="L11" s="35"/>
      <c r="M11" s="35"/>
      <c r="N11" s="9"/>
      <c r="O11" s="9"/>
      <c r="P11" s="9"/>
      <c r="Q11" s="9"/>
      <c r="R11" s="9"/>
      <c r="S11" s="9"/>
      <c r="T11" s="9"/>
      <c r="U11" s="9"/>
      <c r="V11" s="9"/>
      <c r="W11" s="9"/>
      <c r="X11" s="9"/>
      <c r="Y11" s="9"/>
      <c r="Z11" s="9"/>
    </row>
    <row r="12" spans="1:26" ht="12.75" customHeight="1" x14ac:dyDescent="0.25">
      <c r="A12" s="9"/>
      <c r="B12" s="9"/>
      <c r="C12" s="9"/>
      <c r="D12" s="9"/>
      <c r="E12" s="9"/>
      <c r="F12" s="9"/>
      <c r="G12" s="9"/>
      <c r="H12" s="9"/>
      <c r="I12" s="9"/>
      <c r="J12" s="9"/>
      <c r="K12" s="9"/>
      <c r="L12" s="35"/>
      <c r="M12" s="35"/>
      <c r="N12" s="9"/>
      <c r="O12" s="9"/>
      <c r="P12" s="9"/>
      <c r="Q12" s="9"/>
      <c r="R12" s="9"/>
      <c r="S12" s="9"/>
      <c r="T12" s="9"/>
      <c r="U12" s="9"/>
      <c r="V12" s="9"/>
      <c r="W12" s="9"/>
      <c r="X12" s="9"/>
      <c r="Y12" s="9"/>
      <c r="Z12" s="9"/>
    </row>
    <row r="13" spans="1:26" ht="16.5" customHeight="1" x14ac:dyDescent="0.25">
      <c r="A13" s="390">
        <v>1</v>
      </c>
      <c r="B13" s="391"/>
      <c r="C13" s="36">
        <v>2</v>
      </c>
      <c r="D13" s="392">
        <v>3</v>
      </c>
      <c r="E13" s="393"/>
      <c r="F13" s="393"/>
      <c r="G13" s="393"/>
      <c r="H13" s="393"/>
      <c r="I13" s="391"/>
      <c r="J13" s="392">
        <v>4</v>
      </c>
      <c r="K13" s="391"/>
      <c r="L13" s="36">
        <v>5</v>
      </c>
      <c r="M13" s="37">
        <v>6</v>
      </c>
      <c r="N13" s="9"/>
      <c r="O13" s="9"/>
      <c r="P13" s="9"/>
      <c r="Q13" s="9"/>
      <c r="R13" s="9"/>
      <c r="S13" s="9"/>
      <c r="T13" s="9"/>
      <c r="U13" s="9"/>
      <c r="V13" s="9"/>
      <c r="W13" s="9"/>
      <c r="X13" s="9"/>
      <c r="Y13" s="9"/>
      <c r="Z13" s="9"/>
    </row>
    <row r="14" spans="1:26" ht="32.25" customHeight="1" x14ac:dyDescent="0.25">
      <c r="A14" s="394" t="s">
        <v>11</v>
      </c>
      <c r="B14" s="378"/>
      <c r="C14" s="38" t="s">
        <v>70</v>
      </c>
      <c r="D14" s="397" t="s">
        <v>71</v>
      </c>
      <c r="E14" s="370"/>
      <c r="F14" s="370"/>
      <c r="G14" s="370"/>
      <c r="H14" s="370"/>
      <c r="I14" s="371"/>
      <c r="J14" s="397" t="s">
        <v>72</v>
      </c>
      <c r="K14" s="371"/>
      <c r="L14" s="38" t="s">
        <v>73</v>
      </c>
      <c r="M14" s="402" t="s">
        <v>74</v>
      </c>
      <c r="N14" s="13"/>
      <c r="O14" s="13"/>
      <c r="P14" s="13"/>
      <c r="Q14" s="13"/>
      <c r="R14" s="13"/>
      <c r="S14" s="13"/>
      <c r="T14" s="13"/>
      <c r="U14" s="13"/>
      <c r="V14" s="13"/>
      <c r="W14" s="13"/>
      <c r="X14" s="13"/>
      <c r="Y14" s="13"/>
      <c r="Z14" s="13"/>
    </row>
    <row r="15" spans="1:26" ht="12" customHeight="1" x14ac:dyDescent="0.25">
      <c r="A15" s="395"/>
      <c r="B15" s="396"/>
      <c r="C15" s="38"/>
      <c r="D15" s="39" t="s">
        <v>75</v>
      </c>
      <c r="E15" s="39" t="s">
        <v>76</v>
      </c>
      <c r="F15" s="39" t="s">
        <v>77</v>
      </c>
      <c r="G15" s="39" t="s">
        <v>78</v>
      </c>
      <c r="H15" s="39" t="s">
        <v>79</v>
      </c>
      <c r="I15" s="39" t="s">
        <v>80</v>
      </c>
      <c r="J15" s="404" t="s">
        <v>81</v>
      </c>
      <c r="K15" s="404" t="s">
        <v>82</v>
      </c>
      <c r="L15" s="404"/>
      <c r="M15" s="385"/>
      <c r="N15" s="13"/>
      <c r="O15" s="13"/>
      <c r="P15" s="13"/>
      <c r="Q15" s="13"/>
      <c r="R15" s="13"/>
      <c r="S15" s="13"/>
      <c r="T15" s="13"/>
      <c r="U15" s="13"/>
      <c r="V15" s="13"/>
      <c r="W15" s="13"/>
      <c r="X15" s="13"/>
      <c r="Y15" s="13"/>
      <c r="Z15" s="13"/>
    </row>
    <row r="16" spans="1:26" ht="12.75" customHeight="1" x14ac:dyDescent="0.25">
      <c r="A16" s="395"/>
      <c r="B16" s="396"/>
      <c r="C16" s="12"/>
      <c r="D16" s="12" t="s">
        <v>83</v>
      </c>
      <c r="E16" s="12" t="s">
        <v>84</v>
      </c>
      <c r="F16" s="12" t="s">
        <v>85</v>
      </c>
      <c r="G16" s="12" t="s">
        <v>86</v>
      </c>
      <c r="H16" s="12" t="s">
        <v>87</v>
      </c>
      <c r="I16" s="12" t="s">
        <v>88</v>
      </c>
      <c r="J16" s="383"/>
      <c r="K16" s="383"/>
      <c r="L16" s="383"/>
      <c r="M16" s="385"/>
      <c r="N16" s="13"/>
      <c r="O16" s="13"/>
      <c r="P16" s="13"/>
      <c r="Q16" s="13"/>
      <c r="R16" s="13"/>
      <c r="S16" s="13"/>
      <c r="T16" s="13"/>
      <c r="U16" s="13"/>
      <c r="V16" s="13"/>
      <c r="W16" s="13"/>
      <c r="X16" s="13"/>
      <c r="Y16" s="13"/>
      <c r="Z16" s="13"/>
    </row>
    <row r="17" spans="1:26" ht="16.5" customHeight="1" x14ac:dyDescent="0.25">
      <c r="A17" s="405" t="s">
        <v>89</v>
      </c>
      <c r="B17" s="370"/>
      <c r="C17" s="370"/>
      <c r="D17" s="370"/>
      <c r="E17" s="370"/>
      <c r="F17" s="370"/>
      <c r="G17" s="370"/>
      <c r="H17" s="370"/>
      <c r="I17" s="370"/>
      <c r="J17" s="370"/>
      <c r="K17" s="370"/>
      <c r="L17" s="371"/>
      <c r="M17" s="382" t="s">
        <v>90</v>
      </c>
      <c r="N17" s="5"/>
      <c r="O17" s="5"/>
      <c r="P17" s="5"/>
      <c r="Q17" s="5"/>
      <c r="R17" s="5"/>
      <c r="S17" s="5"/>
      <c r="T17" s="5"/>
      <c r="U17" s="5"/>
      <c r="V17" s="5"/>
      <c r="W17" s="5"/>
      <c r="X17" s="5"/>
      <c r="Y17" s="5"/>
      <c r="Z17" s="5"/>
    </row>
    <row r="18" spans="1:26" ht="12.75" customHeight="1" x14ac:dyDescent="0.25">
      <c r="A18" s="20">
        <v>1</v>
      </c>
      <c r="B18" s="40" t="s">
        <v>23</v>
      </c>
      <c r="C18" s="20" t="s">
        <v>91</v>
      </c>
      <c r="D18" s="20"/>
      <c r="E18" s="20"/>
      <c r="F18" s="20">
        <v>1</v>
      </c>
      <c r="G18" s="20"/>
      <c r="H18" s="20"/>
      <c r="I18" s="20"/>
      <c r="J18" s="41" t="s">
        <v>92</v>
      </c>
      <c r="K18" s="42" t="s">
        <v>93</v>
      </c>
      <c r="L18" s="43"/>
      <c r="M18" s="383"/>
      <c r="N18" s="5"/>
      <c r="O18" s="5"/>
      <c r="P18" s="5"/>
      <c r="Q18" s="5"/>
      <c r="R18" s="5"/>
      <c r="S18" s="5"/>
      <c r="T18" s="5"/>
      <c r="U18" s="5"/>
      <c r="V18" s="5"/>
      <c r="W18" s="5"/>
      <c r="X18" s="5"/>
      <c r="Y18" s="5"/>
      <c r="Z18" s="5"/>
    </row>
    <row r="19" spans="1:26" ht="12.75" customHeight="1" x14ac:dyDescent="0.25">
      <c r="A19" s="20">
        <v>2</v>
      </c>
      <c r="B19" s="40" t="s">
        <v>94</v>
      </c>
      <c r="C19" s="20" t="s">
        <v>95</v>
      </c>
      <c r="D19" s="20"/>
      <c r="E19" s="20"/>
      <c r="F19" s="20">
        <v>1</v>
      </c>
      <c r="G19" s="20"/>
      <c r="H19" s="20"/>
      <c r="I19" s="20"/>
      <c r="J19" s="44" t="s">
        <v>96</v>
      </c>
      <c r="K19" s="45" t="s">
        <v>97</v>
      </c>
      <c r="L19" s="43"/>
      <c r="M19" s="383"/>
      <c r="N19" s="5"/>
      <c r="O19" s="5"/>
      <c r="P19" s="5"/>
      <c r="Q19" s="5"/>
      <c r="R19" s="5"/>
      <c r="S19" s="5"/>
      <c r="T19" s="5"/>
      <c r="U19" s="5"/>
      <c r="V19" s="5"/>
      <c r="W19" s="5"/>
      <c r="X19" s="5"/>
      <c r="Y19" s="5"/>
      <c r="Z19" s="5"/>
    </row>
    <row r="20" spans="1:26" ht="12.75" customHeight="1" x14ac:dyDescent="0.25">
      <c r="A20" s="20">
        <v>3</v>
      </c>
      <c r="B20" s="40" t="s">
        <v>98</v>
      </c>
      <c r="C20" s="20" t="s">
        <v>99</v>
      </c>
      <c r="D20" s="20"/>
      <c r="E20" s="20"/>
      <c r="F20" s="20">
        <v>1</v>
      </c>
      <c r="G20" s="20"/>
      <c r="H20" s="20"/>
      <c r="I20" s="20"/>
      <c r="J20" s="44" t="s">
        <v>96</v>
      </c>
      <c r="K20" s="45" t="s">
        <v>97</v>
      </c>
      <c r="L20" s="43"/>
      <c r="M20" s="383"/>
      <c r="N20" s="5"/>
      <c r="O20" s="5"/>
      <c r="P20" s="5"/>
      <c r="Q20" s="5"/>
      <c r="R20" s="5"/>
      <c r="S20" s="5"/>
      <c r="T20" s="5"/>
      <c r="U20" s="5"/>
      <c r="V20" s="5"/>
      <c r="W20" s="5"/>
      <c r="X20" s="5"/>
      <c r="Y20" s="5"/>
      <c r="Z20" s="5"/>
    </row>
    <row r="21" spans="1:26" ht="12.75" customHeight="1" x14ac:dyDescent="0.25">
      <c r="A21" s="20">
        <v>4</v>
      </c>
      <c r="B21" s="40" t="s">
        <v>100</v>
      </c>
      <c r="C21" s="20" t="s">
        <v>101</v>
      </c>
      <c r="D21" s="20"/>
      <c r="E21" s="20"/>
      <c r="F21" s="20">
        <v>1</v>
      </c>
      <c r="G21" s="20"/>
      <c r="H21" s="20"/>
      <c r="I21" s="20"/>
      <c r="J21" s="44" t="s">
        <v>102</v>
      </c>
      <c r="K21" s="44" t="s">
        <v>103</v>
      </c>
      <c r="L21" s="43"/>
      <c r="M21" s="383"/>
      <c r="N21" s="5"/>
      <c r="O21" s="5"/>
      <c r="P21" s="5"/>
      <c r="Q21" s="5"/>
      <c r="R21" s="5"/>
      <c r="S21" s="5"/>
      <c r="T21" s="5"/>
      <c r="U21" s="5"/>
      <c r="V21" s="5"/>
      <c r="W21" s="5"/>
      <c r="X21" s="5"/>
      <c r="Y21" s="5"/>
      <c r="Z21" s="5"/>
    </row>
    <row r="22" spans="1:26" ht="12.75" customHeight="1" x14ac:dyDescent="0.25">
      <c r="A22" s="20">
        <v>5</v>
      </c>
      <c r="B22" s="46" t="s">
        <v>104</v>
      </c>
      <c r="C22" s="20" t="s">
        <v>101</v>
      </c>
      <c r="D22" s="20"/>
      <c r="E22" s="20"/>
      <c r="F22" s="20">
        <v>1</v>
      </c>
      <c r="G22" s="20"/>
      <c r="H22" s="20"/>
      <c r="I22" s="20"/>
      <c r="J22" s="41" t="s">
        <v>102</v>
      </c>
      <c r="K22" s="44" t="s">
        <v>103</v>
      </c>
      <c r="L22" s="47"/>
      <c r="M22" s="383"/>
      <c r="N22" s="5"/>
      <c r="O22" s="5"/>
      <c r="P22" s="5"/>
      <c r="Q22" s="5"/>
      <c r="R22" s="5"/>
      <c r="S22" s="5"/>
      <c r="T22" s="5"/>
      <c r="U22" s="5"/>
      <c r="V22" s="5"/>
      <c r="W22" s="5"/>
      <c r="X22" s="5"/>
      <c r="Y22" s="5"/>
      <c r="Z22" s="5"/>
    </row>
    <row r="23" spans="1:26" ht="12.75" customHeight="1" x14ac:dyDescent="0.25">
      <c r="A23" s="20">
        <v>6</v>
      </c>
      <c r="B23" s="40" t="s">
        <v>105</v>
      </c>
      <c r="C23" s="20" t="s">
        <v>99</v>
      </c>
      <c r="D23" s="20"/>
      <c r="E23" s="20"/>
      <c r="F23" s="20">
        <v>1</v>
      </c>
      <c r="G23" s="20"/>
      <c r="H23" s="20"/>
      <c r="I23" s="20"/>
      <c r="J23" s="41" t="s">
        <v>106</v>
      </c>
      <c r="K23" s="44" t="s">
        <v>107</v>
      </c>
      <c r="L23" s="43"/>
      <c r="M23" s="383"/>
      <c r="N23" s="5"/>
      <c r="O23" s="5"/>
      <c r="P23" s="5"/>
      <c r="Q23" s="5"/>
      <c r="R23" s="5"/>
      <c r="S23" s="5"/>
      <c r="T23" s="5"/>
      <c r="U23" s="5"/>
      <c r="V23" s="5"/>
      <c r="W23" s="5"/>
      <c r="X23" s="5"/>
      <c r="Y23" s="5"/>
      <c r="Z23" s="5"/>
    </row>
    <row r="24" spans="1:26" ht="15.75" customHeight="1" x14ac:dyDescent="0.25">
      <c r="A24" s="20">
        <v>7</v>
      </c>
      <c r="B24" s="40" t="s">
        <v>108</v>
      </c>
      <c r="C24" s="20" t="s">
        <v>99</v>
      </c>
      <c r="D24" s="20"/>
      <c r="E24" s="20"/>
      <c r="F24" s="20">
        <v>1</v>
      </c>
      <c r="G24" s="20"/>
      <c r="H24" s="20"/>
      <c r="I24" s="20"/>
      <c r="J24" s="41" t="s">
        <v>106</v>
      </c>
      <c r="K24" s="44" t="s">
        <v>107</v>
      </c>
      <c r="L24" s="43"/>
      <c r="M24" s="383"/>
      <c r="N24" s="5"/>
      <c r="O24" s="5"/>
      <c r="P24" s="5"/>
      <c r="Q24" s="5"/>
      <c r="R24" s="5"/>
      <c r="S24" s="5"/>
      <c r="T24" s="5"/>
      <c r="U24" s="5"/>
      <c r="V24" s="5"/>
      <c r="W24" s="5"/>
      <c r="X24" s="5"/>
      <c r="Y24" s="5"/>
      <c r="Z24" s="5"/>
    </row>
    <row r="25" spans="1:26" ht="12.75" customHeight="1" x14ac:dyDescent="0.25">
      <c r="A25" s="20">
        <v>8</v>
      </c>
      <c r="B25" s="46" t="s">
        <v>109</v>
      </c>
      <c r="C25" s="20" t="s">
        <v>110</v>
      </c>
      <c r="D25" s="20"/>
      <c r="E25" s="20"/>
      <c r="F25" s="20">
        <v>1</v>
      </c>
      <c r="G25" s="20"/>
      <c r="H25" s="20"/>
      <c r="I25" s="20"/>
      <c r="J25" s="41" t="s">
        <v>106</v>
      </c>
      <c r="K25" s="44" t="s">
        <v>107</v>
      </c>
      <c r="L25" s="43"/>
      <c r="M25" s="383"/>
      <c r="N25" s="5"/>
      <c r="O25" s="5"/>
      <c r="P25" s="5"/>
      <c r="Q25" s="5"/>
      <c r="R25" s="5"/>
      <c r="S25" s="5"/>
      <c r="T25" s="5"/>
      <c r="U25" s="5"/>
      <c r="V25" s="5"/>
      <c r="W25" s="5"/>
      <c r="X25" s="5"/>
      <c r="Y25" s="5"/>
      <c r="Z25" s="5"/>
    </row>
    <row r="26" spans="1:26" ht="12.75" customHeight="1" x14ac:dyDescent="0.25">
      <c r="A26" s="20">
        <v>9</v>
      </c>
      <c r="B26" s="40" t="s">
        <v>111</v>
      </c>
      <c r="C26" s="48" t="s">
        <v>112</v>
      </c>
      <c r="D26" s="48"/>
      <c r="E26" s="48"/>
      <c r="F26" s="48">
        <v>1</v>
      </c>
      <c r="G26" s="48"/>
      <c r="H26" s="48"/>
      <c r="I26" s="48"/>
      <c r="J26" s="49" t="s">
        <v>113</v>
      </c>
      <c r="K26" s="49" t="s">
        <v>114</v>
      </c>
      <c r="L26" s="50"/>
      <c r="M26" s="383"/>
      <c r="N26" s="5"/>
      <c r="O26" s="5"/>
      <c r="P26" s="5"/>
      <c r="Q26" s="5"/>
      <c r="R26" s="5"/>
      <c r="S26" s="5"/>
      <c r="T26" s="5"/>
      <c r="U26" s="5"/>
      <c r="V26" s="5"/>
      <c r="W26" s="5"/>
      <c r="X26" s="5"/>
      <c r="Y26" s="5"/>
      <c r="Z26" s="5"/>
    </row>
    <row r="27" spans="1:26" ht="12.75" customHeight="1" x14ac:dyDescent="0.25">
      <c r="A27" s="20">
        <v>10</v>
      </c>
      <c r="B27" s="40" t="s">
        <v>115</v>
      </c>
      <c r="C27" s="48" t="s">
        <v>116</v>
      </c>
      <c r="D27" s="48"/>
      <c r="E27" s="48"/>
      <c r="F27" s="48">
        <v>1</v>
      </c>
      <c r="G27" s="48"/>
      <c r="H27" s="48"/>
      <c r="I27" s="48"/>
      <c r="J27" s="49" t="s">
        <v>113</v>
      </c>
      <c r="K27" s="49" t="s">
        <v>114</v>
      </c>
      <c r="L27" s="50"/>
      <c r="M27" s="383"/>
      <c r="N27" s="5"/>
      <c r="O27" s="5"/>
      <c r="P27" s="5"/>
      <c r="Q27" s="5"/>
      <c r="R27" s="5"/>
      <c r="S27" s="5"/>
      <c r="T27" s="5"/>
      <c r="U27" s="5"/>
      <c r="V27" s="5"/>
      <c r="W27" s="5"/>
      <c r="X27" s="5"/>
      <c r="Y27" s="5"/>
      <c r="Z27" s="5"/>
    </row>
    <row r="28" spans="1:26" ht="12.75" customHeight="1" x14ac:dyDescent="0.25">
      <c r="A28" s="20">
        <v>11</v>
      </c>
      <c r="B28" s="51" t="s">
        <v>117</v>
      </c>
      <c r="C28" s="48" t="s">
        <v>116</v>
      </c>
      <c r="D28" s="20"/>
      <c r="E28" s="20"/>
      <c r="F28" s="20">
        <v>1</v>
      </c>
      <c r="G28" s="20"/>
      <c r="H28" s="20"/>
      <c r="I28" s="20"/>
      <c r="J28" s="41" t="s">
        <v>102</v>
      </c>
      <c r="K28" s="44" t="s">
        <v>103</v>
      </c>
      <c r="L28" s="43"/>
      <c r="M28" s="383"/>
      <c r="N28" s="5"/>
      <c r="O28" s="5"/>
      <c r="P28" s="5"/>
      <c r="Q28" s="5"/>
      <c r="R28" s="5"/>
      <c r="S28" s="5"/>
      <c r="T28" s="5"/>
      <c r="U28" s="5"/>
      <c r="V28" s="5"/>
      <c r="W28" s="5"/>
      <c r="X28" s="5"/>
      <c r="Y28" s="5"/>
      <c r="Z28" s="5"/>
    </row>
    <row r="29" spans="1:26" ht="12.75" customHeight="1" x14ac:dyDescent="0.25">
      <c r="A29" s="20">
        <v>12</v>
      </c>
      <c r="B29" s="52" t="s">
        <v>118</v>
      </c>
      <c r="C29" s="20" t="s">
        <v>116</v>
      </c>
      <c r="D29" s="20"/>
      <c r="E29" s="20"/>
      <c r="F29" s="20">
        <v>1</v>
      </c>
      <c r="G29" s="20"/>
      <c r="H29" s="20"/>
      <c r="I29" s="20"/>
      <c r="J29" s="41" t="s">
        <v>102</v>
      </c>
      <c r="K29" s="44" t="s">
        <v>103</v>
      </c>
      <c r="L29" s="43"/>
      <c r="M29" s="383"/>
      <c r="N29" s="5"/>
      <c r="O29" s="5"/>
      <c r="P29" s="5"/>
      <c r="Q29" s="5"/>
      <c r="R29" s="5"/>
      <c r="S29" s="5"/>
      <c r="T29" s="5"/>
      <c r="U29" s="5"/>
      <c r="V29" s="5"/>
      <c r="W29" s="5"/>
      <c r="X29" s="5"/>
      <c r="Y29" s="5"/>
      <c r="Z29" s="5"/>
    </row>
    <row r="30" spans="1:26" ht="15" customHeight="1" x14ac:dyDescent="0.25">
      <c r="A30" s="20">
        <v>13</v>
      </c>
      <c r="B30" s="46" t="s">
        <v>119</v>
      </c>
      <c r="C30" s="20" t="s">
        <v>101</v>
      </c>
      <c r="D30" s="20"/>
      <c r="E30" s="20">
        <v>1</v>
      </c>
      <c r="F30" s="20"/>
      <c r="G30" s="20"/>
      <c r="H30" s="20"/>
      <c r="I30" s="20"/>
      <c r="J30" s="41" t="s">
        <v>120</v>
      </c>
      <c r="K30" s="44" t="s">
        <v>121</v>
      </c>
      <c r="L30" s="43"/>
      <c r="M30" s="383"/>
      <c r="N30" s="5"/>
      <c r="O30" s="5"/>
      <c r="P30" s="5"/>
      <c r="Q30" s="5"/>
      <c r="R30" s="5"/>
      <c r="S30" s="5"/>
      <c r="T30" s="5"/>
      <c r="U30" s="5"/>
      <c r="V30" s="5"/>
      <c r="W30" s="5"/>
      <c r="X30" s="5"/>
      <c r="Y30" s="5"/>
      <c r="Z30" s="5"/>
    </row>
    <row r="31" spans="1:26" ht="30.75" customHeight="1" x14ac:dyDescent="0.25">
      <c r="A31" s="20">
        <v>14</v>
      </c>
      <c r="B31" s="46" t="s">
        <v>122</v>
      </c>
      <c r="C31" s="20" t="s">
        <v>123</v>
      </c>
      <c r="D31" s="20">
        <v>1</v>
      </c>
      <c r="E31" s="20"/>
      <c r="F31" s="20"/>
      <c r="G31" s="20"/>
      <c r="H31" s="20"/>
      <c r="I31" s="20"/>
      <c r="J31" s="41" t="s">
        <v>124</v>
      </c>
      <c r="K31" s="44" t="s">
        <v>125</v>
      </c>
      <c r="L31" s="43"/>
      <c r="M31" s="383"/>
      <c r="N31" s="5"/>
      <c r="O31" s="5"/>
      <c r="P31" s="5"/>
      <c r="Q31" s="5"/>
      <c r="R31" s="5"/>
      <c r="S31" s="5"/>
      <c r="T31" s="5"/>
      <c r="U31" s="5"/>
      <c r="V31" s="5"/>
      <c r="W31" s="5"/>
      <c r="X31" s="5"/>
      <c r="Y31" s="5"/>
      <c r="Z31" s="5"/>
    </row>
    <row r="32" spans="1:26" ht="12.75" customHeight="1" x14ac:dyDescent="0.25">
      <c r="A32" s="20">
        <v>15</v>
      </c>
      <c r="B32" s="40" t="s">
        <v>126</v>
      </c>
      <c r="C32" s="20" t="s">
        <v>123</v>
      </c>
      <c r="D32" s="20">
        <v>1</v>
      </c>
      <c r="E32" s="20"/>
      <c r="F32" s="20"/>
      <c r="G32" s="20"/>
      <c r="H32" s="20"/>
      <c r="I32" s="20"/>
      <c r="J32" s="41" t="s">
        <v>124</v>
      </c>
      <c r="K32" s="44" t="s">
        <v>125</v>
      </c>
      <c r="L32" s="43"/>
      <c r="M32" s="383"/>
      <c r="N32" s="5"/>
      <c r="O32" s="5"/>
      <c r="P32" s="5"/>
      <c r="Q32" s="5"/>
      <c r="R32" s="5"/>
      <c r="S32" s="5"/>
      <c r="T32" s="5"/>
      <c r="U32" s="5"/>
      <c r="V32" s="5"/>
      <c r="W32" s="5"/>
      <c r="X32" s="5"/>
      <c r="Y32" s="5"/>
      <c r="Z32" s="5"/>
    </row>
    <row r="33" spans="1:26" ht="12.75" customHeight="1" x14ac:dyDescent="0.25">
      <c r="A33" s="20">
        <v>16</v>
      </c>
      <c r="B33" s="40" t="s">
        <v>127</v>
      </c>
      <c r="C33" s="20" t="s">
        <v>128</v>
      </c>
      <c r="D33" s="20">
        <v>1</v>
      </c>
      <c r="E33" s="20"/>
      <c r="F33" s="20"/>
      <c r="G33" s="20"/>
      <c r="H33" s="20"/>
      <c r="I33" s="20"/>
      <c r="J33" s="41" t="s">
        <v>124</v>
      </c>
      <c r="K33" s="44" t="s">
        <v>125</v>
      </c>
      <c r="L33" s="43"/>
      <c r="M33" s="383"/>
      <c r="N33" s="5"/>
      <c r="O33" s="5"/>
      <c r="P33" s="5"/>
      <c r="Q33" s="5"/>
      <c r="R33" s="5"/>
      <c r="S33" s="5"/>
      <c r="T33" s="5"/>
      <c r="U33" s="5"/>
      <c r="V33" s="5"/>
      <c r="W33" s="5"/>
      <c r="X33" s="5"/>
      <c r="Y33" s="5"/>
      <c r="Z33" s="5"/>
    </row>
    <row r="34" spans="1:26" ht="12.75" customHeight="1" x14ac:dyDescent="0.25">
      <c r="A34" s="20">
        <v>17</v>
      </c>
      <c r="B34" s="46" t="s">
        <v>129</v>
      </c>
      <c r="C34" s="48" t="s">
        <v>128</v>
      </c>
      <c r="D34" s="48"/>
      <c r="E34" s="48"/>
      <c r="F34" s="48"/>
      <c r="G34" s="48"/>
      <c r="H34" s="48">
        <v>1</v>
      </c>
      <c r="I34" s="48"/>
      <c r="J34" s="41" t="s">
        <v>130</v>
      </c>
      <c r="K34" s="49" t="s">
        <v>131</v>
      </c>
      <c r="L34" s="53"/>
      <c r="M34" s="383"/>
      <c r="N34" s="5"/>
      <c r="O34" s="5"/>
      <c r="P34" s="5"/>
      <c r="Q34" s="5"/>
      <c r="R34" s="5"/>
      <c r="S34" s="5"/>
      <c r="T34" s="5"/>
      <c r="U34" s="5"/>
      <c r="V34" s="5"/>
      <c r="W34" s="5"/>
      <c r="X34" s="5"/>
      <c r="Y34" s="5"/>
      <c r="Z34" s="5"/>
    </row>
    <row r="35" spans="1:26" ht="12.75" customHeight="1" x14ac:dyDescent="0.25">
      <c r="A35" s="20">
        <v>18</v>
      </c>
      <c r="B35" s="46" t="s">
        <v>132</v>
      </c>
      <c r="C35" s="20" t="s">
        <v>133</v>
      </c>
      <c r="D35" s="20">
        <v>1</v>
      </c>
      <c r="E35" s="20"/>
      <c r="F35" s="20"/>
      <c r="G35" s="20"/>
      <c r="H35" s="20"/>
      <c r="I35" s="20"/>
      <c r="J35" s="41" t="s">
        <v>124</v>
      </c>
      <c r="K35" s="44" t="s">
        <v>125</v>
      </c>
      <c r="L35" s="43"/>
      <c r="M35" s="383"/>
      <c r="N35" s="5"/>
      <c r="O35" s="5"/>
      <c r="P35" s="5"/>
      <c r="Q35" s="5"/>
      <c r="R35" s="5"/>
      <c r="S35" s="5"/>
      <c r="T35" s="5"/>
      <c r="U35" s="5"/>
      <c r="V35" s="5"/>
      <c r="W35" s="5"/>
      <c r="X35" s="5"/>
      <c r="Y35" s="5"/>
      <c r="Z35" s="5"/>
    </row>
    <row r="36" spans="1:26" ht="12.75" customHeight="1" x14ac:dyDescent="0.25">
      <c r="A36" s="20">
        <v>19</v>
      </c>
      <c r="B36" s="40" t="s">
        <v>134</v>
      </c>
      <c r="C36" s="20" t="s">
        <v>112</v>
      </c>
      <c r="D36" s="20"/>
      <c r="E36" s="20"/>
      <c r="F36" s="20">
        <v>1</v>
      </c>
      <c r="G36" s="20"/>
      <c r="H36" s="20"/>
      <c r="I36" s="20"/>
      <c r="J36" s="41" t="s">
        <v>102</v>
      </c>
      <c r="K36" s="44" t="s">
        <v>103</v>
      </c>
      <c r="L36" s="43"/>
      <c r="M36" s="383"/>
      <c r="N36" s="5"/>
      <c r="O36" s="5"/>
      <c r="P36" s="5"/>
      <c r="Q36" s="5"/>
      <c r="R36" s="5"/>
      <c r="S36" s="5"/>
      <c r="T36" s="5"/>
      <c r="U36" s="5"/>
      <c r="V36" s="5"/>
      <c r="W36" s="5"/>
      <c r="X36" s="5"/>
      <c r="Y36" s="5"/>
      <c r="Z36" s="5"/>
    </row>
    <row r="37" spans="1:26" ht="12.75" customHeight="1" x14ac:dyDescent="0.25">
      <c r="A37" s="20">
        <v>20</v>
      </c>
      <c r="B37" s="54" t="s">
        <v>135</v>
      </c>
      <c r="C37" s="20" t="s">
        <v>133</v>
      </c>
      <c r="D37" s="20"/>
      <c r="E37" s="20"/>
      <c r="F37" s="20"/>
      <c r="G37" s="20"/>
      <c r="H37" s="20"/>
      <c r="I37" s="20">
        <v>1</v>
      </c>
      <c r="J37" s="55"/>
      <c r="K37" s="55"/>
      <c r="L37" s="43" t="s">
        <v>136</v>
      </c>
      <c r="M37" s="383"/>
      <c r="N37" s="5"/>
      <c r="O37" s="5"/>
      <c r="P37" s="5"/>
      <c r="Q37" s="5"/>
      <c r="R37" s="5"/>
      <c r="S37" s="5"/>
      <c r="T37" s="5"/>
      <c r="U37" s="5"/>
      <c r="V37" s="5"/>
      <c r="W37" s="5"/>
      <c r="X37" s="5"/>
      <c r="Y37" s="5"/>
      <c r="Z37" s="5"/>
    </row>
    <row r="38" spans="1:26" ht="12.75" customHeight="1" x14ac:dyDescent="0.25">
      <c r="A38" s="20">
        <v>21</v>
      </c>
      <c r="B38" s="54" t="s">
        <v>137</v>
      </c>
      <c r="C38" s="20" t="s">
        <v>133</v>
      </c>
      <c r="D38" s="20"/>
      <c r="E38" s="20"/>
      <c r="F38" s="20"/>
      <c r="G38" s="20"/>
      <c r="H38" s="20"/>
      <c r="I38" s="20">
        <v>1</v>
      </c>
      <c r="J38" s="55"/>
      <c r="K38" s="55"/>
      <c r="L38" s="43" t="s">
        <v>136</v>
      </c>
      <c r="M38" s="383"/>
      <c r="N38" s="5"/>
      <c r="O38" s="5"/>
      <c r="P38" s="5"/>
      <c r="Q38" s="5"/>
      <c r="R38" s="5"/>
      <c r="S38" s="5"/>
      <c r="T38" s="5"/>
      <c r="U38" s="5"/>
      <c r="V38" s="5"/>
      <c r="W38" s="5"/>
      <c r="X38" s="5"/>
      <c r="Y38" s="5"/>
      <c r="Z38" s="5"/>
    </row>
    <row r="39" spans="1:26" ht="12.75" customHeight="1" x14ac:dyDescent="0.25">
      <c r="A39" s="20">
        <v>22</v>
      </c>
      <c r="B39" s="54" t="s">
        <v>37</v>
      </c>
      <c r="C39" s="20" t="s">
        <v>138</v>
      </c>
      <c r="D39" s="20"/>
      <c r="E39" s="20"/>
      <c r="F39" s="20"/>
      <c r="G39" s="20"/>
      <c r="H39" s="20"/>
      <c r="I39" s="20">
        <v>1</v>
      </c>
      <c r="J39" s="55"/>
      <c r="K39" s="55"/>
      <c r="L39" s="43" t="s">
        <v>136</v>
      </c>
      <c r="M39" s="383"/>
      <c r="N39" s="5"/>
      <c r="O39" s="5"/>
      <c r="P39" s="5"/>
      <c r="Q39" s="5"/>
      <c r="R39" s="5"/>
      <c r="S39" s="5"/>
      <c r="T39" s="5"/>
      <c r="U39" s="5"/>
      <c r="V39" s="5"/>
      <c r="W39" s="5"/>
      <c r="X39" s="5"/>
      <c r="Y39" s="5"/>
      <c r="Z39" s="5"/>
    </row>
    <row r="40" spans="1:26" ht="12.75" customHeight="1" x14ac:dyDescent="0.25">
      <c r="A40" s="20">
        <v>23</v>
      </c>
      <c r="B40" s="54" t="s">
        <v>36</v>
      </c>
      <c r="C40" s="20" t="s">
        <v>138</v>
      </c>
      <c r="D40" s="20"/>
      <c r="E40" s="20"/>
      <c r="F40" s="20"/>
      <c r="G40" s="20"/>
      <c r="H40" s="20"/>
      <c r="I40" s="20">
        <v>1</v>
      </c>
      <c r="J40" s="55"/>
      <c r="K40" s="55"/>
      <c r="L40" s="43" t="s">
        <v>136</v>
      </c>
      <c r="M40" s="383"/>
      <c r="N40" s="5"/>
      <c r="O40" s="5"/>
      <c r="P40" s="5"/>
      <c r="Q40" s="5"/>
      <c r="R40" s="5"/>
      <c r="S40" s="5"/>
      <c r="T40" s="5"/>
      <c r="U40" s="5"/>
      <c r="V40" s="5"/>
      <c r="W40" s="5"/>
      <c r="X40" s="5"/>
      <c r="Y40" s="5"/>
      <c r="Z40" s="5"/>
    </row>
    <row r="41" spans="1:26" ht="12.75" customHeight="1" x14ac:dyDescent="0.25">
      <c r="A41" s="15"/>
      <c r="B41" s="15"/>
      <c r="C41" s="15"/>
      <c r="D41" s="16"/>
      <c r="E41" s="16"/>
      <c r="F41" s="16"/>
      <c r="G41" s="16"/>
      <c r="H41" s="16"/>
      <c r="I41" s="16"/>
      <c r="J41" s="55"/>
      <c r="K41" s="55"/>
      <c r="L41" s="43"/>
      <c r="M41" s="383"/>
      <c r="N41" s="5"/>
      <c r="O41" s="5"/>
      <c r="P41" s="5"/>
      <c r="Q41" s="5"/>
      <c r="R41" s="5"/>
      <c r="S41" s="5"/>
      <c r="T41" s="5"/>
      <c r="U41" s="5"/>
      <c r="V41" s="5"/>
      <c r="W41" s="5"/>
      <c r="X41" s="5"/>
      <c r="Y41" s="5"/>
      <c r="Z41" s="5"/>
    </row>
    <row r="42" spans="1:26" ht="12.75" customHeight="1" x14ac:dyDescent="0.25">
      <c r="A42" s="56" t="s">
        <v>139</v>
      </c>
      <c r="B42" s="57"/>
      <c r="C42" s="57"/>
      <c r="D42" s="58"/>
      <c r="E42" s="58"/>
      <c r="F42" s="58"/>
      <c r="G42" s="58"/>
      <c r="H42" s="58"/>
      <c r="I42" s="58"/>
      <c r="J42" s="59"/>
      <c r="K42" s="59"/>
      <c r="L42" s="60"/>
      <c r="M42" s="383"/>
      <c r="N42" s="5"/>
      <c r="O42" s="5"/>
      <c r="P42" s="5"/>
      <c r="Q42" s="5"/>
      <c r="R42" s="5"/>
      <c r="S42" s="5"/>
      <c r="T42" s="5"/>
      <c r="U42" s="5"/>
      <c r="V42" s="5"/>
      <c r="W42" s="5"/>
      <c r="X42" s="5"/>
      <c r="Y42" s="5"/>
      <c r="Z42" s="5"/>
    </row>
    <row r="43" spans="1:26" ht="12.75" customHeight="1" x14ac:dyDescent="0.25">
      <c r="A43" s="20">
        <v>1</v>
      </c>
      <c r="B43" s="46" t="s">
        <v>140</v>
      </c>
      <c r="C43" s="20" t="s">
        <v>141</v>
      </c>
      <c r="D43" s="16"/>
      <c r="E43" s="16"/>
      <c r="F43" s="16">
        <v>1</v>
      </c>
      <c r="G43" s="16"/>
      <c r="H43" s="16"/>
      <c r="I43" s="16"/>
      <c r="J43" s="41" t="s">
        <v>142</v>
      </c>
      <c r="K43" s="61" t="s">
        <v>143</v>
      </c>
      <c r="L43" s="43"/>
      <c r="M43" s="383"/>
      <c r="N43" s="5"/>
      <c r="O43" s="5"/>
      <c r="P43" s="5"/>
      <c r="Q43" s="5"/>
      <c r="R43" s="5"/>
      <c r="S43" s="5"/>
      <c r="T43" s="5"/>
      <c r="U43" s="5"/>
      <c r="V43" s="5"/>
      <c r="W43" s="5"/>
      <c r="X43" s="5"/>
      <c r="Y43" s="5"/>
      <c r="Z43" s="5"/>
    </row>
    <row r="44" spans="1:26" ht="12.75" customHeight="1" x14ac:dyDescent="0.25">
      <c r="A44" s="20">
        <v>2</v>
      </c>
      <c r="B44" s="40" t="s">
        <v>144</v>
      </c>
      <c r="C44" s="20" t="s">
        <v>141</v>
      </c>
      <c r="D44" s="16"/>
      <c r="E44" s="16">
        <v>1</v>
      </c>
      <c r="F44" s="16"/>
      <c r="G44" s="16"/>
      <c r="H44" s="16"/>
      <c r="I44" s="16"/>
      <c r="J44" s="62" t="s">
        <v>145</v>
      </c>
      <c r="K44" s="61" t="s">
        <v>146</v>
      </c>
      <c r="L44" s="43"/>
      <c r="M44" s="383"/>
      <c r="N44" s="5"/>
      <c r="O44" s="5"/>
      <c r="P44" s="5"/>
      <c r="Q44" s="5"/>
      <c r="R44" s="5"/>
      <c r="S44" s="5"/>
      <c r="T44" s="5"/>
      <c r="U44" s="5"/>
      <c r="V44" s="5"/>
      <c r="W44" s="5"/>
      <c r="X44" s="5"/>
      <c r="Y44" s="5"/>
      <c r="Z44" s="5"/>
    </row>
    <row r="45" spans="1:26" ht="12.75" customHeight="1" x14ac:dyDescent="0.25">
      <c r="A45" s="20">
        <v>3</v>
      </c>
      <c r="B45" s="40" t="s">
        <v>105</v>
      </c>
      <c r="C45" s="20" t="s">
        <v>147</v>
      </c>
      <c r="D45" s="16"/>
      <c r="E45" s="16">
        <v>1</v>
      </c>
      <c r="F45" s="16"/>
      <c r="G45" s="16"/>
      <c r="H45" s="16"/>
      <c r="I45" s="16"/>
      <c r="J45" s="62" t="s">
        <v>145</v>
      </c>
      <c r="K45" s="61" t="s">
        <v>146</v>
      </c>
      <c r="L45" s="43"/>
      <c r="M45" s="383"/>
      <c r="N45" s="5"/>
      <c r="O45" s="5"/>
      <c r="P45" s="5"/>
      <c r="Q45" s="5"/>
      <c r="R45" s="5"/>
      <c r="S45" s="5"/>
      <c r="T45" s="5"/>
      <c r="U45" s="5"/>
      <c r="V45" s="5"/>
      <c r="W45" s="5"/>
      <c r="X45" s="5"/>
      <c r="Y45" s="5"/>
      <c r="Z45" s="5"/>
    </row>
    <row r="46" spans="1:26" ht="12.75" customHeight="1" x14ac:dyDescent="0.25">
      <c r="A46" s="15"/>
      <c r="B46" s="15"/>
      <c r="C46" s="15"/>
      <c r="D46" s="16"/>
      <c r="E46" s="16"/>
      <c r="F46" s="16"/>
      <c r="G46" s="16"/>
      <c r="H46" s="16"/>
      <c r="I46" s="16"/>
      <c r="J46" s="55"/>
      <c r="K46" s="55"/>
      <c r="L46" s="43"/>
      <c r="M46" s="383"/>
      <c r="N46" s="5"/>
      <c r="O46" s="5"/>
      <c r="P46" s="5"/>
      <c r="Q46" s="5"/>
      <c r="R46" s="5"/>
      <c r="S46" s="5"/>
      <c r="T46" s="5"/>
      <c r="U46" s="5"/>
      <c r="V46" s="5"/>
      <c r="W46" s="5"/>
      <c r="X46" s="5"/>
      <c r="Y46" s="5"/>
      <c r="Z46" s="5"/>
    </row>
    <row r="47" spans="1:26" ht="12.75" customHeight="1" x14ac:dyDescent="0.25">
      <c r="A47" s="63" t="s">
        <v>148</v>
      </c>
      <c r="B47" s="64"/>
      <c r="C47" s="65"/>
      <c r="D47" s="58"/>
      <c r="E47" s="58"/>
      <c r="F47" s="58"/>
      <c r="G47" s="58"/>
      <c r="H47" s="58"/>
      <c r="I47" s="58"/>
      <c r="J47" s="59"/>
      <c r="K47" s="59"/>
      <c r="L47" s="60"/>
      <c r="M47" s="383"/>
      <c r="N47" s="5"/>
      <c r="O47" s="5"/>
      <c r="P47" s="5"/>
      <c r="Q47" s="5"/>
      <c r="R47" s="5"/>
      <c r="S47" s="5"/>
      <c r="T47" s="5"/>
      <c r="U47" s="5"/>
      <c r="V47" s="5"/>
      <c r="W47" s="5"/>
      <c r="X47" s="5"/>
      <c r="Y47" s="5"/>
      <c r="Z47" s="5"/>
    </row>
    <row r="48" spans="1:26" ht="12.75" customHeight="1" x14ac:dyDescent="0.25">
      <c r="A48" s="20">
        <v>1</v>
      </c>
      <c r="B48" s="46" t="s">
        <v>149</v>
      </c>
      <c r="C48" s="20" t="s">
        <v>150</v>
      </c>
      <c r="D48" s="20"/>
      <c r="E48" s="20"/>
      <c r="F48" s="20">
        <v>1</v>
      </c>
      <c r="G48" s="16"/>
      <c r="H48" s="16"/>
      <c r="I48" s="16"/>
      <c r="J48" s="41" t="s">
        <v>106</v>
      </c>
      <c r="K48" s="44" t="s">
        <v>107</v>
      </c>
      <c r="L48" s="43"/>
      <c r="M48" s="383"/>
      <c r="N48" s="5"/>
      <c r="O48" s="5"/>
      <c r="P48" s="5"/>
      <c r="Q48" s="5"/>
      <c r="R48" s="5"/>
      <c r="S48" s="5"/>
      <c r="T48" s="5"/>
      <c r="U48" s="5"/>
      <c r="V48" s="5"/>
      <c r="W48" s="5"/>
      <c r="X48" s="5"/>
      <c r="Y48" s="5"/>
      <c r="Z48" s="5"/>
    </row>
    <row r="49" spans="1:26" ht="12.75" customHeight="1" x14ac:dyDescent="0.25">
      <c r="A49" s="20">
        <v>2</v>
      </c>
      <c r="B49" s="46" t="s">
        <v>151</v>
      </c>
      <c r="C49" s="20" t="s">
        <v>152</v>
      </c>
      <c r="D49" s="20"/>
      <c r="E49" s="20">
        <v>1</v>
      </c>
      <c r="F49" s="20"/>
      <c r="G49" s="16"/>
      <c r="H49" s="16"/>
      <c r="I49" s="16"/>
      <c r="J49" s="41" t="s">
        <v>120</v>
      </c>
      <c r="K49" s="44" t="s">
        <v>121</v>
      </c>
      <c r="L49" s="43"/>
      <c r="M49" s="383"/>
      <c r="N49" s="5"/>
      <c r="O49" s="5"/>
      <c r="P49" s="5"/>
      <c r="Q49" s="5"/>
      <c r="R49" s="5"/>
      <c r="S49" s="5"/>
      <c r="T49" s="5"/>
      <c r="U49" s="5"/>
      <c r="V49" s="5"/>
      <c r="W49" s="5"/>
      <c r="X49" s="5"/>
      <c r="Y49" s="5"/>
      <c r="Z49" s="5"/>
    </row>
    <row r="50" spans="1:26" ht="12.75" customHeight="1" x14ac:dyDescent="0.25">
      <c r="A50" s="20">
        <v>3</v>
      </c>
      <c r="B50" s="46" t="s">
        <v>153</v>
      </c>
      <c r="C50" s="20" t="s">
        <v>123</v>
      </c>
      <c r="D50" s="20">
        <v>1</v>
      </c>
      <c r="E50" s="20"/>
      <c r="F50" s="20"/>
      <c r="G50" s="16"/>
      <c r="H50" s="16"/>
      <c r="I50" s="16"/>
      <c r="J50" s="41" t="s">
        <v>124</v>
      </c>
      <c r="K50" s="44" t="s">
        <v>125</v>
      </c>
      <c r="L50" s="43"/>
      <c r="M50" s="383"/>
      <c r="N50" s="5"/>
      <c r="O50" s="5"/>
      <c r="P50" s="5"/>
      <c r="Q50" s="5"/>
      <c r="R50" s="5"/>
      <c r="S50" s="5"/>
      <c r="T50" s="5"/>
      <c r="U50" s="5"/>
      <c r="V50" s="5"/>
      <c r="W50" s="5"/>
      <c r="X50" s="5"/>
      <c r="Y50" s="5"/>
      <c r="Z50" s="5"/>
    </row>
    <row r="51" spans="1:26" ht="12.75" customHeight="1" x14ac:dyDescent="0.25">
      <c r="A51" s="20"/>
      <c r="B51" s="15"/>
      <c r="C51" s="20"/>
      <c r="D51" s="16"/>
      <c r="E51" s="16"/>
      <c r="F51" s="16"/>
      <c r="G51" s="16"/>
      <c r="H51" s="16"/>
      <c r="I51" s="16"/>
      <c r="J51" s="55"/>
      <c r="K51" s="55"/>
      <c r="L51" s="43"/>
      <c r="M51" s="383"/>
      <c r="N51" s="5"/>
      <c r="O51" s="5"/>
      <c r="P51" s="5"/>
      <c r="Q51" s="5"/>
      <c r="R51" s="5"/>
      <c r="S51" s="5"/>
      <c r="T51" s="5"/>
      <c r="U51" s="5"/>
      <c r="V51" s="5"/>
      <c r="W51" s="5"/>
      <c r="X51" s="5"/>
      <c r="Y51" s="5"/>
      <c r="Z51" s="5"/>
    </row>
    <row r="52" spans="1:26" ht="12.75" customHeight="1" x14ac:dyDescent="0.25">
      <c r="A52" s="63" t="s">
        <v>154</v>
      </c>
      <c r="B52" s="64"/>
      <c r="C52" s="65"/>
      <c r="D52" s="64"/>
      <c r="E52" s="64"/>
      <c r="F52" s="64"/>
      <c r="G52" s="64"/>
      <c r="H52" s="64"/>
      <c r="I52" s="64"/>
      <c r="J52" s="66"/>
      <c r="K52" s="66"/>
      <c r="L52" s="64"/>
      <c r="M52" s="383"/>
      <c r="N52" s="5"/>
      <c r="O52" s="5"/>
      <c r="P52" s="5"/>
      <c r="Q52" s="5"/>
      <c r="R52" s="5"/>
      <c r="S52" s="5"/>
      <c r="T52" s="5"/>
      <c r="U52" s="5"/>
      <c r="V52" s="5"/>
      <c r="W52" s="5"/>
      <c r="X52" s="5"/>
      <c r="Y52" s="5"/>
      <c r="Z52" s="5"/>
    </row>
    <row r="53" spans="1:26" ht="12.75" customHeight="1" x14ac:dyDescent="0.25">
      <c r="A53" s="20">
        <v>1</v>
      </c>
      <c r="B53" s="46" t="s">
        <v>43</v>
      </c>
      <c r="C53" s="20" t="s">
        <v>155</v>
      </c>
      <c r="D53" s="16"/>
      <c r="E53" s="16"/>
      <c r="F53" s="16">
        <v>1</v>
      </c>
      <c r="G53" s="16"/>
      <c r="H53" s="16"/>
      <c r="I53" s="16"/>
      <c r="J53" s="41" t="s">
        <v>102</v>
      </c>
      <c r="K53" s="61" t="s">
        <v>103</v>
      </c>
      <c r="L53" s="43"/>
      <c r="M53" s="383"/>
      <c r="N53" s="5"/>
      <c r="O53" s="5"/>
      <c r="P53" s="5"/>
      <c r="Q53" s="5"/>
      <c r="R53" s="5"/>
      <c r="S53" s="5"/>
      <c r="T53" s="5"/>
      <c r="U53" s="5"/>
      <c r="V53" s="5"/>
      <c r="W53" s="5"/>
      <c r="X53" s="5"/>
      <c r="Y53" s="5"/>
      <c r="Z53" s="5"/>
    </row>
    <row r="54" spans="1:26" ht="12.75" customHeight="1" x14ac:dyDescent="0.25">
      <c r="A54" s="15"/>
      <c r="B54" s="15"/>
      <c r="C54" s="15"/>
      <c r="D54" s="16"/>
      <c r="E54" s="16"/>
      <c r="F54" s="16"/>
      <c r="G54" s="16"/>
      <c r="H54" s="16"/>
      <c r="I54" s="16"/>
      <c r="J54" s="67"/>
      <c r="K54" s="67"/>
      <c r="L54" s="43"/>
      <c r="M54" s="368"/>
      <c r="N54" s="5"/>
      <c r="O54" s="5"/>
      <c r="P54" s="5"/>
      <c r="Q54" s="5"/>
      <c r="R54" s="5"/>
      <c r="S54" s="5"/>
      <c r="T54" s="5"/>
      <c r="U54" s="5"/>
      <c r="V54" s="5"/>
      <c r="W54" s="5"/>
      <c r="X54" s="5"/>
      <c r="Y54" s="5"/>
      <c r="Z54" s="5"/>
    </row>
    <row r="55" spans="1:26" ht="12.75" customHeight="1" x14ac:dyDescent="0.25">
      <c r="A55" s="5"/>
      <c r="B55" s="5"/>
      <c r="C55" s="5"/>
      <c r="D55" s="68">
        <f t="shared" ref="D55:I55" si="0">COUNTA(D18:D40,D43:D45,D48:D50,D53:D54)</f>
        <v>5</v>
      </c>
      <c r="E55" s="68">
        <f t="shared" si="0"/>
        <v>4</v>
      </c>
      <c r="F55" s="68">
        <f t="shared" si="0"/>
        <v>16</v>
      </c>
      <c r="G55" s="68">
        <f t="shared" si="0"/>
        <v>0</v>
      </c>
      <c r="H55" s="68">
        <f t="shared" si="0"/>
        <v>1</v>
      </c>
      <c r="I55" s="68">
        <f t="shared" si="0"/>
        <v>4</v>
      </c>
      <c r="J55" s="5"/>
      <c r="K55" s="5"/>
      <c r="L55" s="69" t="s">
        <v>136</v>
      </c>
      <c r="M55" s="70">
        <f>COUNTIF(L18:L23:L53:L54,[1]Legend!A13)</f>
        <v>0</v>
      </c>
      <c r="N55" s="5"/>
      <c r="O55" s="5"/>
      <c r="P55" s="5"/>
      <c r="Q55" s="5"/>
      <c r="R55" s="5"/>
      <c r="S55" s="5"/>
      <c r="T55" s="5"/>
      <c r="U55" s="5"/>
      <c r="V55" s="5"/>
      <c r="W55" s="5"/>
      <c r="X55" s="5"/>
      <c r="Y55" s="5"/>
      <c r="Z55" s="5"/>
    </row>
    <row r="56" spans="1:26" ht="15.75" customHeight="1" x14ac:dyDescent="0.25">
      <c r="A56" s="5"/>
      <c r="B56" s="5"/>
      <c r="C56" s="5"/>
      <c r="D56" s="5"/>
      <c r="E56" s="5"/>
      <c r="F56" s="5"/>
      <c r="G56" s="5"/>
      <c r="H56" s="5"/>
      <c r="I56" s="5"/>
      <c r="J56" s="5"/>
      <c r="K56" s="5"/>
      <c r="L56" s="71" t="s">
        <v>156</v>
      </c>
      <c r="M56" s="70">
        <f>COUNTIF(L18:L52:L53:L54,[1]Legend!A14)</f>
        <v>0</v>
      </c>
      <c r="N56" s="5"/>
      <c r="O56" s="5"/>
      <c r="P56" s="5"/>
      <c r="Q56" s="5"/>
      <c r="R56" s="5"/>
      <c r="S56" s="5"/>
      <c r="T56" s="5"/>
      <c r="U56" s="5"/>
      <c r="V56" s="5"/>
      <c r="W56" s="5"/>
      <c r="X56" s="5"/>
      <c r="Y56" s="5"/>
      <c r="Z56" s="5"/>
    </row>
    <row r="57" spans="1:26" ht="12.75" customHeight="1" x14ac:dyDescent="0.25">
      <c r="A57" s="5"/>
      <c r="B57" s="5"/>
      <c r="C57" s="398" t="s">
        <v>157</v>
      </c>
      <c r="D57" s="72" t="s">
        <v>158</v>
      </c>
      <c r="E57" s="73"/>
      <c r="F57" s="73"/>
      <c r="G57" s="73"/>
      <c r="H57" s="74"/>
      <c r="I57" s="74"/>
      <c r="J57" s="75">
        <f>SUM(D55:G55)</f>
        <v>25</v>
      </c>
      <c r="K57" s="400">
        <f>J57/J58</f>
        <v>0.96153846153846156</v>
      </c>
      <c r="L57" s="5"/>
      <c r="M57" s="5"/>
      <c r="N57" s="5"/>
      <c r="O57" s="5"/>
      <c r="P57" s="5"/>
      <c r="Q57" s="5"/>
      <c r="R57" s="5"/>
      <c r="S57" s="5"/>
      <c r="T57" s="5"/>
      <c r="U57" s="5"/>
      <c r="V57" s="5"/>
      <c r="W57" s="5"/>
      <c r="X57" s="5"/>
      <c r="Y57" s="5"/>
      <c r="Z57" s="5"/>
    </row>
    <row r="58" spans="1:26" ht="12.75" customHeight="1" x14ac:dyDescent="0.25">
      <c r="A58" s="5"/>
      <c r="B58" s="5"/>
      <c r="C58" s="399"/>
      <c r="D58" s="76" t="s">
        <v>159</v>
      </c>
      <c r="E58" s="76"/>
      <c r="F58" s="76"/>
      <c r="G58" s="76"/>
      <c r="H58" s="76"/>
      <c r="I58" s="76"/>
      <c r="J58" s="77">
        <f>SUM(D55:H55,M56)</f>
        <v>26</v>
      </c>
      <c r="K58" s="401"/>
      <c r="L58" s="5"/>
      <c r="M58" s="5"/>
      <c r="N58" s="5"/>
      <c r="O58" s="5"/>
      <c r="P58" s="5"/>
      <c r="Q58" s="5"/>
      <c r="R58" s="5"/>
      <c r="S58" s="5"/>
      <c r="T58" s="5"/>
      <c r="U58" s="5"/>
      <c r="V58" s="5"/>
      <c r="W58" s="5"/>
      <c r="X58" s="5"/>
      <c r="Y58" s="5"/>
      <c r="Z58" s="5"/>
    </row>
    <row r="59" spans="1:26" ht="12.75" customHeight="1" x14ac:dyDescent="0.25">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2.75" customHeight="1" x14ac:dyDescent="0.25">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2.75" customHeight="1" x14ac:dyDescent="0.25">
      <c r="A61" s="28" t="s">
        <v>56</v>
      </c>
      <c r="B61" s="29"/>
      <c r="C61" s="5"/>
      <c r="D61" s="5"/>
      <c r="E61" s="5"/>
      <c r="F61" s="33" t="s">
        <v>60</v>
      </c>
      <c r="G61" s="5"/>
      <c r="H61" s="5"/>
      <c r="I61" s="5"/>
      <c r="J61" s="5"/>
      <c r="K61" s="5"/>
      <c r="L61" s="5"/>
      <c r="M61" s="5"/>
      <c r="N61" s="5"/>
      <c r="O61" s="5"/>
      <c r="P61" s="5"/>
      <c r="Q61" s="5"/>
      <c r="R61" s="5"/>
      <c r="S61" s="5"/>
      <c r="T61" s="5"/>
      <c r="U61" s="5"/>
      <c r="V61" s="5"/>
      <c r="W61" s="5"/>
      <c r="X61" s="5"/>
      <c r="Y61" s="5"/>
      <c r="Z61" s="5"/>
    </row>
    <row r="62" spans="1:26" ht="12.75" customHeight="1" x14ac:dyDescent="0.25">
      <c r="A62" s="28"/>
      <c r="B62" s="29"/>
      <c r="C62" s="5"/>
      <c r="D62" s="5"/>
      <c r="E62" s="5"/>
      <c r="F62" s="33"/>
      <c r="G62" s="5"/>
      <c r="H62" s="5"/>
      <c r="I62" s="5"/>
      <c r="J62" s="5"/>
      <c r="K62" s="5"/>
      <c r="L62" s="5"/>
      <c r="M62" s="5"/>
      <c r="N62" s="5"/>
      <c r="O62" s="5"/>
      <c r="P62" s="5"/>
      <c r="Q62" s="5"/>
      <c r="R62" s="5"/>
      <c r="S62" s="5"/>
      <c r="T62" s="5"/>
      <c r="U62" s="5"/>
      <c r="V62" s="5"/>
      <c r="W62" s="5"/>
      <c r="X62" s="5"/>
      <c r="Y62" s="5"/>
      <c r="Z62" s="5"/>
    </row>
    <row r="63" spans="1:26" ht="12.75" customHeight="1" x14ac:dyDescent="0.25">
      <c r="A63" s="29"/>
      <c r="B63" s="30" t="s">
        <v>160</v>
      </c>
      <c r="C63" s="78" t="s">
        <v>161</v>
      </c>
      <c r="D63" s="5"/>
      <c r="E63" s="5"/>
      <c r="F63" s="403" t="s">
        <v>162</v>
      </c>
      <c r="G63" s="373"/>
      <c r="H63" s="373"/>
      <c r="I63" s="373"/>
      <c r="J63" s="78" t="s">
        <v>163</v>
      </c>
      <c r="K63" s="5"/>
      <c r="L63" s="5"/>
      <c r="M63" s="5"/>
      <c r="N63" s="5"/>
      <c r="O63" s="5"/>
      <c r="P63" s="5"/>
      <c r="Q63" s="5"/>
      <c r="R63" s="5"/>
      <c r="S63" s="5"/>
      <c r="T63" s="5"/>
      <c r="U63" s="5"/>
      <c r="V63" s="5"/>
      <c r="W63" s="5"/>
      <c r="X63" s="5"/>
      <c r="Y63" s="5"/>
      <c r="Z63" s="5"/>
    </row>
    <row r="64" spans="1:26" ht="12.75" customHeight="1" x14ac:dyDescent="0.25">
      <c r="A64" s="372" t="s">
        <v>58</v>
      </c>
      <c r="B64" s="373"/>
      <c r="C64" s="32" t="s">
        <v>59</v>
      </c>
      <c r="D64" s="5"/>
      <c r="E64" s="5"/>
      <c r="F64" s="372" t="s">
        <v>58</v>
      </c>
      <c r="G64" s="373"/>
      <c r="H64" s="373"/>
      <c r="I64" s="373"/>
      <c r="J64" s="79" t="s">
        <v>59</v>
      </c>
      <c r="K64" s="5"/>
      <c r="L64" s="5"/>
      <c r="M64" s="5"/>
      <c r="N64" s="5"/>
      <c r="O64" s="5"/>
      <c r="P64" s="5"/>
      <c r="Q64" s="5"/>
      <c r="R64" s="5"/>
      <c r="S64" s="5"/>
      <c r="T64" s="5"/>
      <c r="U64" s="5"/>
      <c r="V64" s="5"/>
      <c r="W64" s="5"/>
      <c r="X64" s="5"/>
      <c r="Y64" s="5"/>
      <c r="Z64" s="5"/>
    </row>
    <row r="65" spans="1:26" ht="12.75" customHeight="1" x14ac:dyDescent="0.25">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2.75" customHeight="1" x14ac:dyDescent="0.25">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2.75" customHeight="1" x14ac:dyDescent="0.25">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2.75" customHeight="1" x14ac:dyDescent="0.25">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2.75" customHeight="1" x14ac:dyDescent="0.25">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2.75" customHeight="1" x14ac:dyDescent="0.25">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2.75" customHeight="1" x14ac:dyDescent="0.25">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2.75" customHeight="1" x14ac:dyDescent="0.25">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2.75" customHeight="1" x14ac:dyDescent="0.25">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2.75" customHeight="1" x14ac:dyDescent="0.25">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2.75" customHeight="1" x14ac:dyDescent="0.25">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2.75" customHeight="1" x14ac:dyDescent="0.25">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2.75" customHeight="1" x14ac:dyDescent="0.25">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2.75" customHeight="1" x14ac:dyDescent="0.25">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2.75" customHeight="1" x14ac:dyDescent="0.25">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2.75" customHeight="1" x14ac:dyDescent="0.25">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2.75" customHeight="1" x14ac:dyDescent="0.25">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2.75" customHeight="1" x14ac:dyDescent="0.25">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2.75" customHeight="1" x14ac:dyDescent="0.25">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2.75" customHeight="1" x14ac:dyDescent="0.25">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2.75" customHeight="1" x14ac:dyDescent="0.25">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2.75" customHeight="1" x14ac:dyDescent="0.25">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2.75" customHeight="1" x14ac:dyDescent="0.25">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2.75" customHeight="1" x14ac:dyDescent="0.25">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75" customHeight="1" x14ac:dyDescent="0.25">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75" customHeight="1" x14ac:dyDescent="0.25">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75" customHeight="1" x14ac:dyDescent="0.2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75" customHeight="1" x14ac:dyDescent="0.25">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75" customHeight="1" x14ac:dyDescent="0.25">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75" customHeight="1" x14ac:dyDescent="0.25">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75" customHeight="1" x14ac:dyDescent="0.25">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75" customHeight="1" x14ac:dyDescent="0.25">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75" customHeight="1" x14ac:dyDescent="0.2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75" customHeight="1" x14ac:dyDescent="0.2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75" customHeight="1" x14ac:dyDescent="0.2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75" customHeight="1"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customHeight="1"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customHeight="1"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customHeight="1"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customHeight="1"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customHeight="1"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customHeight="1"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customHeight="1"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customHeight="1"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customHeight="1"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customHeight="1"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customHeight="1"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customHeight="1"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customHeight="1"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customHeight="1"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customHeight="1"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customHeight="1"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customHeight="1"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customHeight="1"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customHeight="1"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customHeight="1"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75" customHeight="1"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75" customHeight="1"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75" customHeight="1"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75" customHeight="1"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75" customHeight="1"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75" customHeight="1"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customHeight="1"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customHeight="1"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customHeight="1"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customHeight="1"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customHeight="1"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customHeight="1"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customHeight="1"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customHeight="1"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customHeight="1"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customHeight="1"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customHeight="1"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customHeight="1"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customHeight="1"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customHeight="1"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customHeight="1"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customHeight="1"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customHeight="1"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customHeight="1"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customHeight="1"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customHeight="1"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customHeight="1"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customHeight="1"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customHeight="1"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customHeight="1"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customHeight="1"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customHeight="1"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customHeight="1"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customHeight="1"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customHeight="1"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customHeight="1"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customHeight="1"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customHeight="1"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customHeight="1"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customHeight="1"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customHeight="1"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customHeight="1"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customHeight="1"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customHeight="1"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customHeight="1"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customHeight="1"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customHeight="1"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customHeight="1"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customHeight="1"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customHeight="1"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customHeight="1"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customHeight="1"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customHeight="1"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customHeight="1"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customHeight="1"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customHeight="1"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customHeight="1"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customHeight="1"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customHeight="1"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customHeight="1"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customHeight="1"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customHeight="1"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customHeight="1"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customHeight="1"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customHeight="1"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customHeight="1"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customHeight="1"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customHeight="1"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customHeight="1"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customHeight="1"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customHeight="1"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customHeight="1"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customHeight="1"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customHeight="1"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customHeight="1"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customHeight="1"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customHeight="1"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customHeight="1"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customHeight="1"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customHeight="1"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customHeight="1"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customHeight="1"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customHeight="1"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customHeight="1"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customHeight="1"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customHeight="1"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customHeight="1"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customHeight="1"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customHeight="1"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customHeight="1"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customHeight="1"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customHeight="1"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customHeight="1"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customHeight="1"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customHeight="1"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customHeight="1"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customHeight="1"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customHeight="1"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customHeight="1"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customHeight="1"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customHeight="1"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customHeight="1"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customHeight="1"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customHeight="1"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customHeight="1"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customHeight="1"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customHeight="1"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customHeight="1"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customHeight="1"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customHeight="1"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customHeight="1"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customHeight="1"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customHeight="1"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customHeight="1"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customHeight="1"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customHeight="1"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customHeight="1"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75" customHeight="1" x14ac:dyDescent="0.25"/>
    <row r="239" spans="1:26" ht="15.75" customHeight="1" x14ac:dyDescent="0.25"/>
    <row r="240" spans="1:26"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8">
    <mergeCell ref="C57:C58"/>
    <mergeCell ref="K57:K58"/>
    <mergeCell ref="A64:B64"/>
    <mergeCell ref="M14:M16"/>
    <mergeCell ref="F63:I63"/>
    <mergeCell ref="F64:I64"/>
    <mergeCell ref="J14:K14"/>
    <mergeCell ref="J15:J16"/>
    <mergeCell ref="K15:K16"/>
    <mergeCell ref="M17:M54"/>
    <mergeCell ref="L15:L16"/>
    <mergeCell ref="A17:L17"/>
    <mergeCell ref="B8:C8"/>
    <mergeCell ref="A13:B13"/>
    <mergeCell ref="D13:I13"/>
    <mergeCell ref="J13:K13"/>
    <mergeCell ref="A14:B16"/>
    <mergeCell ref="D14:I14"/>
  </mergeCells>
  <pageMargins left="0.69930555555555596" right="0.41944444444444401" top="0.75" bottom="0.75" header="0" footer="0"/>
  <pageSetup paperSize="14" pageOrder="overThenDown" orientation="landscape"/>
  <rowBreaks count="1" manualBreakCount="1">
    <brk id="46" man="1"/>
  </rowBreak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48DD4"/>
  </sheetPr>
  <dimension ref="A1:Z1000"/>
  <sheetViews>
    <sheetView tabSelected="1" topLeftCell="A10" workbookViewId="0"/>
  </sheetViews>
  <sheetFormatPr defaultColWidth="12.59765625" defaultRowHeight="15" customHeight="1" x14ac:dyDescent="0.25"/>
  <cols>
    <col min="1" max="1" width="2.69921875" customWidth="1"/>
    <col min="2" max="2" width="33.09765625" customWidth="1"/>
    <col min="3" max="3" width="26.5" customWidth="1"/>
    <col min="4" max="4" width="19.8984375" customWidth="1"/>
    <col min="5" max="5" width="21.19921875" customWidth="1"/>
    <col min="6" max="6" width="17.69921875" customWidth="1"/>
    <col min="7" max="26" width="9" customWidth="1"/>
  </cols>
  <sheetData>
    <row r="1" spans="1:26" ht="12.75" customHeight="1" x14ac:dyDescent="0.25">
      <c r="A1" s="1" t="s">
        <v>0</v>
      </c>
      <c r="B1" s="80"/>
      <c r="C1" s="80"/>
      <c r="D1" s="80"/>
      <c r="E1" s="80"/>
      <c r="F1" s="80"/>
      <c r="G1" s="80"/>
      <c r="H1" s="80"/>
      <c r="I1" s="80"/>
      <c r="J1" s="80"/>
      <c r="K1" s="80"/>
      <c r="L1" s="80"/>
      <c r="M1" s="80"/>
      <c r="N1" s="80"/>
      <c r="O1" s="80"/>
      <c r="P1" s="80"/>
      <c r="Q1" s="80"/>
      <c r="R1" s="80"/>
      <c r="S1" s="80"/>
      <c r="T1" s="80"/>
      <c r="U1" s="80"/>
      <c r="V1" s="80"/>
      <c r="W1" s="80"/>
      <c r="X1" s="80"/>
      <c r="Y1" s="80"/>
      <c r="Z1" s="80"/>
    </row>
    <row r="2" spans="1:26" ht="12.75" customHeight="1" x14ac:dyDescent="0.25">
      <c r="A2" s="1" t="s">
        <v>164</v>
      </c>
      <c r="B2" s="80"/>
      <c r="C2" s="80"/>
      <c r="D2" s="80"/>
      <c r="E2" s="80"/>
      <c r="F2" s="80"/>
      <c r="G2" s="80"/>
      <c r="H2" s="80"/>
      <c r="I2" s="80"/>
      <c r="J2" s="80"/>
      <c r="K2" s="80"/>
      <c r="L2" s="80"/>
      <c r="M2" s="80"/>
      <c r="N2" s="80"/>
      <c r="O2" s="80"/>
      <c r="P2" s="80"/>
      <c r="Q2" s="80"/>
      <c r="R2" s="80"/>
      <c r="S2" s="80"/>
      <c r="T2" s="80"/>
      <c r="U2" s="80"/>
      <c r="V2" s="80"/>
      <c r="W2" s="80"/>
      <c r="X2" s="80"/>
      <c r="Y2" s="80"/>
      <c r="Z2" s="80"/>
    </row>
    <row r="3" spans="1:26" ht="12.75" customHeight="1" x14ac:dyDescent="0.25">
      <c r="A3" s="5"/>
      <c r="B3" s="5"/>
      <c r="C3" s="5"/>
      <c r="D3" s="5"/>
      <c r="E3" s="5"/>
      <c r="F3" s="5"/>
      <c r="G3" s="5"/>
      <c r="H3" s="5"/>
      <c r="I3" s="5"/>
      <c r="J3" s="5"/>
      <c r="K3" s="5"/>
      <c r="L3" s="5"/>
      <c r="M3" s="5"/>
      <c r="N3" s="5"/>
      <c r="O3" s="5"/>
      <c r="P3" s="5"/>
      <c r="Q3" s="5"/>
      <c r="R3" s="5"/>
      <c r="S3" s="5"/>
      <c r="T3" s="5"/>
      <c r="U3" s="5"/>
      <c r="V3" s="5"/>
      <c r="W3" s="5"/>
      <c r="X3" s="5"/>
      <c r="Y3" s="5"/>
      <c r="Z3" s="5"/>
    </row>
    <row r="4" spans="1:26" ht="12.75" customHeight="1" x14ac:dyDescent="0.25">
      <c r="A4" s="4"/>
      <c r="B4" s="5" t="s">
        <v>165</v>
      </c>
      <c r="C4" s="5"/>
      <c r="D4" s="5"/>
      <c r="E4" s="5"/>
      <c r="F4" s="5"/>
      <c r="G4" s="5"/>
      <c r="H4" s="5"/>
      <c r="I4" s="5"/>
      <c r="J4" s="5"/>
      <c r="K4" s="5"/>
      <c r="L4" s="5"/>
      <c r="M4" s="5"/>
      <c r="N4" s="5"/>
      <c r="O4" s="5"/>
      <c r="P4" s="5"/>
      <c r="Q4" s="5"/>
      <c r="R4" s="5"/>
      <c r="S4" s="5"/>
      <c r="T4" s="5"/>
      <c r="U4" s="5"/>
      <c r="V4" s="5"/>
      <c r="W4" s="5"/>
      <c r="X4" s="5"/>
      <c r="Y4" s="5"/>
      <c r="Z4" s="5"/>
    </row>
    <row r="5" spans="1:26" ht="12.75" customHeight="1" x14ac:dyDescent="0.25">
      <c r="A5" s="5"/>
      <c r="B5" s="81" t="s">
        <v>166</v>
      </c>
      <c r="C5" s="82"/>
      <c r="D5" s="82"/>
      <c r="E5" s="5"/>
      <c r="F5" s="5"/>
      <c r="G5" s="5"/>
      <c r="H5" s="5"/>
      <c r="I5" s="5"/>
      <c r="J5" s="5"/>
      <c r="K5" s="5"/>
      <c r="L5" s="5"/>
      <c r="M5" s="5"/>
      <c r="N5" s="5"/>
      <c r="O5" s="5"/>
      <c r="P5" s="5"/>
      <c r="Q5" s="5"/>
      <c r="R5" s="5"/>
      <c r="S5" s="5"/>
      <c r="T5" s="5"/>
      <c r="U5" s="5"/>
      <c r="V5" s="5"/>
      <c r="W5" s="5"/>
      <c r="X5" s="5"/>
      <c r="Y5" s="5"/>
      <c r="Z5" s="5"/>
    </row>
    <row r="6" spans="1:26" ht="12.75" customHeight="1" x14ac:dyDescent="0.25">
      <c r="A6" s="5"/>
      <c r="B6" s="3" t="s">
        <v>4</v>
      </c>
      <c r="C6" s="5"/>
      <c r="D6" s="5"/>
      <c r="E6" s="5"/>
      <c r="F6" s="5"/>
      <c r="G6" s="5"/>
      <c r="H6" s="5"/>
      <c r="I6" s="5"/>
      <c r="J6" s="5"/>
      <c r="K6" s="5"/>
      <c r="L6" s="5"/>
      <c r="M6" s="5"/>
      <c r="N6" s="5"/>
      <c r="O6" s="5"/>
      <c r="P6" s="5"/>
      <c r="Q6" s="5"/>
      <c r="R6" s="5"/>
      <c r="S6" s="5"/>
      <c r="T6" s="5"/>
      <c r="U6" s="5"/>
      <c r="V6" s="5"/>
      <c r="W6" s="5"/>
      <c r="X6" s="5"/>
      <c r="Y6" s="5"/>
      <c r="Z6" s="5"/>
    </row>
    <row r="7" spans="1:26" ht="12.75" customHeight="1" x14ac:dyDescent="0.25">
      <c r="A7" s="5"/>
      <c r="B7" s="5"/>
      <c r="C7" s="5"/>
      <c r="D7" s="5"/>
      <c r="E7" s="5"/>
      <c r="F7" s="5"/>
      <c r="G7" s="5"/>
      <c r="H7" s="5"/>
      <c r="I7" s="5"/>
      <c r="J7" s="5"/>
      <c r="K7" s="5"/>
      <c r="L7" s="5"/>
      <c r="M7" s="5"/>
      <c r="N7" s="5"/>
      <c r="O7" s="5"/>
      <c r="P7" s="5"/>
      <c r="Q7" s="5"/>
      <c r="R7" s="5"/>
      <c r="S7" s="5"/>
      <c r="T7" s="5"/>
      <c r="U7" s="5"/>
      <c r="V7" s="5"/>
      <c r="W7" s="5"/>
      <c r="X7" s="5"/>
      <c r="Y7" s="5"/>
      <c r="Z7" s="5"/>
    </row>
    <row r="8" spans="1:26" ht="12.75" customHeight="1" x14ac:dyDescent="0.25">
      <c r="A8" s="5"/>
      <c r="B8" s="5" t="s">
        <v>167</v>
      </c>
      <c r="C8" s="5" t="s">
        <v>168</v>
      </c>
      <c r="D8" s="5"/>
      <c r="E8" s="5"/>
      <c r="F8" s="5"/>
      <c r="G8" s="5"/>
      <c r="H8" s="5"/>
      <c r="I8" s="5"/>
      <c r="J8" s="5"/>
      <c r="K8" s="5"/>
      <c r="L8" s="5"/>
      <c r="M8" s="5"/>
      <c r="N8" s="5"/>
      <c r="O8" s="5"/>
      <c r="P8" s="5"/>
      <c r="Q8" s="5"/>
      <c r="R8" s="5"/>
      <c r="S8" s="5"/>
      <c r="T8" s="5"/>
      <c r="U8" s="5"/>
      <c r="V8" s="5"/>
      <c r="W8" s="5"/>
      <c r="X8" s="5"/>
      <c r="Y8" s="5"/>
      <c r="Z8" s="5"/>
    </row>
    <row r="9" spans="1:26" ht="12.75" customHeight="1" x14ac:dyDescent="0.25">
      <c r="A9" s="5"/>
      <c r="B9" s="5"/>
      <c r="C9" s="5"/>
      <c r="D9" s="5"/>
      <c r="E9" s="5"/>
      <c r="F9" s="5"/>
      <c r="G9" s="5"/>
      <c r="H9" s="5"/>
      <c r="I9" s="5"/>
      <c r="J9" s="5"/>
      <c r="K9" s="5"/>
      <c r="L9" s="5"/>
      <c r="M9" s="5"/>
      <c r="N9" s="5"/>
      <c r="O9" s="5"/>
      <c r="P9" s="5"/>
      <c r="Q9" s="5"/>
      <c r="R9" s="5"/>
      <c r="S9" s="5"/>
      <c r="T9" s="5"/>
      <c r="U9" s="5"/>
      <c r="V9" s="5"/>
      <c r="W9" s="5"/>
      <c r="X9" s="5"/>
      <c r="Y9" s="5"/>
      <c r="Z9" s="5"/>
    </row>
    <row r="10" spans="1:26" ht="12.75" customHeight="1" x14ac:dyDescent="0.25">
      <c r="A10" s="406">
        <v>1</v>
      </c>
      <c r="B10" s="371"/>
      <c r="C10" s="16">
        <v>2</v>
      </c>
      <c r="D10" s="16">
        <v>3</v>
      </c>
      <c r="E10" s="16">
        <v>4</v>
      </c>
      <c r="F10" s="10">
        <v>7</v>
      </c>
      <c r="G10" s="9"/>
      <c r="H10" s="9"/>
      <c r="I10" s="9"/>
      <c r="J10" s="9"/>
      <c r="K10" s="9"/>
      <c r="L10" s="9"/>
      <c r="M10" s="9"/>
      <c r="N10" s="9"/>
      <c r="O10" s="9"/>
      <c r="P10" s="9"/>
      <c r="Q10" s="9"/>
      <c r="R10" s="9"/>
      <c r="S10" s="9"/>
      <c r="T10" s="9"/>
      <c r="U10" s="9"/>
      <c r="V10" s="9"/>
      <c r="W10" s="9"/>
      <c r="X10" s="9"/>
      <c r="Y10" s="9"/>
      <c r="Z10" s="9"/>
    </row>
    <row r="11" spans="1:26" ht="33" customHeight="1" x14ac:dyDescent="0.25">
      <c r="A11" s="397" t="s">
        <v>11</v>
      </c>
      <c r="B11" s="371"/>
      <c r="C11" s="83" t="s">
        <v>169</v>
      </c>
      <c r="D11" s="83" t="s">
        <v>170</v>
      </c>
      <c r="E11" s="83" t="s">
        <v>171</v>
      </c>
      <c r="F11" s="367" t="s">
        <v>74</v>
      </c>
      <c r="G11" s="84"/>
      <c r="H11" s="84"/>
      <c r="I11" s="84"/>
      <c r="J11" s="84"/>
      <c r="K11" s="84"/>
      <c r="L11" s="84"/>
      <c r="M11" s="84"/>
      <c r="N11" s="84"/>
      <c r="O11" s="84"/>
      <c r="P11" s="84"/>
      <c r="Q11" s="84"/>
      <c r="R11" s="84"/>
      <c r="S11" s="84"/>
      <c r="T11" s="84"/>
      <c r="U11" s="84"/>
      <c r="V11" s="84"/>
      <c r="W11" s="84"/>
      <c r="X11" s="84"/>
      <c r="Y11" s="84"/>
      <c r="Z11" s="84"/>
    </row>
    <row r="12" spans="1:26" ht="12.75" customHeight="1" x14ac:dyDescent="0.25">
      <c r="A12" s="407" t="s">
        <v>172</v>
      </c>
      <c r="B12" s="370"/>
      <c r="C12" s="370"/>
      <c r="D12" s="370"/>
      <c r="E12" s="371"/>
      <c r="F12" s="383"/>
      <c r="G12" s="5"/>
      <c r="H12" s="5"/>
      <c r="I12" s="5"/>
      <c r="J12" s="5"/>
      <c r="K12" s="5"/>
      <c r="L12" s="5"/>
      <c r="M12" s="5"/>
      <c r="N12" s="5"/>
      <c r="O12" s="5"/>
      <c r="P12" s="5"/>
      <c r="Q12" s="5"/>
      <c r="R12" s="5"/>
      <c r="S12" s="5"/>
      <c r="T12" s="5"/>
      <c r="U12" s="5"/>
      <c r="V12" s="5"/>
      <c r="W12" s="5"/>
      <c r="X12" s="5"/>
      <c r="Y12" s="5"/>
      <c r="Z12" s="5"/>
    </row>
    <row r="13" spans="1:26" ht="12.75" customHeight="1" x14ac:dyDescent="0.25">
      <c r="A13" s="15">
        <v>1</v>
      </c>
      <c r="B13" s="85" t="s">
        <v>40</v>
      </c>
      <c r="C13" s="86" t="s">
        <v>173</v>
      </c>
      <c r="D13" s="87">
        <v>3</v>
      </c>
      <c r="E13" s="87">
        <v>1</v>
      </c>
      <c r="F13" s="368"/>
      <c r="G13" s="5"/>
      <c r="H13" s="5"/>
      <c r="I13" s="5"/>
      <c r="J13" s="5"/>
      <c r="K13" s="5"/>
      <c r="L13" s="5"/>
      <c r="M13" s="5"/>
      <c r="N13" s="5"/>
      <c r="O13" s="5"/>
      <c r="P13" s="5"/>
      <c r="Q13" s="5"/>
      <c r="R13" s="5"/>
      <c r="S13" s="5"/>
      <c r="T13" s="5"/>
      <c r="U13" s="5"/>
      <c r="V13" s="5"/>
      <c r="W13" s="5"/>
      <c r="X13" s="5"/>
      <c r="Y13" s="5"/>
      <c r="Z13" s="5"/>
    </row>
    <row r="14" spans="1:26" ht="12.75" customHeight="1" x14ac:dyDescent="0.25">
      <c r="A14" s="15">
        <v>2</v>
      </c>
      <c r="B14" s="85" t="s">
        <v>174</v>
      </c>
      <c r="C14" s="86" t="s">
        <v>175</v>
      </c>
      <c r="D14" s="87">
        <v>1</v>
      </c>
      <c r="E14" s="87">
        <v>0</v>
      </c>
      <c r="F14" s="408" t="s">
        <v>176</v>
      </c>
      <c r="G14" s="5"/>
      <c r="H14" s="5"/>
      <c r="I14" s="5"/>
      <c r="J14" s="5"/>
      <c r="K14" s="5"/>
      <c r="L14" s="5"/>
      <c r="M14" s="5"/>
      <c r="N14" s="5"/>
      <c r="O14" s="5"/>
      <c r="P14" s="5"/>
      <c r="Q14" s="5"/>
      <c r="R14" s="5"/>
      <c r="S14" s="5"/>
      <c r="T14" s="5"/>
      <c r="U14" s="5"/>
      <c r="V14" s="5"/>
      <c r="W14" s="5"/>
      <c r="X14" s="5"/>
      <c r="Y14" s="5"/>
      <c r="Z14" s="5"/>
    </row>
    <row r="15" spans="1:26" ht="12.75" customHeight="1" x14ac:dyDescent="0.25">
      <c r="A15" s="15">
        <v>3</v>
      </c>
      <c r="B15" s="85" t="s">
        <v>177</v>
      </c>
      <c r="C15" s="86" t="s">
        <v>178</v>
      </c>
      <c r="D15" s="87">
        <v>7</v>
      </c>
      <c r="E15" s="87">
        <v>5</v>
      </c>
      <c r="F15" s="396"/>
      <c r="G15" s="5"/>
      <c r="H15" s="5"/>
      <c r="I15" s="5"/>
      <c r="J15" s="5"/>
      <c r="K15" s="5"/>
      <c r="L15" s="5"/>
      <c r="M15" s="5"/>
      <c r="N15" s="5"/>
      <c r="O15" s="5"/>
      <c r="P15" s="5"/>
      <c r="Q15" s="5"/>
      <c r="R15" s="5"/>
      <c r="S15" s="5"/>
      <c r="T15" s="5"/>
      <c r="U15" s="5"/>
      <c r="V15" s="5"/>
      <c r="W15" s="5"/>
      <c r="X15" s="5"/>
      <c r="Y15" s="5"/>
      <c r="Z15" s="5"/>
    </row>
    <row r="16" spans="1:26" ht="12.75" customHeight="1" x14ac:dyDescent="0.25">
      <c r="A16" s="15">
        <v>4</v>
      </c>
      <c r="B16" s="85" t="s">
        <v>19</v>
      </c>
      <c r="C16" s="86" t="s">
        <v>179</v>
      </c>
      <c r="D16" s="87">
        <v>1</v>
      </c>
      <c r="E16" s="87">
        <v>1</v>
      </c>
      <c r="F16" s="396"/>
      <c r="G16" s="5"/>
      <c r="H16" s="5"/>
      <c r="I16" s="5"/>
      <c r="J16" s="5"/>
      <c r="K16" s="5"/>
      <c r="L16" s="5"/>
      <c r="M16" s="5"/>
      <c r="N16" s="5"/>
      <c r="O16" s="5"/>
      <c r="P16" s="5"/>
      <c r="Q16" s="5"/>
      <c r="R16" s="5"/>
      <c r="S16" s="5"/>
      <c r="T16" s="5"/>
      <c r="U16" s="5"/>
      <c r="V16" s="5"/>
      <c r="W16" s="5"/>
      <c r="X16" s="5"/>
      <c r="Y16" s="5"/>
      <c r="Z16" s="5"/>
    </row>
    <row r="17" spans="1:26" ht="12.75" customHeight="1" x14ac:dyDescent="0.25">
      <c r="A17" s="15">
        <v>5</v>
      </c>
      <c r="B17" s="85" t="s">
        <v>18</v>
      </c>
      <c r="C17" s="86" t="s">
        <v>180</v>
      </c>
      <c r="D17" s="87">
        <v>9</v>
      </c>
      <c r="E17" s="87">
        <v>5</v>
      </c>
      <c r="F17" s="396"/>
      <c r="G17" s="5"/>
      <c r="H17" s="5"/>
      <c r="I17" s="5"/>
      <c r="J17" s="5"/>
      <c r="K17" s="5"/>
      <c r="L17" s="5"/>
      <c r="M17" s="5"/>
      <c r="N17" s="5"/>
      <c r="O17" s="5"/>
      <c r="P17" s="5"/>
      <c r="Q17" s="5"/>
      <c r="R17" s="5"/>
      <c r="S17" s="5"/>
      <c r="T17" s="5"/>
      <c r="U17" s="5"/>
      <c r="V17" s="5"/>
      <c r="W17" s="5"/>
      <c r="X17" s="5"/>
      <c r="Y17" s="5"/>
      <c r="Z17" s="5"/>
    </row>
    <row r="18" spans="1:26" ht="12.75" customHeight="1" x14ac:dyDescent="0.25">
      <c r="A18" s="15">
        <v>6</v>
      </c>
      <c r="B18" s="85" t="s">
        <v>22</v>
      </c>
      <c r="C18" s="86" t="s">
        <v>181</v>
      </c>
      <c r="D18" s="87">
        <v>2</v>
      </c>
      <c r="E18" s="87">
        <v>0</v>
      </c>
      <c r="F18" s="396"/>
      <c r="G18" s="5"/>
      <c r="H18" s="5"/>
      <c r="I18" s="5"/>
      <c r="J18" s="5"/>
      <c r="K18" s="5"/>
      <c r="L18" s="5"/>
      <c r="M18" s="5"/>
      <c r="N18" s="5"/>
      <c r="O18" s="5"/>
      <c r="P18" s="5"/>
      <c r="Q18" s="5"/>
      <c r="R18" s="5"/>
      <c r="S18" s="5"/>
      <c r="T18" s="5"/>
      <c r="U18" s="5"/>
      <c r="V18" s="5"/>
      <c r="W18" s="5"/>
      <c r="X18" s="5"/>
      <c r="Y18" s="5"/>
      <c r="Z18" s="5"/>
    </row>
    <row r="19" spans="1:26" ht="12.75" customHeight="1" x14ac:dyDescent="0.25">
      <c r="A19" s="15">
        <v>7</v>
      </c>
      <c r="B19" s="85" t="s">
        <v>23</v>
      </c>
      <c r="C19" s="88">
        <v>44455</v>
      </c>
      <c r="D19" s="87">
        <v>11</v>
      </c>
      <c r="E19" s="87">
        <v>10</v>
      </c>
      <c r="F19" s="396"/>
      <c r="G19" s="5"/>
      <c r="H19" s="5"/>
      <c r="I19" s="5"/>
      <c r="J19" s="5"/>
      <c r="K19" s="5"/>
      <c r="L19" s="5"/>
      <c r="M19" s="5"/>
      <c r="N19" s="5"/>
      <c r="O19" s="5"/>
      <c r="P19" s="5"/>
      <c r="Q19" s="5"/>
      <c r="R19" s="5"/>
      <c r="S19" s="5"/>
      <c r="T19" s="5"/>
      <c r="U19" s="5"/>
      <c r="V19" s="5"/>
      <c r="W19" s="5"/>
      <c r="X19" s="5"/>
      <c r="Y19" s="5"/>
      <c r="Z19" s="5"/>
    </row>
    <row r="20" spans="1:26" ht="12.75" customHeight="1" x14ac:dyDescent="0.25">
      <c r="A20" s="15">
        <v>8</v>
      </c>
      <c r="B20" s="85" t="s">
        <v>45</v>
      </c>
      <c r="C20" s="88">
        <v>44455</v>
      </c>
      <c r="D20" s="87">
        <v>53</v>
      </c>
      <c r="E20" s="87">
        <v>37</v>
      </c>
      <c r="F20" s="396"/>
      <c r="G20" s="5"/>
      <c r="H20" s="5"/>
      <c r="I20" s="5"/>
      <c r="J20" s="5"/>
      <c r="K20" s="5"/>
      <c r="L20" s="5"/>
      <c r="M20" s="5"/>
      <c r="N20" s="5"/>
      <c r="O20" s="5"/>
      <c r="P20" s="5"/>
      <c r="Q20" s="5"/>
      <c r="R20" s="5"/>
      <c r="S20" s="5"/>
      <c r="T20" s="5"/>
      <c r="U20" s="5"/>
      <c r="V20" s="5"/>
      <c r="W20" s="5"/>
      <c r="X20" s="5"/>
      <c r="Y20" s="5"/>
      <c r="Z20" s="5"/>
    </row>
    <row r="21" spans="1:26" ht="12.75" customHeight="1" x14ac:dyDescent="0.25">
      <c r="A21" s="407" t="s">
        <v>182</v>
      </c>
      <c r="B21" s="370"/>
      <c r="C21" s="370"/>
      <c r="D21" s="370"/>
      <c r="E21" s="371"/>
      <c r="F21" s="396"/>
      <c r="G21" s="5"/>
      <c r="H21" s="5"/>
      <c r="I21" s="5"/>
      <c r="J21" s="5"/>
      <c r="K21" s="5"/>
      <c r="L21" s="5"/>
      <c r="M21" s="5"/>
      <c r="N21" s="5"/>
      <c r="O21" s="5"/>
      <c r="P21" s="5"/>
      <c r="Q21" s="5"/>
      <c r="R21" s="5"/>
      <c r="S21" s="5"/>
      <c r="T21" s="5"/>
      <c r="U21" s="5"/>
      <c r="V21" s="5"/>
      <c r="W21" s="5"/>
      <c r="X21" s="5"/>
      <c r="Y21" s="5"/>
      <c r="Z21" s="5"/>
    </row>
    <row r="22" spans="1:26" ht="12.75" customHeight="1" x14ac:dyDescent="0.25">
      <c r="A22" s="89">
        <v>1</v>
      </c>
      <c r="B22" s="85" t="s">
        <v>48</v>
      </c>
      <c r="C22" s="86" t="s">
        <v>183</v>
      </c>
      <c r="D22" s="87">
        <v>3</v>
      </c>
      <c r="E22" s="87">
        <v>3</v>
      </c>
      <c r="F22" s="396"/>
      <c r="G22" s="5"/>
      <c r="H22" s="5"/>
      <c r="I22" s="5"/>
      <c r="J22" s="5"/>
      <c r="K22" s="5"/>
      <c r="L22" s="5"/>
      <c r="M22" s="5"/>
      <c r="N22" s="5"/>
      <c r="O22" s="5"/>
      <c r="P22" s="5"/>
      <c r="Q22" s="5"/>
      <c r="R22" s="5"/>
      <c r="S22" s="5"/>
      <c r="T22" s="5"/>
      <c r="U22" s="5"/>
      <c r="V22" s="5"/>
      <c r="W22" s="5"/>
      <c r="X22" s="5"/>
      <c r="Y22" s="5"/>
      <c r="Z22" s="5"/>
    </row>
    <row r="23" spans="1:26" ht="12.75" customHeight="1" x14ac:dyDescent="0.25">
      <c r="A23" s="407" t="s">
        <v>184</v>
      </c>
      <c r="B23" s="370"/>
      <c r="C23" s="370"/>
      <c r="D23" s="370"/>
      <c r="E23" s="371"/>
      <c r="F23" s="396"/>
      <c r="G23" s="5"/>
      <c r="H23" s="5"/>
      <c r="I23" s="5"/>
      <c r="J23" s="5"/>
      <c r="K23" s="5"/>
      <c r="L23" s="5"/>
      <c r="M23" s="5"/>
      <c r="N23" s="5"/>
      <c r="O23" s="5"/>
      <c r="P23" s="5"/>
      <c r="Q23" s="5"/>
      <c r="R23" s="5"/>
      <c r="S23" s="5"/>
      <c r="T23" s="5"/>
      <c r="U23" s="5"/>
      <c r="V23" s="5"/>
      <c r="W23" s="5"/>
      <c r="X23" s="5"/>
      <c r="Y23" s="5"/>
      <c r="Z23" s="5"/>
    </row>
    <row r="24" spans="1:26" ht="12.75" customHeight="1" x14ac:dyDescent="0.25">
      <c r="A24" s="89">
        <v>1</v>
      </c>
      <c r="B24" s="90" t="s">
        <v>43</v>
      </c>
      <c r="C24" s="86" t="s">
        <v>185</v>
      </c>
      <c r="D24" s="87">
        <v>0</v>
      </c>
      <c r="E24" s="87">
        <v>0</v>
      </c>
      <c r="F24" s="396"/>
      <c r="G24" s="5"/>
      <c r="H24" s="5"/>
      <c r="I24" s="5"/>
      <c r="J24" s="5"/>
      <c r="K24" s="5"/>
      <c r="L24" s="5"/>
      <c r="M24" s="5"/>
      <c r="N24" s="5"/>
      <c r="O24" s="5"/>
      <c r="P24" s="5"/>
      <c r="Q24" s="5"/>
      <c r="R24" s="5"/>
      <c r="S24" s="5"/>
      <c r="T24" s="5"/>
      <c r="U24" s="5"/>
      <c r="V24" s="5"/>
      <c r="W24" s="5"/>
      <c r="X24" s="5"/>
      <c r="Y24" s="5"/>
      <c r="Z24" s="5"/>
    </row>
    <row r="25" spans="1:26" ht="15" customHeight="1" x14ac:dyDescent="0.25">
      <c r="A25" s="89"/>
      <c r="B25" s="91"/>
      <c r="C25" s="92"/>
      <c r="D25" s="93"/>
      <c r="E25" s="93"/>
      <c r="F25" s="396"/>
      <c r="G25" s="5"/>
      <c r="H25" s="5"/>
      <c r="I25" s="5"/>
      <c r="J25" s="5"/>
      <c r="K25" s="5"/>
      <c r="L25" s="5"/>
      <c r="M25" s="5"/>
      <c r="N25" s="5"/>
      <c r="O25" s="5"/>
      <c r="P25" s="5"/>
      <c r="Q25" s="5"/>
      <c r="R25" s="5"/>
      <c r="S25" s="5"/>
      <c r="T25" s="5"/>
      <c r="U25" s="5"/>
      <c r="V25" s="5"/>
      <c r="W25" s="5"/>
      <c r="X25" s="5"/>
      <c r="Y25" s="5"/>
      <c r="Z25" s="5"/>
    </row>
    <row r="26" spans="1:26" ht="27" customHeight="1" x14ac:dyDescent="0.25">
      <c r="A26" s="94"/>
      <c r="B26" s="3"/>
      <c r="C26" s="95"/>
      <c r="D26" s="96"/>
      <c r="E26" s="96"/>
      <c r="F26" s="396"/>
      <c r="G26" s="5"/>
      <c r="H26" s="5"/>
      <c r="I26" s="5"/>
      <c r="J26" s="5"/>
      <c r="K26" s="5"/>
      <c r="L26" s="5"/>
      <c r="M26" s="5"/>
      <c r="N26" s="5"/>
      <c r="O26" s="5"/>
      <c r="P26" s="5"/>
      <c r="Q26" s="5"/>
      <c r="R26" s="5"/>
      <c r="S26" s="5"/>
      <c r="T26" s="5"/>
      <c r="U26" s="5"/>
      <c r="V26" s="5"/>
      <c r="W26" s="5"/>
      <c r="X26" s="5"/>
      <c r="Y26" s="5"/>
      <c r="Z26" s="5"/>
    </row>
    <row r="27" spans="1:26" ht="12.75" customHeight="1" x14ac:dyDescent="0.25">
      <c r="A27" s="411" t="s">
        <v>186</v>
      </c>
      <c r="B27" s="391"/>
      <c r="C27" s="25"/>
      <c r="D27" s="97">
        <f t="shared" ref="D27:E27" si="0">SUM(D12:D25)</f>
        <v>90</v>
      </c>
      <c r="E27" s="98">
        <f t="shared" si="0"/>
        <v>62</v>
      </c>
      <c r="F27" s="396"/>
      <c r="G27" s="5"/>
      <c r="H27" s="5"/>
      <c r="I27" s="5"/>
      <c r="J27" s="5"/>
      <c r="K27" s="5"/>
      <c r="L27" s="5"/>
      <c r="M27" s="5"/>
      <c r="N27" s="5"/>
      <c r="O27" s="5"/>
      <c r="P27" s="5"/>
      <c r="Q27" s="5"/>
      <c r="R27" s="5"/>
      <c r="S27" s="5"/>
      <c r="T27" s="5"/>
      <c r="U27" s="5"/>
      <c r="V27" s="5"/>
      <c r="W27" s="5"/>
      <c r="X27" s="5"/>
      <c r="Y27" s="5"/>
      <c r="Z27" s="5"/>
    </row>
    <row r="28" spans="1:26" ht="12.75" customHeight="1" x14ac:dyDescent="0.25">
      <c r="A28" s="412" t="s">
        <v>187</v>
      </c>
      <c r="B28" s="388"/>
      <c r="C28" s="99"/>
      <c r="D28" s="409">
        <f>E27/D27</f>
        <v>0.68888888888888888</v>
      </c>
      <c r="E28" s="410"/>
      <c r="F28" s="380"/>
      <c r="G28" s="5"/>
      <c r="H28" s="5"/>
      <c r="I28" s="5"/>
      <c r="J28" s="5"/>
      <c r="K28" s="5"/>
      <c r="L28" s="5"/>
      <c r="M28" s="5"/>
      <c r="N28" s="5"/>
      <c r="O28" s="5"/>
      <c r="P28" s="5"/>
      <c r="Q28" s="5"/>
      <c r="R28" s="5"/>
      <c r="S28" s="5"/>
      <c r="T28" s="5"/>
      <c r="U28" s="5"/>
      <c r="V28" s="5"/>
      <c r="W28" s="5"/>
      <c r="X28" s="5"/>
      <c r="Y28" s="5"/>
      <c r="Z28" s="5"/>
    </row>
    <row r="29" spans="1:26" ht="12.75" customHeight="1" x14ac:dyDescent="0.25">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2.75" customHeight="1" x14ac:dyDescent="0.25">
      <c r="A30" s="28" t="s">
        <v>56</v>
      </c>
      <c r="B30" s="29"/>
      <c r="C30" s="5"/>
      <c r="D30" s="13"/>
      <c r="E30" s="84"/>
      <c r="F30" s="5"/>
      <c r="G30" s="5"/>
      <c r="H30" s="5"/>
      <c r="I30" s="5"/>
      <c r="J30" s="5"/>
      <c r="K30" s="5"/>
      <c r="L30" s="5"/>
      <c r="M30" s="5"/>
      <c r="N30" s="5"/>
      <c r="O30" s="5"/>
      <c r="P30" s="5"/>
      <c r="Q30" s="5"/>
      <c r="R30" s="5"/>
      <c r="S30" s="5"/>
      <c r="T30" s="5"/>
      <c r="U30" s="5"/>
      <c r="V30" s="5"/>
      <c r="W30" s="5"/>
      <c r="X30" s="5"/>
      <c r="Y30" s="5"/>
      <c r="Z30" s="5"/>
    </row>
    <row r="31" spans="1:26" ht="12.75" customHeight="1" x14ac:dyDescent="0.25">
      <c r="A31" s="28"/>
      <c r="B31" s="29"/>
      <c r="C31" s="5"/>
      <c r="D31" s="13"/>
      <c r="E31" s="84"/>
      <c r="F31" s="5"/>
      <c r="G31" s="5"/>
      <c r="H31" s="5"/>
      <c r="I31" s="5"/>
      <c r="J31" s="5"/>
      <c r="K31" s="5"/>
      <c r="L31" s="5"/>
      <c r="M31" s="5"/>
      <c r="N31" s="5"/>
      <c r="O31" s="5"/>
      <c r="P31" s="5"/>
      <c r="Q31" s="5"/>
      <c r="R31" s="5"/>
      <c r="S31" s="5"/>
      <c r="T31" s="5"/>
      <c r="U31" s="5"/>
      <c r="V31" s="5"/>
      <c r="W31" s="5"/>
      <c r="X31" s="5"/>
      <c r="Y31" s="5"/>
      <c r="Z31" s="5"/>
    </row>
    <row r="32" spans="1:26" ht="12.75" customHeight="1" x14ac:dyDescent="0.25">
      <c r="A32" s="29"/>
      <c r="B32" s="30" t="s">
        <v>188</v>
      </c>
      <c r="C32" s="31">
        <v>44610</v>
      </c>
      <c r="D32" s="5"/>
      <c r="E32" s="5"/>
      <c r="F32" s="5"/>
      <c r="G32" s="5"/>
      <c r="H32" s="5"/>
      <c r="I32" s="5"/>
      <c r="J32" s="5"/>
      <c r="K32" s="5"/>
      <c r="L32" s="5"/>
      <c r="M32" s="5"/>
      <c r="N32" s="5"/>
      <c r="O32" s="5"/>
      <c r="P32" s="5"/>
      <c r="Q32" s="5"/>
      <c r="R32" s="5"/>
      <c r="S32" s="5"/>
      <c r="T32" s="5"/>
      <c r="U32" s="5"/>
      <c r="V32" s="5"/>
      <c r="W32" s="5"/>
      <c r="X32" s="5"/>
      <c r="Y32" s="5"/>
      <c r="Z32" s="5"/>
    </row>
    <row r="33" spans="1:26" ht="12.75" customHeight="1" x14ac:dyDescent="0.25">
      <c r="A33" s="372" t="s">
        <v>58</v>
      </c>
      <c r="B33" s="373"/>
      <c r="C33" s="32" t="s">
        <v>59</v>
      </c>
      <c r="D33" s="5"/>
      <c r="E33" s="5"/>
      <c r="F33" s="5"/>
      <c r="G33" s="5"/>
      <c r="H33" s="5"/>
      <c r="I33" s="5"/>
      <c r="J33" s="5"/>
      <c r="K33" s="5"/>
      <c r="L33" s="5"/>
      <c r="M33" s="5"/>
      <c r="N33" s="5"/>
      <c r="O33" s="5"/>
      <c r="P33" s="5"/>
      <c r="Q33" s="5"/>
      <c r="R33" s="5"/>
      <c r="S33" s="5"/>
      <c r="T33" s="5"/>
      <c r="U33" s="5"/>
      <c r="V33" s="5"/>
      <c r="W33" s="5"/>
      <c r="X33" s="5"/>
      <c r="Y33" s="5"/>
      <c r="Z33" s="5"/>
    </row>
    <row r="34" spans="1:26" ht="12.75" customHeight="1" x14ac:dyDescent="0.25">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2.75" customHeight="1" x14ac:dyDescent="0.25">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2.75" customHeight="1" x14ac:dyDescent="0.25">
      <c r="A36" s="33" t="s">
        <v>60</v>
      </c>
      <c r="B36" s="5"/>
      <c r="C36" s="5"/>
      <c r="D36" s="5"/>
      <c r="E36" s="5"/>
      <c r="F36" s="5"/>
      <c r="G36" s="5"/>
      <c r="H36" s="5"/>
      <c r="I36" s="5"/>
      <c r="J36" s="5"/>
      <c r="K36" s="5"/>
      <c r="L36" s="5"/>
      <c r="M36" s="5"/>
      <c r="N36" s="5"/>
      <c r="O36" s="5"/>
      <c r="P36" s="5"/>
      <c r="Q36" s="5"/>
      <c r="R36" s="5"/>
      <c r="S36" s="5"/>
      <c r="T36" s="5"/>
      <c r="U36" s="5"/>
      <c r="V36" s="5"/>
      <c r="W36" s="5"/>
      <c r="X36" s="5"/>
      <c r="Y36" s="5"/>
      <c r="Z36" s="5"/>
    </row>
    <row r="37" spans="1:26" ht="12.75" customHeight="1" x14ac:dyDescent="0.25">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2.75" customHeight="1" x14ac:dyDescent="0.25">
      <c r="A38" s="29"/>
      <c r="B38" s="30" t="s">
        <v>61</v>
      </c>
      <c r="C38" s="31">
        <v>44610</v>
      </c>
      <c r="D38" s="5"/>
      <c r="E38" s="5"/>
      <c r="F38" s="5"/>
      <c r="G38" s="5"/>
      <c r="H38" s="5"/>
      <c r="I38" s="5"/>
      <c r="J38" s="5"/>
      <c r="K38" s="5"/>
      <c r="L38" s="5"/>
      <c r="M38" s="5"/>
      <c r="N38" s="5"/>
      <c r="O38" s="5"/>
      <c r="P38" s="5"/>
      <c r="Q38" s="5"/>
      <c r="R38" s="5"/>
      <c r="S38" s="5"/>
      <c r="T38" s="5"/>
      <c r="U38" s="5"/>
      <c r="V38" s="5"/>
      <c r="W38" s="5"/>
      <c r="X38" s="5"/>
      <c r="Y38" s="5"/>
      <c r="Z38" s="5"/>
    </row>
    <row r="39" spans="1:26" ht="12.75" customHeight="1" x14ac:dyDescent="0.25">
      <c r="A39" s="372" t="s">
        <v>58</v>
      </c>
      <c r="B39" s="373"/>
      <c r="C39" s="32" t="s">
        <v>59</v>
      </c>
      <c r="D39" s="5"/>
      <c r="E39" s="5"/>
      <c r="F39" s="5"/>
      <c r="G39" s="5"/>
      <c r="H39" s="5"/>
      <c r="I39" s="5"/>
      <c r="J39" s="5"/>
      <c r="K39" s="5"/>
      <c r="L39" s="5"/>
      <c r="M39" s="5"/>
      <c r="N39" s="5"/>
      <c r="O39" s="5"/>
      <c r="P39" s="5"/>
      <c r="Q39" s="5"/>
      <c r="R39" s="5"/>
      <c r="S39" s="5"/>
      <c r="T39" s="5"/>
      <c r="U39" s="5"/>
      <c r="V39" s="5"/>
      <c r="W39" s="5"/>
      <c r="X39" s="5"/>
      <c r="Y39" s="5"/>
      <c r="Z39" s="5"/>
    </row>
    <row r="40" spans="1:26" ht="12.75" customHeight="1" x14ac:dyDescent="0.25">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2.75" customHeight="1" x14ac:dyDescent="0.25">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2.75" customHeight="1" x14ac:dyDescent="0.25">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2.75" customHeight="1" x14ac:dyDescent="0.25">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2.75" customHeight="1" x14ac:dyDescent="0.25">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2.75" customHeight="1" x14ac:dyDescent="0.25">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2.75" customHeight="1" x14ac:dyDescent="0.25">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2.75" customHeight="1" x14ac:dyDescent="0.25">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2.75" customHeight="1" x14ac:dyDescent="0.25">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2.75" customHeight="1" x14ac:dyDescent="0.25">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2.75" customHeight="1" x14ac:dyDescent="0.25">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2.75" customHeight="1" x14ac:dyDescent="0.25">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2.75" customHeight="1" x14ac:dyDescent="0.25">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2.75" customHeight="1" x14ac:dyDescent="0.25">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2.75" customHeight="1" x14ac:dyDescent="0.25">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2.75" customHeight="1" x14ac:dyDescent="0.25">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2.75" customHeight="1" x14ac:dyDescent="0.25">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2.75" customHeight="1" x14ac:dyDescent="0.25">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2.75" customHeight="1" x14ac:dyDescent="0.25">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2.75" customHeight="1" x14ac:dyDescent="0.25">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2.75" customHeight="1" x14ac:dyDescent="0.25">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2.75" customHeight="1" x14ac:dyDescent="0.25">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2.75" customHeight="1" x14ac:dyDescent="0.25">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2.75" customHeight="1" x14ac:dyDescent="0.25">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2.75" customHeight="1" x14ac:dyDescent="0.25">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2.75" customHeight="1" x14ac:dyDescent="0.25">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2.75" customHeight="1" x14ac:dyDescent="0.25">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2.75" customHeight="1" x14ac:dyDescent="0.25">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2.75" customHeight="1" x14ac:dyDescent="0.25">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2.75" customHeight="1" x14ac:dyDescent="0.25">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2.75" customHeight="1" x14ac:dyDescent="0.25">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2.75" customHeight="1" x14ac:dyDescent="0.25">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2.75" customHeight="1" x14ac:dyDescent="0.25">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2.75" customHeight="1" x14ac:dyDescent="0.25">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2.75" customHeight="1" x14ac:dyDescent="0.25">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2.75" customHeight="1" x14ac:dyDescent="0.25">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2.75" customHeight="1" x14ac:dyDescent="0.25">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2.75" customHeight="1" x14ac:dyDescent="0.25">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2.75" customHeight="1" x14ac:dyDescent="0.25">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2.75" customHeight="1" x14ac:dyDescent="0.25">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2.75" customHeight="1" x14ac:dyDescent="0.25">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2.75" customHeight="1" x14ac:dyDescent="0.25">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2.75" customHeight="1" x14ac:dyDescent="0.25">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2.75" customHeight="1" x14ac:dyDescent="0.25">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2.75" customHeight="1" x14ac:dyDescent="0.25">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2.75" customHeight="1" x14ac:dyDescent="0.25">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2.75" customHeight="1" x14ac:dyDescent="0.25">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2.75" customHeight="1" x14ac:dyDescent="0.25">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2.75" customHeight="1" x14ac:dyDescent="0.25">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75" customHeight="1" x14ac:dyDescent="0.25">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75" customHeight="1" x14ac:dyDescent="0.25">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75" customHeight="1" x14ac:dyDescent="0.2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75" customHeight="1" x14ac:dyDescent="0.25">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75" customHeight="1" x14ac:dyDescent="0.25">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75" customHeight="1" x14ac:dyDescent="0.25">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75" customHeight="1" x14ac:dyDescent="0.25">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75" customHeight="1" x14ac:dyDescent="0.25">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75" customHeight="1" x14ac:dyDescent="0.2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75" customHeight="1" x14ac:dyDescent="0.2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75" customHeight="1" x14ac:dyDescent="0.2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75" customHeight="1"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customHeight="1"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customHeight="1"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customHeight="1"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customHeight="1"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customHeight="1"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customHeight="1"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customHeight="1"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customHeight="1"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customHeight="1"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customHeight="1"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customHeight="1"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customHeight="1"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customHeight="1"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customHeight="1"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customHeight="1"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customHeight="1"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customHeight="1"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customHeight="1"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customHeight="1"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customHeight="1"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75" customHeight="1"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75" customHeight="1"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75" customHeight="1"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75" customHeight="1"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75" customHeight="1"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75" customHeight="1"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customHeight="1"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customHeight="1"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customHeight="1"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customHeight="1"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customHeight="1"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customHeight="1"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customHeight="1"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customHeight="1"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customHeight="1"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customHeight="1"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customHeight="1"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customHeight="1"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customHeight="1"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customHeight="1"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customHeight="1"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customHeight="1"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customHeight="1"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customHeight="1"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customHeight="1"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customHeight="1"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customHeight="1"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customHeight="1"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customHeight="1"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customHeight="1"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customHeight="1"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customHeight="1"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customHeight="1"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customHeight="1"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customHeight="1"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customHeight="1"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customHeight="1"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customHeight="1"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customHeight="1"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customHeight="1"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customHeight="1"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customHeight="1"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customHeight="1"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customHeight="1"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customHeight="1"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customHeight="1"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customHeight="1"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customHeight="1"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customHeight="1"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customHeight="1"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customHeight="1"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customHeight="1"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customHeight="1"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customHeight="1"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customHeight="1"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customHeight="1"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customHeight="1"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customHeight="1"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customHeight="1"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customHeight="1"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customHeight="1"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customHeight="1"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customHeight="1"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customHeight="1"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customHeight="1"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customHeight="1"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customHeight="1"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customHeight="1"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customHeight="1"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customHeight="1"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customHeight="1"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customHeight="1"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customHeight="1"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customHeight="1"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customHeight="1"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customHeight="1"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customHeight="1"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customHeight="1"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customHeight="1"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customHeight="1"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customHeight="1"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customHeight="1"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customHeight="1"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customHeight="1"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customHeight="1"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customHeight="1"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customHeight="1"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customHeight="1"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customHeight="1"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customHeight="1"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customHeight="1"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customHeight="1"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customHeight="1"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customHeight="1"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customHeight="1"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customHeight="1"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customHeight="1"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customHeight="1"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customHeight="1"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customHeight="1"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customHeight="1"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customHeight="1"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customHeight="1"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customHeight="1"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customHeight="1"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customHeight="1"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customHeight="1"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customHeight="1"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customHeight="1"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customHeight="1"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customHeight="1"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customHeight="1"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customHeight="1"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customHeight="1"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customHeight="1"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customHeight="1"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customHeight="1"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75" customHeight="1" x14ac:dyDescent="0.25"/>
    <row r="239" spans="1:26" ht="15.75" customHeight="1" x14ac:dyDescent="0.25"/>
    <row r="240" spans="1:26"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2">
    <mergeCell ref="A33:B33"/>
    <mergeCell ref="A39:B39"/>
    <mergeCell ref="A10:B10"/>
    <mergeCell ref="A11:B11"/>
    <mergeCell ref="F11:F13"/>
    <mergeCell ref="A12:E12"/>
    <mergeCell ref="F14:F28"/>
    <mergeCell ref="A21:E21"/>
    <mergeCell ref="A23:E23"/>
    <mergeCell ref="D28:E28"/>
    <mergeCell ref="A27:B27"/>
    <mergeCell ref="A28:B28"/>
  </mergeCells>
  <pageMargins left="0.69930555555555596" right="0.41944444444444401" top="0.75" bottom="0.75" header="0" footer="0"/>
  <pageSetup paperSize="14" scale="89" pageOrder="overThenDown"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464"/>
  <sheetViews>
    <sheetView topLeftCell="A1433" workbookViewId="0">
      <selection activeCell="G1427" sqref="G1427:G1449"/>
    </sheetView>
  </sheetViews>
  <sheetFormatPr defaultColWidth="12.59765625" defaultRowHeight="15" customHeight="1" x14ac:dyDescent="0.25"/>
  <cols>
    <col min="1" max="1" width="27.09765625" customWidth="1"/>
    <col min="2" max="2" width="4.69921875" customWidth="1"/>
    <col min="3" max="3" width="24.8984375" customWidth="1"/>
    <col min="4" max="4" width="9" customWidth="1"/>
    <col min="5" max="5" width="8.5" customWidth="1"/>
    <col min="6" max="6" width="9.59765625" customWidth="1"/>
    <col min="7" max="7" width="33.09765625" customWidth="1"/>
    <col min="8" max="8" width="18" customWidth="1"/>
    <col min="9" max="26" width="9" customWidth="1"/>
  </cols>
  <sheetData>
    <row r="1" spans="1:26" ht="12.75" customHeight="1" x14ac:dyDescent="0.25">
      <c r="A1" s="6" t="s">
        <v>0</v>
      </c>
      <c r="B1" s="5"/>
      <c r="C1" s="5"/>
      <c r="D1" s="5"/>
      <c r="E1" s="5"/>
      <c r="F1" s="5"/>
      <c r="G1" s="35"/>
      <c r="H1" s="80"/>
      <c r="I1" s="80"/>
      <c r="J1" s="80"/>
      <c r="K1" s="80"/>
      <c r="L1" s="80"/>
      <c r="M1" s="80"/>
      <c r="N1" s="80"/>
      <c r="O1" s="80"/>
      <c r="P1" s="80"/>
      <c r="Q1" s="80"/>
      <c r="R1" s="80"/>
      <c r="S1" s="80"/>
      <c r="T1" s="80"/>
      <c r="U1" s="80"/>
      <c r="V1" s="80"/>
      <c r="W1" s="80"/>
      <c r="X1" s="80"/>
      <c r="Y1" s="80"/>
      <c r="Z1" s="80"/>
    </row>
    <row r="2" spans="1:26" ht="12.75" customHeight="1" x14ac:dyDescent="0.25">
      <c r="A2" s="6" t="s">
        <v>189</v>
      </c>
      <c r="B2" s="5"/>
      <c r="C2" s="5"/>
      <c r="D2" s="5"/>
      <c r="E2" s="5"/>
      <c r="F2" s="5"/>
      <c r="G2" s="35"/>
      <c r="H2" s="80"/>
      <c r="I2" s="80"/>
      <c r="J2" s="80"/>
      <c r="K2" s="80"/>
      <c r="L2" s="80"/>
      <c r="M2" s="80"/>
      <c r="N2" s="80"/>
      <c r="O2" s="80"/>
      <c r="P2" s="80"/>
      <c r="Q2" s="80"/>
      <c r="R2" s="80"/>
      <c r="S2" s="80"/>
      <c r="T2" s="80"/>
      <c r="U2" s="80"/>
      <c r="V2" s="80"/>
      <c r="W2" s="80"/>
      <c r="X2" s="80"/>
      <c r="Y2" s="80"/>
      <c r="Z2" s="80"/>
    </row>
    <row r="3" spans="1:26" ht="12.75" customHeight="1" x14ac:dyDescent="0.25">
      <c r="A3" s="5"/>
      <c r="B3" s="5"/>
      <c r="C3" s="5"/>
      <c r="D3" s="5"/>
      <c r="E3" s="5"/>
      <c r="F3" s="5"/>
      <c r="G3" s="35"/>
      <c r="H3" s="5"/>
      <c r="I3" s="5"/>
      <c r="J3" s="5"/>
      <c r="K3" s="5"/>
      <c r="L3" s="5"/>
      <c r="M3" s="5"/>
      <c r="N3" s="5"/>
      <c r="O3" s="5"/>
      <c r="P3" s="5"/>
      <c r="Q3" s="5"/>
      <c r="R3" s="5"/>
      <c r="S3" s="5"/>
      <c r="T3" s="5"/>
      <c r="U3" s="5"/>
      <c r="V3" s="5"/>
      <c r="W3" s="5"/>
      <c r="X3" s="5"/>
      <c r="Y3" s="5"/>
      <c r="Z3" s="5"/>
    </row>
    <row r="4" spans="1:26" ht="12.75" customHeight="1" x14ac:dyDescent="0.25">
      <c r="A4" s="100" t="s">
        <v>190</v>
      </c>
      <c r="B4" s="33"/>
      <c r="C4" s="33"/>
      <c r="D4" s="33"/>
      <c r="E4" s="33"/>
      <c r="F4" s="33"/>
      <c r="G4" s="35"/>
      <c r="H4" s="5"/>
      <c r="I4" s="5"/>
      <c r="J4" s="5"/>
      <c r="K4" s="5"/>
      <c r="L4" s="5"/>
      <c r="M4" s="5"/>
      <c r="N4" s="5"/>
      <c r="O4" s="5"/>
      <c r="P4" s="5"/>
      <c r="Q4" s="5"/>
      <c r="R4" s="5"/>
      <c r="S4" s="5"/>
      <c r="T4" s="5"/>
      <c r="U4" s="5"/>
      <c r="V4" s="5"/>
      <c r="W4" s="5"/>
      <c r="X4" s="5"/>
      <c r="Y4" s="5"/>
      <c r="Z4" s="5"/>
    </row>
    <row r="5" spans="1:26" ht="12.75" customHeight="1" x14ac:dyDescent="0.25">
      <c r="A5" s="100" t="s">
        <v>191</v>
      </c>
      <c r="B5" s="100"/>
      <c r="C5" s="33"/>
      <c r="D5" s="33"/>
      <c r="E5" s="33"/>
      <c r="F5" s="33"/>
      <c r="G5" s="35"/>
      <c r="H5" s="5"/>
      <c r="I5" s="5"/>
      <c r="J5" s="5"/>
      <c r="K5" s="5"/>
      <c r="L5" s="5"/>
      <c r="M5" s="5"/>
      <c r="N5" s="5"/>
      <c r="O5" s="5"/>
      <c r="P5" s="5"/>
      <c r="Q5" s="5"/>
      <c r="R5" s="5"/>
      <c r="S5" s="5"/>
      <c r="T5" s="5"/>
      <c r="U5" s="5"/>
      <c r="V5" s="5"/>
      <c r="W5" s="5"/>
      <c r="X5" s="5"/>
      <c r="Y5" s="5"/>
      <c r="Z5" s="5"/>
    </row>
    <row r="6" spans="1:26" ht="12.75" customHeight="1" x14ac:dyDescent="0.25">
      <c r="A6" s="100" t="s">
        <v>192</v>
      </c>
      <c r="B6" s="100"/>
      <c r="C6" s="33"/>
      <c r="D6" s="33"/>
      <c r="E6" s="33"/>
      <c r="F6" s="33"/>
      <c r="G6" s="35"/>
      <c r="H6" s="5"/>
      <c r="I6" s="5"/>
      <c r="J6" s="5"/>
      <c r="K6" s="5"/>
      <c r="L6" s="5"/>
      <c r="M6" s="5"/>
      <c r="N6" s="5"/>
      <c r="O6" s="5"/>
      <c r="P6" s="5"/>
      <c r="Q6" s="5"/>
      <c r="R6" s="5"/>
      <c r="S6" s="5"/>
      <c r="T6" s="5"/>
      <c r="U6" s="5"/>
      <c r="V6" s="5"/>
      <c r="W6" s="5"/>
      <c r="X6" s="5"/>
      <c r="Y6" s="5"/>
      <c r="Z6" s="5"/>
    </row>
    <row r="7" spans="1:26" ht="12.75" customHeight="1" x14ac:dyDescent="0.25">
      <c r="A7" s="100" t="s">
        <v>193</v>
      </c>
      <c r="B7" s="100"/>
      <c r="C7" s="33"/>
      <c r="D7" s="33"/>
      <c r="E7" s="33"/>
      <c r="F7" s="33"/>
      <c r="G7" s="35"/>
      <c r="H7" s="5"/>
      <c r="I7" s="5"/>
      <c r="J7" s="5"/>
      <c r="K7" s="5"/>
      <c r="L7" s="5"/>
      <c r="M7" s="5"/>
      <c r="N7" s="5"/>
      <c r="O7" s="5"/>
      <c r="P7" s="5"/>
      <c r="Q7" s="5"/>
      <c r="R7" s="5"/>
      <c r="S7" s="5"/>
      <c r="T7" s="5"/>
      <c r="U7" s="5"/>
      <c r="V7" s="5"/>
      <c r="W7" s="5"/>
      <c r="X7" s="5"/>
      <c r="Y7" s="5"/>
      <c r="Z7" s="5"/>
    </row>
    <row r="8" spans="1:26" ht="12.75" customHeight="1" x14ac:dyDescent="0.25">
      <c r="A8" s="100" t="s">
        <v>194</v>
      </c>
      <c r="B8" s="100"/>
      <c r="C8" s="33"/>
      <c r="D8" s="33"/>
      <c r="E8" s="33"/>
      <c r="F8" s="33"/>
      <c r="G8" s="35"/>
      <c r="H8" s="5"/>
      <c r="I8" s="5"/>
      <c r="J8" s="5"/>
      <c r="K8" s="5"/>
      <c r="L8" s="5"/>
      <c r="M8" s="5"/>
      <c r="N8" s="5"/>
      <c r="O8" s="5"/>
      <c r="P8" s="5"/>
      <c r="Q8" s="5"/>
      <c r="R8" s="5"/>
      <c r="S8" s="5"/>
      <c r="T8" s="5"/>
      <c r="U8" s="5"/>
      <c r="V8" s="5"/>
      <c r="W8" s="5"/>
      <c r="X8" s="5"/>
      <c r="Y8" s="5"/>
      <c r="Z8" s="5"/>
    </row>
    <row r="9" spans="1:26" ht="12.75" customHeight="1" x14ac:dyDescent="0.25">
      <c r="A9" s="101" t="s">
        <v>195</v>
      </c>
      <c r="B9" s="101"/>
      <c r="C9" s="102"/>
      <c r="D9" s="33"/>
      <c r="E9" s="33"/>
      <c r="F9" s="33"/>
      <c r="G9" s="35"/>
      <c r="H9" s="5"/>
      <c r="I9" s="5"/>
      <c r="J9" s="5"/>
      <c r="K9" s="5"/>
      <c r="L9" s="5"/>
      <c r="M9" s="5"/>
      <c r="N9" s="5"/>
      <c r="O9" s="5"/>
      <c r="P9" s="5"/>
      <c r="Q9" s="5"/>
      <c r="R9" s="5"/>
      <c r="S9" s="5"/>
      <c r="T9" s="5"/>
      <c r="U9" s="5"/>
      <c r="V9" s="5"/>
      <c r="W9" s="5"/>
      <c r="X9" s="5"/>
      <c r="Y9" s="5"/>
      <c r="Z9" s="5"/>
    </row>
    <row r="10" spans="1:26" ht="12.75" customHeight="1" x14ac:dyDescent="0.25">
      <c r="A10" s="9"/>
      <c r="B10" s="9"/>
      <c r="C10" s="9"/>
      <c r="D10" s="9"/>
      <c r="E10" s="9"/>
      <c r="F10" s="9"/>
      <c r="G10" s="9"/>
      <c r="H10" s="9"/>
      <c r="I10" s="9"/>
      <c r="J10" s="9"/>
      <c r="K10" s="9"/>
      <c r="L10" s="9"/>
      <c r="M10" s="9"/>
      <c r="N10" s="9"/>
      <c r="O10" s="9"/>
      <c r="P10" s="9"/>
      <c r="Q10" s="9"/>
      <c r="R10" s="9"/>
      <c r="S10" s="9"/>
      <c r="T10" s="9"/>
      <c r="U10" s="9"/>
      <c r="V10" s="9"/>
      <c r="W10" s="9"/>
      <c r="X10" s="9"/>
      <c r="Y10" s="9"/>
      <c r="Z10" s="9"/>
    </row>
    <row r="11" spans="1:26" ht="13.5" customHeight="1" x14ac:dyDescent="0.25">
      <c r="A11" s="376">
        <v>1</v>
      </c>
      <c r="B11" s="371"/>
      <c r="C11" s="103">
        <v>2</v>
      </c>
      <c r="D11" s="376">
        <v>3</v>
      </c>
      <c r="E11" s="370"/>
      <c r="F11" s="371"/>
      <c r="G11" s="16">
        <v>4</v>
      </c>
      <c r="H11" s="10">
        <v>7</v>
      </c>
      <c r="I11" s="9"/>
      <c r="J11" s="9"/>
      <c r="K11" s="9"/>
      <c r="L11" s="9"/>
      <c r="M11" s="9"/>
      <c r="N11" s="9"/>
      <c r="O11" s="9"/>
      <c r="P11" s="9"/>
      <c r="Q11" s="9"/>
      <c r="R11" s="9"/>
      <c r="S11" s="9"/>
      <c r="T11" s="9"/>
      <c r="U11" s="9"/>
      <c r="V11" s="9"/>
      <c r="W11" s="9"/>
      <c r="X11" s="9"/>
      <c r="Y11" s="9"/>
      <c r="Z11" s="9"/>
    </row>
    <row r="12" spans="1:26" ht="12.75" customHeight="1" x14ac:dyDescent="0.25">
      <c r="A12" s="377" t="s">
        <v>11</v>
      </c>
      <c r="B12" s="378"/>
      <c r="C12" s="11" t="s">
        <v>196</v>
      </c>
      <c r="D12" s="413" t="s">
        <v>197</v>
      </c>
      <c r="E12" s="414"/>
      <c r="F12" s="378"/>
      <c r="G12" s="367" t="s">
        <v>198</v>
      </c>
      <c r="H12" s="367" t="s">
        <v>74</v>
      </c>
      <c r="I12" s="13"/>
      <c r="J12" s="13"/>
      <c r="K12" s="13"/>
      <c r="L12" s="13"/>
      <c r="M12" s="13"/>
      <c r="N12" s="13"/>
      <c r="O12" s="13"/>
      <c r="P12" s="13"/>
      <c r="Q12" s="13"/>
      <c r="R12" s="13"/>
      <c r="S12" s="13"/>
      <c r="T12" s="13"/>
      <c r="U12" s="13"/>
      <c r="V12" s="13"/>
      <c r="W12" s="13"/>
      <c r="X12" s="13"/>
      <c r="Y12" s="13"/>
      <c r="Z12" s="13"/>
    </row>
    <row r="13" spans="1:26" ht="35.25" customHeight="1" x14ac:dyDescent="0.25">
      <c r="A13" s="427"/>
      <c r="B13" s="396"/>
      <c r="C13" s="104" t="s">
        <v>199</v>
      </c>
      <c r="D13" s="373"/>
      <c r="E13" s="373"/>
      <c r="F13" s="396"/>
      <c r="G13" s="383"/>
      <c r="H13" s="383"/>
      <c r="I13" s="13"/>
      <c r="J13" s="13"/>
      <c r="K13" s="13"/>
      <c r="L13" s="13"/>
      <c r="M13" s="13"/>
      <c r="N13" s="13"/>
      <c r="O13" s="13"/>
      <c r="P13" s="13"/>
      <c r="Q13" s="13"/>
      <c r="R13" s="13"/>
      <c r="S13" s="13"/>
      <c r="T13" s="13"/>
      <c r="U13" s="13"/>
      <c r="V13" s="13"/>
      <c r="W13" s="13"/>
      <c r="X13" s="13"/>
      <c r="Y13" s="13"/>
      <c r="Z13" s="13"/>
    </row>
    <row r="14" spans="1:26" ht="12.75" customHeight="1" x14ac:dyDescent="0.25">
      <c r="A14" s="428" t="s">
        <v>200</v>
      </c>
      <c r="B14" s="393"/>
      <c r="C14" s="393"/>
      <c r="D14" s="393"/>
      <c r="E14" s="393"/>
      <c r="F14" s="393"/>
      <c r="G14" s="391"/>
      <c r="H14" s="429" t="s">
        <v>201</v>
      </c>
      <c r="I14" s="5"/>
      <c r="J14" s="5"/>
      <c r="K14" s="5"/>
      <c r="L14" s="5"/>
      <c r="M14" s="5"/>
      <c r="N14" s="5"/>
      <c r="O14" s="5"/>
      <c r="P14" s="5"/>
      <c r="Q14" s="5"/>
      <c r="R14" s="5"/>
      <c r="S14" s="5"/>
      <c r="T14" s="5"/>
      <c r="U14" s="5"/>
      <c r="V14" s="5"/>
      <c r="W14" s="5"/>
      <c r="X14" s="5"/>
      <c r="Y14" s="5"/>
      <c r="Z14" s="5"/>
    </row>
    <row r="15" spans="1:26" ht="26.25" customHeight="1" x14ac:dyDescent="0.25">
      <c r="A15" s="105" t="s">
        <v>28</v>
      </c>
      <c r="B15" s="15">
        <v>1</v>
      </c>
      <c r="C15" s="106" t="s">
        <v>202</v>
      </c>
      <c r="D15" s="406" t="s">
        <v>203</v>
      </c>
      <c r="E15" s="370"/>
      <c r="F15" s="371"/>
      <c r="G15" s="107" t="s">
        <v>204</v>
      </c>
      <c r="H15" s="385"/>
      <c r="I15" s="5"/>
      <c r="J15" s="5"/>
      <c r="K15" s="5"/>
      <c r="L15" s="5"/>
      <c r="M15" s="5"/>
      <c r="N15" s="5"/>
      <c r="O15" s="5"/>
      <c r="P15" s="5"/>
      <c r="Q15" s="5"/>
      <c r="R15" s="5"/>
      <c r="S15" s="5"/>
      <c r="T15" s="5"/>
      <c r="U15" s="5"/>
      <c r="V15" s="5"/>
      <c r="W15" s="5"/>
      <c r="X15" s="5"/>
      <c r="Y15" s="5"/>
      <c r="Z15" s="5"/>
    </row>
    <row r="16" spans="1:26" ht="12.75" customHeight="1" x14ac:dyDescent="0.25">
      <c r="A16" s="105" t="s">
        <v>28</v>
      </c>
      <c r="B16" s="15">
        <v>2</v>
      </c>
      <c r="C16" s="109" t="s">
        <v>205</v>
      </c>
      <c r="D16" s="406" t="s">
        <v>203</v>
      </c>
      <c r="E16" s="370"/>
      <c r="F16" s="371"/>
      <c r="G16" s="107" t="s">
        <v>206</v>
      </c>
      <c r="H16" s="385"/>
      <c r="I16" s="5"/>
      <c r="J16" s="5"/>
      <c r="K16" s="5"/>
      <c r="L16" s="5"/>
      <c r="M16" s="5"/>
      <c r="N16" s="5"/>
      <c r="O16" s="5"/>
      <c r="P16" s="5"/>
      <c r="Q16" s="5"/>
      <c r="R16" s="5"/>
      <c r="S16" s="5"/>
      <c r="T16" s="5"/>
      <c r="U16" s="5"/>
      <c r="V16" s="5"/>
      <c r="W16" s="5"/>
      <c r="X16" s="5"/>
      <c r="Y16" s="5"/>
      <c r="Z16" s="5"/>
    </row>
    <row r="17" spans="1:26" ht="12.75" customHeight="1" x14ac:dyDescent="0.25">
      <c r="A17" s="105" t="s">
        <v>28</v>
      </c>
      <c r="B17" s="15">
        <v>3</v>
      </c>
      <c r="C17" s="109" t="s">
        <v>207</v>
      </c>
      <c r="D17" s="406" t="s">
        <v>208</v>
      </c>
      <c r="E17" s="370"/>
      <c r="F17" s="371"/>
      <c r="G17" s="107"/>
      <c r="H17" s="385"/>
      <c r="I17" s="5"/>
      <c r="J17" s="5"/>
      <c r="K17" s="5"/>
      <c r="L17" s="5"/>
      <c r="M17" s="5"/>
      <c r="N17" s="5"/>
      <c r="O17" s="5"/>
      <c r="P17" s="5"/>
      <c r="Q17" s="5"/>
      <c r="R17" s="5"/>
      <c r="S17" s="5"/>
      <c r="T17" s="5"/>
      <c r="U17" s="5"/>
      <c r="V17" s="5"/>
      <c r="W17" s="5"/>
      <c r="X17" s="5"/>
      <c r="Y17" s="5"/>
      <c r="Z17" s="5"/>
    </row>
    <row r="18" spans="1:26" ht="12.75" customHeight="1" x14ac:dyDescent="0.25">
      <c r="A18" s="105" t="s">
        <v>28</v>
      </c>
      <c r="B18" s="15">
        <v>4</v>
      </c>
      <c r="C18" s="109" t="s">
        <v>209</v>
      </c>
      <c r="D18" s="406" t="s">
        <v>208</v>
      </c>
      <c r="E18" s="370"/>
      <c r="F18" s="371"/>
      <c r="G18" s="107"/>
      <c r="H18" s="385"/>
      <c r="I18" s="5"/>
      <c r="J18" s="5"/>
      <c r="K18" s="5"/>
      <c r="L18" s="5"/>
      <c r="M18" s="5"/>
      <c r="N18" s="5"/>
      <c r="O18" s="5"/>
      <c r="P18" s="5"/>
      <c r="Q18" s="5"/>
      <c r="R18" s="5"/>
      <c r="S18" s="5"/>
      <c r="T18" s="5"/>
      <c r="U18" s="5"/>
      <c r="V18" s="5"/>
      <c r="W18" s="5"/>
      <c r="X18" s="5"/>
      <c r="Y18" s="5"/>
      <c r="Z18" s="5"/>
    </row>
    <row r="19" spans="1:26" ht="12.75" customHeight="1" x14ac:dyDescent="0.25">
      <c r="A19" s="105" t="s">
        <v>28</v>
      </c>
      <c r="B19" s="15">
        <v>5</v>
      </c>
      <c r="C19" s="109" t="s">
        <v>210</v>
      </c>
      <c r="D19" s="406" t="s">
        <v>203</v>
      </c>
      <c r="E19" s="370"/>
      <c r="F19" s="371"/>
      <c r="G19" s="107" t="s">
        <v>211</v>
      </c>
      <c r="H19" s="385"/>
      <c r="I19" s="5"/>
      <c r="J19" s="5"/>
      <c r="K19" s="5"/>
      <c r="L19" s="5"/>
      <c r="M19" s="5"/>
      <c r="N19" s="5"/>
      <c r="O19" s="5"/>
      <c r="P19" s="5"/>
      <c r="Q19" s="5"/>
      <c r="R19" s="5"/>
      <c r="S19" s="5"/>
      <c r="T19" s="5"/>
      <c r="U19" s="5"/>
      <c r="V19" s="5"/>
      <c r="W19" s="5"/>
      <c r="X19" s="5"/>
      <c r="Y19" s="5"/>
      <c r="Z19" s="5"/>
    </row>
    <row r="20" spans="1:26" ht="12.75" customHeight="1" x14ac:dyDescent="0.25">
      <c r="A20" s="105" t="s">
        <v>28</v>
      </c>
      <c r="B20" s="15">
        <v>6</v>
      </c>
      <c r="C20" s="109" t="s">
        <v>212</v>
      </c>
      <c r="D20" s="406" t="s">
        <v>203</v>
      </c>
      <c r="E20" s="370"/>
      <c r="F20" s="371"/>
      <c r="G20" s="107" t="s">
        <v>213</v>
      </c>
      <c r="H20" s="385"/>
      <c r="I20" s="5"/>
      <c r="J20" s="5"/>
      <c r="K20" s="5"/>
      <c r="L20" s="5"/>
      <c r="M20" s="5"/>
      <c r="N20" s="5"/>
      <c r="O20" s="5"/>
      <c r="P20" s="5"/>
      <c r="Q20" s="5"/>
      <c r="R20" s="5"/>
      <c r="S20" s="5"/>
      <c r="T20" s="5"/>
      <c r="U20" s="5"/>
      <c r="V20" s="5"/>
      <c r="W20" s="5"/>
      <c r="X20" s="5"/>
      <c r="Y20" s="5"/>
      <c r="Z20" s="5"/>
    </row>
    <row r="21" spans="1:26" ht="12.75" customHeight="1" x14ac:dyDescent="0.25">
      <c r="A21" s="105" t="s">
        <v>28</v>
      </c>
      <c r="B21" s="15">
        <v>7</v>
      </c>
      <c r="C21" s="109" t="s">
        <v>214</v>
      </c>
      <c r="D21" s="406" t="s">
        <v>208</v>
      </c>
      <c r="E21" s="370"/>
      <c r="F21" s="371"/>
      <c r="G21" s="107"/>
      <c r="H21" s="385"/>
      <c r="I21" s="5"/>
      <c r="J21" s="5"/>
      <c r="K21" s="5"/>
      <c r="L21" s="5"/>
      <c r="M21" s="5"/>
      <c r="N21" s="5"/>
      <c r="O21" s="5"/>
      <c r="P21" s="5"/>
      <c r="Q21" s="5"/>
      <c r="R21" s="5"/>
      <c r="S21" s="5"/>
      <c r="T21" s="5"/>
      <c r="U21" s="5"/>
      <c r="V21" s="5"/>
      <c r="W21" s="5"/>
      <c r="X21" s="5"/>
      <c r="Y21" s="5"/>
      <c r="Z21" s="5"/>
    </row>
    <row r="22" spans="1:26" ht="12.75" customHeight="1" x14ac:dyDescent="0.25">
      <c r="A22" s="105" t="s">
        <v>28</v>
      </c>
      <c r="B22" s="15">
        <v>8</v>
      </c>
      <c r="C22" s="109" t="s">
        <v>215</v>
      </c>
      <c r="D22" s="406" t="s">
        <v>208</v>
      </c>
      <c r="E22" s="370"/>
      <c r="F22" s="371"/>
      <c r="G22" s="107"/>
      <c r="H22" s="385"/>
      <c r="I22" s="5"/>
      <c r="J22" s="5"/>
      <c r="K22" s="5"/>
      <c r="L22" s="5"/>
      <c r="M22" s="5"/>
      <c r="N22" s="5"/>
      <c r="O22" s="5"/>
      <c r="P22" s="5"/>
      <c r="Q22" s="5"/>
      <c r="R22" s="5"/>
      <c r="S22" s="5"/>
      <c r="T22" s="5"/>
      <c r="U22" s="5"/>
      <c r="V22" s="5"/>
      <c r="W22" s="5"/>
      <c r="X22" s="5"/>
      <c r="Y22" s="5"/>
      <c r="Z22" s="5"/>
    </row>
    <row r="23" spans="1:26" ht="12.75" customHeight="1" x14ac:dyDescent="0.25">
      <c r="A23" s="105" t="s">
        <v>28</v>
      </c>
      <c r="B23" s="15">
        <v>9</v>
      </c>
      <c r="C23" s="109" t="s">
        <v>216</v>
      </c>
      <c r="D23" s="406" t="s">
        <v>208</v>
      </c>
      <c r="E23" s="370"/>
      <c r="F23" s="371"/>
      <c r="G23" s="107"/>
      <c r="H23" s="385"/>
      <c r="I23" s="5"/>
      <c r="J23" s="5"/>
      <c r="K23" s="5"/>
      <c r="L23" s="5"/>
      <c r="M23" s="5"/>
      <c r="N23" s="5"/>
      <c r="O23" s="5"/>
      <c r="P23" s="5"/>
      <c r="Q23" s="5"/>
      <c r="R23" s="5"/>
      <c r="S23" s="5"/>
      <c r="T23" s="5"/>
      <c r="U23" s="5"/>
      <c r="V23" s="5"/>
      <c r="W23" s="5"/>
      <c r="X23" s="5"/>
      <c r="Y23" s="5"/>
      <c r="Z23" s="5"/>
    </row>
    <row r="24" spans="1:26" ht="12.75" customHeight="1" x14ac:dyDescent="0.25">
      <c r="A24" s="105" t="s">
        <v>28</v>
      </c>
      <c r="B24" s="15">
        <v>10</v>
      </c>
      <c r="C24" s="109" t="s">
        <v>217</v>
      </c>
      <c r="D24" s="406" t="s">
        <v>208</v>
      </c>
      <c r="E24" s="370"/>
      <c r="F24" s="371"/>
      <c r="G24" s="107"/>
      <c r="H24" s="385"/>
      <c r="I24" s="5"/>
      <c r="J24" s="5"/>
      <c r="K24" s="5"/>
      <c r="L24" s="5"/>
      <c r="M24" s="5"/>
      <c r="N24" s="5"/>
      <c r="O24" s="5"/>
      <c r="P24" s="5"/>
      <c r="Q24" s="5"/>
      <c r="R24" s="5"/>
      <c r="S24" s="5"/>
      <c r="T24" s="5"/>
      <c r="U24" s="5"/>
      <c r="V24" s="5"/>
      <c r="W24" s="5"/>
      <c r="X24" s="5"/>
      <c r="Y24" s="5"/>
      <c r="Z24" s="5"/>
    </row>
    <row r="25" spans="1:26" ht="12.75" customHeight="1" x14ac:dyDescent="0.25">
      <c r="A25" s="105" t="s">
        <v>28</v>
      </c>
      <c r="B25" s="15">
        <v>11</v>
      </c>
      <c r="C25" s="109" t="s">
        <v>218</v>
      </c>
      <c r="D25" s="406" t="s">
        <v>203</v>
      </c>
      <c r="E25" s="370"/>
      <c r="F25" s="371"/>
      <c r="G25" s="107" t="s">
        <v>219</v>
      </c>
      <c r="H25" s="385"/>
      <c r="I25" s="5"/>
      <c r="J25" s="5"/>
      <c r="K25" s="5"/>
      <c r="L25" s="5"/>
      <c r="M25" s="5"/>
      <c r="N25" s="5"/>
      <c r="O25" s="5"/>
      <c r="P25" s="5"/>
      <c r="Q25" s="5"/>
      <c r="R25" s="5"/>
      <c r="S25" s="5"/>
      <c r="T25" s="5"/>
      <c r="U25" s="5"/>
      <c r="V25" s="5"/>
      <c r="W25" s="5"/>
      <c r="X25" s="5"/>
      <c r="Y25" s="5"/>
      <c r="Z25" s="5"/>
    </row>
    <row r="26" spans="1:26" ht="12.75" customHeight="1" x14ac:dyDescent="0.25">
      <c r="A26" s="105" t="s">
        <v>28</v>
      </c>
      <c r="B26" s="15">
        <v>12</v>
      </c>
      <c r="C26" s="109" t="s">
        <v>220</v>
      </c>
      <c r="D26" s="406" t="s">
        <v>203</v>
      </c>
      <c r="E26" s="370"/>
      <c r="F26" s="371"/>
      <c r="G26" s="107" t="s">
        <v>221</v>
      </c>
      <c r="H26" s="385"/>
      <c r="I26" s="5"/>
      <c r="J26" s="5"/>
      <c r="K26" s="5"/>
      <c r="L26" s="5"/>
      <c r="M26" s="5"/>
      <c r="N26" s="5"/>
      <c r="O26" s="5"/>
      <c r="P26" s="5"/>
      <c r="Q26" s="5"/>
      <c r="R26" s="5"/>
      <c r="S26" s="5"/>
      <c r="T26" s="5"/>
      <c r="U26" s="5"/>
      <c r="V26" s="5"/>
      <c r="W26" s="5"/>
      <c r="X26" s="5"/>
      <c r="Y26" s="5"/>
      <c r="Z26" s="5"/>
    </row>
    <row r="27" spans="1:26" ht="12.75" customHeight="1" x14ac:dyDescent="0.25">
      <c r="A27" s="105" t="s">
        <v>28</v>
      </c>
      <c r="B27" s="15">
        <v>13</v>
      </c>
      <c r="C27" s="109" t="s">
        <v>222</v>
      </c>
      <c r="D27" s="406" t="s">
        <v>203</v>
      </c>
      <c r="E27" s="370"/>
      <c r="F27" s="371"/>
      <c r="G27" s="107" t="s">
        <v>223</v>
      </c>
      <c r="H27" s="385"/>
      <c r="I27" s="5"/>
      <c r="J27" s="5"/>
      <c r="K27" s="5"/>
      <c r="L27" s="5"/>
      <c r="M27" s="5"/>
      <c r="N27" s="5"/>
      <c r="O27" s="5"/>
      <c r="P27" s="5"/>
      <c r="Q27" s="5"/>
      <c r="R27" s="5"/>
      <c r="S27" s="5"/>
      <c r="T27" s="5"/>
      <c r="U27" s="5"/>
      <c r="V27" s="5"/>
      <c r="W27" s="5"/>
      <c r="X27" s="5"/>
      <c r="Y27" s="5"/>
      <c r="Z27" s="5"/>
    </row>
    <row r="28" spans="1:26" ht="12.75" customHeight="1" x14ac:dyDescent="0.25">
      <c r="A28" s="105" t="s">
        <v>28</v>
      </c>
      <c r="B28" s="15">
        <v>14</v>
      </c>
      <c r="C28" s="109" t="s">
        <v>224</v>
      </c>
      <c r="D28" s="406" t="s">
        <v>203</v>
      </c>
      <c r="E28" s="370"/>
      <c r="F28" s="371"/>
      <c r="G28" s="107" t="s">
        <v>211</v>
      </c>
      <c r="H28" s="385"/>
      <c r="I28" s="5"/>
      <c r="J28" s="5"/>
      <c r="K28" s="5"/>
      <c r="L28" s="5"/>
      <c r="M28" s="5"/>
      <c r="N28" s="5"/>
      <c r="O28" s="5"/>
      <c r="P28" s="5"/>
      <c r="Q28" s="5"/>
      <c r="R28" s="5"/>
      <c r="S28" s="5"/>
      <c r="T28" s="5"/>
      <c r="U28" s="5"/>
      <c r="V28" s="5"/>
      <c r="W28" s="5"/>
      <c r="X28" s="5"/>
      <c r="Y28" s="5"/>
      <c r="Z28" s="5"/>
    </row>
    <row r="29" spans="1:26" ht="12.75" customHeight="1" x14ac:dyDescent="0.25">
      <c r="A29" s="105" t="s">
        <v>28</v>
      </c>
      <c r="B29" s="15">
        <v>15</v>
      </c>
      <c r="C29" s="109" t="s">
        <v>225</v>
      </c>
      <c r="D29" s="406" t="s">
        <v>203</v>
      </c>
      <c r="E29" s="370"/>
      <c r="F29" s="371"/>
      <c r="G29" s="107" t="s">
        <v>226</v>
      </c>
      <c r="H29" s="385"/>
      <c r="I29" s="5"/>
      <c r="J29" s="5"/>
      <c r="K29" s="5"/>
      <c r="L29" s="5"/>
      <c r="M29" s="5"/>
      <c r="N29" s="5"/>
      <c r="O29" s="5"/>
      <c r="P29" s="5"/>
      <c r="Q29" s="5"/>
      <c r="R29" s="5"/>
      <c r="S29" s="5"/>
      <c r="T29" s="5"/>
      <c r="U29" s="5"/>
      <c r="V29" s="5"/>
      <c r="W29" s="5"/>
      <c r="X29" s="5"/>
      <c r="Y29" s="5"/>
      <c r="Z29" s="5"/>
    </row>
    <row r="30" spans="1:26" ht="12.75" customHeight="1" x14ac:dyDescent="0.25">
      <c r="A30" s="105" t="s">
        <v>28</v>
      </c>
      <c r="B30" s="15">
        <v>16</v>
      </c>
      <c r="C30" s="109" t="s">
        <v>227</v>
      </c>
      <c r="D30" s="406" t="s">
        <v>203</v>
      </c>
      <c r="E30" s="370"/>
      <c r="F30" s="371"/>
      <c r="G30" s="107" t="s">
        <v>228</v>
      </c>
      <c r="H30" s="385"/>
      <c r="I30" s="5"/>
      <c r="J30" s="5"/>
      <c r="K30" s="5"/>
      <c r="L30" s="5"/>
      <c r="M30" s="5"/>
      <c r="N30" s="5"/>
      <c r="O30" s="5"/>
      <c r="P30" s="5"/>
      <c r="Q30" s="5"/>
      <c r="R30" s="5"/>
      <c r="S30" s="5"/>
      <c r="T30" s="5"/>
      <c r="U30" s="5"/>
      <c r="V30" s="5"/>
      <c r="W30" s="5"/>
      <c r="X30" s="5"/>
      <c r="Y30" s="5"/>
      <c r="Z30" s="5"/>
    </row>
    <row r="31" spans="1:26" ht="12.75" customHeight="1" x14ac:dyDescent="0.25">
      <c r="A31" s="105" t="s">
        <v>28</v>
      </c>
      <c r="B31" s="15">
        <v>17</v>
      </c>
      <c r="C31" s="109" t="s">
        <v>229</v>
      </c>
      <c r="D31" s="406" t="s">
        <v>203</v>
      </c>
      <c r="E31" s="370"/>
      <c r="F31" s="371"/>
      <c r="G31" s="107" t="s">
        <v>230</v>
      </c>
      <c r="H31" s="385"/>
      <c r="I31" s="5"/>
      <c r="J31" s="5"/>
      <c r="K31" s="5"/>
      <c r="L31" s="5"/>
      <c r="M31" s="5"/>
      <c r="N31" s="5"/>
      <c r="O31" s="5"/>
      <c r="P31" s="5"/>
      <c r="Q31" s="5"/>
      <c r="R31" s="5"/>
      <c r="S31" s="5"/>
      <c r="T31" s="5"/>
      <c r="U31" s="5"/>
      <c r="V31" s="5"/>
      <c r="W31" s="5"/>
      <c r="X31" s="5"/>
      <c r="Y31" s="5"/>
      <c r="Z31" s="5"/>
    </row>
    <row r="32" spans="1:26" ht="12.75" customHeight="1" x14ac:dyDescent="0.25">
      <c r="A32" s="105" t="s">
        <v>28</v>
      </c>
      <c r="B32" s="15">
        <v>18</v>
      </c>
      <c r="C32" s="109" t="s">
        <v>231</v>
      </c>
      <c r="D32" s="406" t="s">
        <v>203</v>
      </c>
      <c r="E32" s="370"/>
      <c r="F32" s="371"/>
      <c r="G32" s="107" t="s">
        <v>232</v>
      </c>
      <c r="H32" s="385"/>
      <c r="I32" s="5"/>
      <c r="J32" s="5"/>
      <c r="K32" s="5"/>
      <c r="L32" s="5"/>
      <c r="M32" s="5"/>
      <c r="N32" s="5"/>
      <c r="O32" s="5"/>
      <c r="P32" s="5"/>
      <c r="Q32" s="5"/>
      <c r="R32" s="5"/>
      <c r="S32" s="5"/>
      <c r="T32" s="5"/>
      <c r="U32" s="5"/>
      <c r="V32" s="5"/>
      <c r="W32" s="5"/>
      <c r="X32" s="5"/>
      <c r="Y32" s="5"/>
      <c r="Z32" s="5"/>
    </row>
    <row r="33" spans="1:26" ht="12.75" customHeight="1" x14ac:dyDescent="0.25">
      <c r="A33" s="105" t="s">
        <v>28</v>
      </c>
      <c r="B33" s="15">
        <v>19</v>
      </c>
      <c r="C33" s="109" t="s">
        <v>233</v>
      </c>
      <c r="D33" s="406" t="s">
        <v>203</v>
      </c>
      <c r="E33" s="370"/>
      <c r="F33" s="371"/>
      <c r="G33" s="107" t="s">
        <v>234</v>
      </c>
      <c r="H33" s="385"/>
      <c r="I33" s="5"/>
      <c r="J33" s="5"/>
      <c r="K33" s="5"/>
      <c r="L33" s="5"/>
      <c r="M33" s="5"/>
      <c r="N33" s="5"/>
      <c r="O33" s="5"/>
      <c r="P33" s="5"/>
      <c r="Q33" s="5"/>
      <c r="R33" s="5"/>
      <c r="S33" s="5"/>
      <c r="T33" s="5"/>
      <c r="U33" s="5"/>
      <c r="V33" s="5"/>
      <c r="W33" s="5"/>
      <c r="X33" s="5"/>
      <c r="Y33" s="5"/>
      <c r="Z33" s="5"/>
    </row>
    <row r="34" spans="1:26" ht="12.75" customHeight="1" x14ac:dyDescent="0.25">
      <c r="A34" s="105" t="s">
        <v>28</v>
      </c>
      <c r="B34" s="15">
        <v>20</v>
      </c>
      <c r="C34" s="109" t="s">
        <v>235</v>
      </c>
      <c r="D34" s="406" t="s">
        <v>203</v>
      </c>
      <c r="E34" s="370"/>
      <c r="F34" s="371"/>
      <c r="G34" s="107" t="s">
        <v>236</v>
      </c>
      <c r="H34" s="385"/>
      <c r="I34" s="5"/>
      <c r="J34" s="5"/>
      <c r="K34" s="5"/>
      <c r="L34" s="5"/>
      <c r="M34" s="5"/>
      <c r="N34" s="5"/>
      <c r="O34" s="5"/>
      <c r="P34" s="5"/>
      <c r="Q34" s="5"/>
      <c r="R34" s="5"/>
      <c r="S34" s="5"/>
      <c r="T34" s="5"/>
      <c r="U34" s="5"/>
      <c r="V34" s="5"/>
      <c r="W34" s="5"/>
      <c r="X34" s="5"/>
      <c r="Y34" s="5"/>
      <c r="Z34" s="5"/>
    </row>
    <row r="35" spans="1:26" ht="12.75" customHeight="1" x14ac:dyDescent="0.25">
      <c r="A35" s="105" t="s">
        <v>28</v>
      </c>
      <c r="B35" s="15">
        <v>21</v>
      </c>
      <c r="C35" s="109" t="s">
        <v>237</v>
      </c>
      <c r="D35" s="406" t="s">
        <v>203</v>
      </c>
      <c r="E35" s="370"/>
      <c r="F35" s="371"/>
      <c r="G35" s="107" t="s">
        <v>238</v>
      </c>
      <c r="H35" s="385"/>
      <c r="I35" s="5"/>
      <c r="J35" s="5"/>
      <c r="K35" s="5"/>
      <c r="L35" s="5"/>
      <c r="M35" s="5"/>
      <c r="N35" s="5"/>
      <c r="O35" s="5"/>
      <c r="P35" s="5"/>
      <c r="Q35" s="5"/>
      <c r="R35" s="5"/>
      <c r="S35" s="5"/>
      <c r="T35" s="5"/>
      <c r="U35" s="5"/>
      <c r="V35" s="5"/>
      <c r="W35" s="5"/>
      <c r="X35" s="5"/>
      <c r="Y35" s="5"/>
      <c r="Z35" s="5"/>
    </row>
    <row r="36" spans="1:26" ht="12.75" customHeight="1" x14ac:dyDescent="0.25">
      <c r="A36" s="105" t="s">
        <v>28</v>
      </c>
      <c r="B36" s="15">
        <v>22</v>
      </c>
      <c r="C36" s="109" t="s">
        <v>239</v>
      </c>
      <c r="D36" s="406" t="s">
        <v>203</v>
      </c>
      <c r="E36" s="370"/>
      <c r="F36" s="371"/>
      <c r="G36" s="107" t="s">
        <v>240</v>
      </c>
      <c r="H36" s="385"/>
      <c r="I36" s="5"/>
      <c r="J36" s="5"/>
      <c r="K36" s="5"/>
      <c r="L36" s="5"/>
      <c r="M36" s="5"/>
      <c r="N36" s="5"/>
      <c r="O36" s="5"/>
      <c r="P36" s="5"/>
      <c r="Q36" s="5"/>
      <c r="R36" s="5"/>
      <c r="S36" s="5"/>
      <c r="T36" s="5"/>
      <c r="U36" s="5"/>
      <c r="V36" s="5"/>
      <c r="W36" s="5"/>
      <c r="X36" s="5"/>
      <c r="Y36" s="5"/>
      <c r="Z36" s="5"/>
    </row>
    <row r="37" spans="1:26" ht="12.75" customHeight="1" x14ac:dyDescent="0.25">
      <c r="A37" s="105" t="s">
        <v>28</v>
      </c>
      <c r="B37" s="15">
        <v>23</v>
      </c>
      <c r="C37" s="109" t="s">
        <v>241</v>
      </c>
      <c r="D37" s="406" t="s">
        <v>208</v>
      </c>
      <c r="E37" s="370"/>
      <c r="F37" s="371"/>
      <c r="G37" s="107"/>
      <c r="H37" s="385"/>
      <c r="I37" s="5"/>
      <c r="J37" s="5"/>
      <c r="K37" s="5"/>
      <c r="L37" s="5"/>
      <c r="M37" s="5"/>
      <c r="N37" s="5"/>
      <c r="O37" s="5"/>
      <c r="P37" s="5"/>
      <c r="Q37" s="5"/>
      <c r="R37" s="5"/>
      <c r="S37" s="5"/>
      <c r="T37" s="5"/>
      <c r="U37" s="5"/>
      <c r="V37" s="5"/>
      <c r="W37" s="5"/>
      <c r="X37" s="5"/>
      <c r="Y37" s="5"/>
      <c r="Z37" s="5"/>
    </row>
    <row r="38" spans="1:26" ht="12.75" customHeight="1" x14ac:dyDescent="0.25">
      <c r="A38" s="105" t="s">
        <v>28</v>
      </c>
      <c r="B38" s="15">
        <v>24</v>
      </c>
      <c r="C38" s="109" t="s">
        <v>242</v>
      </c>
      <c r="D38" s="406" t="s">
        <v>203</v>
      </c>
      <c r="E38" s="370"/>
      <c r="F38" s="371"/>
      <c r="G38" s="107" t="s">
        <v>243</v>
      </c>
      <c r="H38" s="385"/>
      <c r="I38" s="5"/>
      <c r="J38" s="5"/>
      <c r="K38" s="5"/>
      <c r="L38" s="5"/>
      <c r="M38" s="5"/>
      <c r="N38" s="5"/>
      <c r="O38" s="5"/>
      <c r="P38" s="5"/>
      <c r="Q38" s="5"/>
      <c r="R38" s="5"/>
      <c r="S38" s="5"/>
      <c r="T38" s="5"/>
      <c r="U38" s="5"/>
      <c r="V38" s="5"/>
      <c r="W38" s="5"/>
      <c r="X38" s="5"/>
      <c r="Y38" s="5"/>
      <c r="Z38" s="5"/>
    </row>
    <row r="39" spans="1:26" ht="12.75" customHeight="1" x14ac:dyDescent="0.25">
      <c r="A39" s="105" t="s">
        <v>28</v>
      </c>
      <c r="B39" s="15">
        <v>25</v>
      </c>
      <c r="C39" s="109" t="s">
        <v>244</v>
      </c>
      <c r="D39" s="406" t="s">
        <v>203</v>
      </c>
      <c r="E39" s="370"/>
      <c r="F39" s="371"/>
      <c r="G39" s="107" t="s">
        <v>245</v>
      </c>
      <c r="H39" s="385"/>
      <c r="I39" s="5"/>
      <c r="J39" s="5"/>
      <c r="K39" s="5"/>
      <c r="L39" s="5"/>
      <c r="M39" s="5"/>
      <c r="N39" s="5"/>
      <c r="O39" s="5"/>
      <c r="P39" s="5"/>
      <c r="Q39" s="5"/>
      <c r="R39" s="5"/>
      <c r="S39" s="5"/>
      <c r="T39" s="5"/>
      <c r="U39" s="5"/>
      <c r="V39" s="5"/>
      <c r="W39" s="5"/>
      <c r="X39" s="5"/>
      <c r="Y39" s="5"/>
      <c r="Z39" s="5"/>
    </row>
    <row r="40" spans="1:26" ht="12.75" customHeight="1" x14ac:dyDescent="0.25">
      <c r="A40" s="105" t="s">
        <v>28</v>
      </c>
      <c r="B40" s="15">
        <v>26</v>
      </c>
      <c r="C40" s="109" t="s">
        <v>246</v>
      </c>
      <c r="D40" s="406" t="s">
        <v>247</v>
      </c>
      <c r="E40" s="370"/>
      <c r="F40" s="371"/>
      <c r="G40" s="107"/>
      <c r="H40" s="385"/>
      <c r="I40" s="5"/>
      <c r="J40" s="5"/>
      <c r="K40" s="5"/>
      <c r="L40" s="5"/>
      <c r="M40" s="5"/>
      <c r="N40" s="5"/>
      <c r="O40" s="5"/>
      <c r="P40" s="5"/>
      <c r="Q40" s="5"/>
      <c r="R40" s="5"/>
      <c r="S40" s="5"/>
      <c r="T40" s="5"/>
      <c r="U40" s="5"/>
      <c r="V40" s="5"/>
      <c r="W40" s="5"/>
      <c r="X40" s="5"/>
      <c r="Y40" s="5"/>
      <c r="Z40" s="5"/>
    </row>
    <row r="41" spans="1:26" ht="12.75" customHeight="1" x14ac:dyDescent="0.25">
      <c r="A41" s="105" t="s">
        <v>28</v>
      </c>
      <c r="B41" s="15">
        <v>27</v>
      </c>
      <c r="C41" s="109" t="s">
        <v>248</v>
      </c>
      <c r="D41" s="406" t="s">
        <v>208</v>
      </c>
      <c r="E41" s="370"/>
      <c r="F41" s="371"/>
      <c r="G41" s="107"/>
      <c r="H41" s="385"/>
      <c r="I41" s="5"/>
      <c r="J41" s="5"/>
      <c r="K41" s="5"/>
      <c r="L41" s="5"/>
      <c r="M41" s="5"/>
      <c r="N41" s="5"/>
      <c r="O41" s="5"/>
      <c r="P41" s="5"/>
      <c r="Q41" s="5"/>
      <c r="R41" s="5"/>
      <c r="S41" s="5"/>
      <c r="T41" s="5"/>
      <c r="U41" s="5"/>
      <c r="V41" s="5"/>
      <c r="W41" s="5"/>
      <c r="X41" s="5"/>
      <c r="Y41" s="5"/>
      <c r="Z41" s="5"/>
    </row>
    <row r="42" spans="1:26" ht="12.75" customHeight="1" x14ac:dyDescent="0.25">
      <c r="A42" s="105" t="s">
        <v>28</v>
      </c>
      <c r="B42" s="15">
        <v>28</v>
      </c>
      <c r="C42" s="109" t="s">
        <v>249</v>
      </c>
      <c r="D42" s="406" t="s">
        <v>208</v>
      </c>
      <c r="E42" s="370"/>
      <c r="F42" s="371"/>
      <c r="G42" s="107"/>
      <c r="H42" s="385"/>
      <c r="I42" s="5"/>
      <c r="J42" s="5"/>
      <c r="K42" s="5"/>
      <c r="L42" s="5"/>
      <c r="M42" s="5"/>
      <c r="N42" s="5"/>
      <c r="O42" s="5"/>
      <c r="P42" s="5"/>
      <c r="Q42" s="5"/>
      <c r="R42" s="5"/>
      <c r="S42" s="5"/>
      <c r="T42" s="5"/>
      <c r="U42" s="5"/>
      <c r="V42" s="5"/>
      <c r="W42" s="5"/>
      <c r="X42" s="5"/>
      <c r="Y42" s="5"/>
      <c r="Z42" s="5"/>
    </row>
    <row r="43" spans="1:26" ht="12.75" customHeight="1" x14ac:dyDescent="0.25">
      <c r="A43" s="105" t="s">
        <v>28</v>
      </c>
      <c r="B43" s="15">
        <v>29</v>
      </c>
      <c r="C43" s="109" t="s">
        <v>250</v>
      </c>
      <c r="D43" s="406" t="s">
        <v>203</v>
      </c>
      <c r="E43" s="370"/>
      <c r="F43" s="371"/>
      <c r="G43" s="107" t="s">
        <v>251</v>
      </c>
      <c r="H43" s="385"/>
      <c r="I43" s="5"/>
      <c r="J43" s="5"/>
      <c r="K43" s="5"/>
      <c r="L43" s="5"/>
      <c r="M43" s="5"/>
      <c r="N43" s="5"/>
      <c r="O43" s="5"/>
      <c r="P43" s="5"/>
      <c r="Q43" s="5"/>
      <c r="R43" s="5"/>
      <c r="S43" s="5"/>
      <c r="T43" s="5"/>
      <c r="U43" s="5"/>
      <c r="V43" s="5"/>
      <c r="W43" s="5"/>
      <c r="X43" s="5"/>
      <c r="Y43" s="5"/>
      <c r="Z43" s="5"/>
    </row>
    <row r="44" spans="1:26" ht="12.75" customHeight="1" x14ac:dyDescent="0.25">
      <c r="A44" s="105" t="s">
        <v>28</v>
      </c>
      <c r="B44" s="15">
        <v>30</v>
      </c>
      <c r="C44" s="109" t="s">
        <v>252</v>
      </c>
      <c r="D44" s="406" t="s">
        <v>203</v>
      </c>
      <c r="E44" s="370"/>
      <c r="F44" s="371"/>
      <c r="G44" s="107" t="s">
        <v>253</v>
      </c>
      <c r="H44" s="385"/>
      <c r="I44" s="5"/>
      <c r="J44" s="5"/>
      <c r="K44" s="5"/>
      <c r="L44" s="5"/>
      <c r="M44" s="5"/>
      <c r="N44" s="5"/>
      <c r="O44" s="5"/>
      <c r="P44" s="5"/>
      <c r="Q44" s="5"/>
      <c r="R44" s="5"/>
      <c r="S44" s="5"/>
      <c r="T44" s="5"/>
      <c r="U44" s="5"/>
      <c r="V44" s="5"/>
      <c r="W44" s="5"/>
      <c r="X44" s="5"/>
      <c r="Y44" s="5"/>
      <c r="Z44" s="5"/>
    </row>
    <row r="45" spans="1:26" ht="12.75" customHeight="1" x14ac:dyDescent="0.25">
      <c r="A45" s="105" t="s">
        <v>28</v>
      </c>
      <c r="B45" s="15">
        <v>31</v>
      </c>
      <c r="C45" s="109" t="s">
        <v>254</v>
      </c>
      <c r="D45" s="406" t="s">
        <v>208</v>
      </c>
      <c r="E45" s="370"/>
      <c r="F45" s="371"/>
      <c r="G45" s="107"/>
      <c r="H45" s="385"/>
      <c r="I45" s="5"/>
      <c r="J45" s="5"/>
      <c r="K45" s="5"/>
      <c r="L45" s="5"/>
      <c r="M45" s="5"/>
      <c r="N45" s="5"/>
      <c r="O45" s="5"/>
      <c r="P45" s="5"/>
      <c r="Q45" s="5"/>
      <c r="R45" s="5"/>
      <c r="S45" s="5"/>
      <c r="T45" s="5"/>
      <c r="U45" s="5"/>
      <c r="V45" s="5"/>
      <c r="W45" s="5"/>
      <c r="X45" s="5"/>
      <c r="Y45" s="5"/>
      <c r="Z45" s="5"/>
    </row>
    <row r="46" spans="1:26" ht="12.75" customHeight="1" x14ac:dyDescent="0.25">
      <c r="A46" s="105" t="s">
        <v>28</v>
      </c>
      <c r="B46" s="15">
        <v>32</v>
      </c>
      <c r="C46" s="109" t="s">
        <v>255</v>
      </c>
      <c r="D46" s="406" t="s">
        <v>247</v>
      </c>
      <c r="E46" s="370"/>
      <c r="F46" s="371"/>
      <c r="G46" s="107"/>
      <c r="H46" s="385"/>
      <c r="I46" s="5"/>
      <c r="J46" s="5"/>
      <c r="K46" s="5"/>
      <c r="L46" s="5"/>
      <c r="M46" s="5"/>
      <c r="N46" s="5"/>
      <c r="O46" s="5"/>
      <c r="P46" s="5"/>
      <c r="Q46" s="5"/>
      <c r="R46" s="5"/>
      <c r="S46" s="5"/>
      <c r="T46" s="5"/>
      <c r="U46" s="5"/>
      <c r="V46" s="5"/>
      <c r="W46" s="5"/>
      <c r="X46" s="5"/>
      <c r="Y46" s="5"/>
      <c r="Z46" s="5"/>
    </row>
    <row r="47" spans="1:26" ht="12.75" customHeight="1" x14ac:dyDescent="0.25">
      <c r="A47" s="105" t="s">
        <v>28</v>
      </c>
      <c r="B47" s="15">
        <v>33</v>
      </c>
      <c r="C47" s="109" t="s">
        <v>256</v>
      </c>
      <c r="D47" s="406" t="s">
        <v>203</v>
      </c>
      <c r="E47" s="370"/>
      <c r="F47" s="371"/>
      <c r="G47" s="107" t="s">
        <v>257</v>
      </c>
      <c r="H47" s="385"/>
      <c r="I47" s="5"/>
      <c r="J47" s="5"/>
      <c r="K47" s="5"/>
      <c r="L47" s="5"/>
      <c r="M47" s="5"/>
      <c r="N47" s="5"/>
      <c r="O47" s="5"/>
      <c r="P47" s="5"/>
      <c r="Q47" s="5"/>
      <c r="R47" s="5"/>
      <c r="S47" s="5"/>
      <c r="T47" s="5"/>
      <c r="U47" s="5"/>
      <c r="V47" s="5"/>
      <c r="W47" s="5"/>
      <c r="X47" s="5"/>
      <c r="Y47" s="5"/>
      <c r="Z47" s="5"/>
    </row>
    <row r="48" spans="1:26" ht="12.75" customHeight="1" x14ac:dyDescent="0.25">
      <c r="A48" s="105" t="s">
        <v>28</v>
      </c>
      <c r="B48" s="15">
        <v>34</v>
      </c>
      <c r="C48" s="109" t="s">
        <v>258</v>
      </c>
      <c r="D48" s="406" t="s">
        <v>203</v>
      </c>
      <c r="E48" s="370"/>
      <c r="F48" s="371"/>
      <c r="G48" s="107" t="s">
        <v>259</v>
      </c>
      <c r="H48" s="385"/>
      <c r="I48" s="5"/>
      <c r="J48" s="5"/>
      <c r="K48" s="5"/>
      <c r="L48" s="5"/>
      <c r="M48" s="5"/>
      <c r="N48" s="5"/>
      <c r="O48" s="5"/>
      <c r="P48" s="5"/>
      <c r="Q48" s="5"/>
      <c r="R48" s="5"/>
      <c r="S48" s="5"/>
      <c r="T48" s="5"/>
      <c r="U48" s="5"/>
      <c r="V48" s="5"/>
      <c r="W48" s="5"/>
      <c r="X48" s="5"/>
      <c r="Y48" s="5"/>
      <c r="Z48" s="5"/>
    </row>
    <row r="49" spans="1:26" ht="26.25" customHeight="1" x14ac:dyDescent="0.25">
      <c r="A49" s="110" t="s">
        <v>27</v>
      </c>
      <c r="B49" s="15">
        <v>35</v>
      </c>
      <c r="C49" s="106" t="s">
        <v>260</v>
      </c>
      <c r="D49" s="406" t="s">
        <v>203</v>
      </c>
      <c r="E49" s="370"/>
      <c r="F49" s="371"/>
      <c r="G49" s="107" t="s">
        <v>219</v>
      </c>
      <c r="H49" s="385"/>
      <c r="I49" s="5"/>
      <c r="J49" s="5"/>
      <c r="K49" s="5"/>
      <c r="L49" s="5"/>
      <c r="M49" s="5"/>
      <c r="N49" s="5"/>
      <c r="O49" s="5"/>
      <c r="P49" s="5"/>
      <c r="Q49" s="5"/>
      <c r="R49" s="5"/>
      <c r="S49" s="5"/>
      <c r="T49" s="5"/>
      <c r="U49" s="5"/>
      <c r="V49" s="5"/>
      <c r="W49" s="5"/>
      <c r="X49" s="5"/>
      <c r="Y49" s="5"/>
      <c r="Z49" s="5"/>
    </row>
    <row r="50" spans="1:26" ht="12.75" customHeight="1" x14ac:dyDescent="0.25">
      <c r="A50" s="110" t="s">
        <v>27</v>
      </c>
      <c r="B50" s="15">
        <v>36</v>
      </c>
      <c r="C50" s="109" t="s">
        <v>261</v>
      </c>
      <c r="D50" s="406" t="s">
        <v>208</v>
      </c>
      <c r="E50" s="370"/>
      <c r="F50" s="371"/>
      <c r="G50" s="107"/>
      <c r="H50" s="385"/>
      <c r="I50" s="5"/>
      <c r="J50" s="5"/>
      <c r="K50" s="5"/>
      <c r="L50" s="5"/>
      <c r="M50" s="5"/>
      <c r="N50" s="5"/>
      <c r="O50" s="5"/>
      <c r="P50" s="5"/>
      <c r="Q50" s="5"/>
      <c r="R50" s="5"/>
      <c r="S50" s="5"/>
      <c r="T50" s="5"/>
      <c r="U50" s="5"/>
      <c r="V50" s="5"/>
      <c r="W50" s="5"/>
      <c r="X50" s="5"/>
      <c r="Y50" s="5"/>
      <c r="Z50" s="5"/>
    </row>
    <row r="51" spans="1:26" ht="12.75" customHeight="1" x14ac:dyDescent="0.25">
      <c r="A51" s="110" t="s">
        <v>27</v>
      </c>
      <c r="B51" s="15">
        <v>37</v>
      </c>
      <c r="C51" s="109" t="s">
        <v>262</v>
      </c>
      <c r="D51" s="406" t="s">
        <v>208</v>
      </c>
      <c r="E51" s="370"/>
      <c r="F51" s="371"/>
      <c r="G51" s="107"/>
      <c r="H51" s="385"/>
      <c r="I51" s="5"/>
      <c r="J51" s="5"/>
      <c r="K51" s="5"/>
      <c r="L51" s="5"/>
      <c r="M51" s="5"/>
      <c r="N51" s="5"/>
      <c r="O51" s="5"/>
      <c r="P51" s="5"/>
      <c r="Q51" s="5"/>
      <c r="R51" s="5"/>
      <c r="S51" s="5"/>
      <c r="T51" s="5"/>
      <c r="U51" s="5"/>
      <c r="V51" s="5"/>
      <c r="W51" s="5"/>
      <c r="X51" s="5"/>
      <c r="Y51" s="5"/>
      <c r="Z51" s="5"/>
    </row>
    <row r="52" spans="1:26" ht="16.5" customHeight="1" x14ac:dyDescent="0.25">
      <c r="A52" s="110" t="s">
        <v>27</v>
      </c>
      <c r="B52" s="15">
        <v>38</v>
      </c>
      <c r="C52" s="109" t="s">
        <v>263</v>
      </c>
      <c r="D52" s="406" t="s">
        <v>203</v>
      </c>
      <c r="E52" s="370"/>
      <c r="F52" s="371"/>
      <c r="G52" s="107" t="s">
        <v>264</v>
      </c>
      <c r="H52" s="385"/>
      <c r="I52" s="5"/>
      <c r="J52" s="5"/>
      <c r="K52" s="5"/>
      <c r="L52" s="5"/>
      <c r="M52" s="5"/>
      <c r="N52" s="5"/>
      <c r="O52" s="5"/>
      <c r="P52" s="5"/>
      <c r="Q52" s="5"/>
      <c r="R52" s="5"/>
      <c r="S52" s="5"/>
      <c r="T52" s="5"/>
      <c r="U52" s="5"/>
      <c r="V52" s="5"/>
      <c r="W52" s="5"/>
      <c r="X52" s="5"/>
      <c r="Y52" s="5"/>
      <c r="Z52" s="5"/>
    </row>
    <row r="53" spans="1:26" ht="12.75" customHeight="1" x14ac:dyDescent="0.25">
      <c r="A53" s="110" t="s">
        <v>27</v>
      </c>
      <c r="B53" s="15">
        <v>39</v>
      </c>
      <c r="C53" s="109" t="s">
        <v>265</v>
      </c>
      <c r="D53" s="406" t="s">
        <v>208</v>
      </c>
      <c r="E53" s="370"/>
      <c r="F53" s="371"/>
      <c r="G53" s="107"/>
      <c r="H53" s="385"/>
      <c r="I53" s="5"/>
      <c r="J53" s="5"/>
      <c r="K53" s="5"/>
      <c r="L53" s="5"/>
      <c r="M53" s="5"/>
      <c r="N53" s="5"/>
      <c r="O53" s="5"/>
      <c r="P53" s="5"/>
      <c r="Q53" s="5"/>
      <c r="R53" s="5"/>
      <c r="S53" s="5"/>
      <c r="T53" s="5"/>
      <c r="U53" s="5"/>
      <c r="V53" s="5"/>
      <c r="W53" s="5"/>
      <c r="X53" s="5"/>
      <c r="Y53" s="5"/>
      <c r="Z53" s="5"/>
    </row>
    <row r="54" spans="1:26" ht="12.75" customHeight="1" x14ac:dyDescent="0.25">
      <c r="A54" s="110" t="s">
        <v>27</v>
      </c>
      <c r="B54" s="15">
        <v>40</v>
      </c>
      <c r="C54" s="109" t="s">
        <v>266</v>
      </c>
      <c r="D54" s="406" t="s">
        <v>208</v>
      </c>
      <c r="E54" s="370"/>
      <c r="F54" s="371"/>
      <c r="G54" s="107"/>
      <c r="H54" s="385"/>
      <c r="I54" s="5"/>
      <c r="J54" s="5"/>
      <c r="K54" s="5"/>
      <c r="L54" s="5"/>
      <c r="M54" s="5"/>
      <c r="N54" s="5"/>
      <c r="O54" s="5"/>
      <c r="P54" s="5"/>
      <c r="Q54" s="5"/>
      <c r="R54" s="5"/>
      <c r="S54" s="5"/>
      <c r="T54" s="5"/>
      <c r="U54" s="5"/>
      <c r="V54" s="5"/>
      <c r="W54" s="5"/>
      <c r="X54" s="5"/>
      <c r="Y54" s="5"/>
      <c r="Z54" s="5"/>
    </row>
    <row r="55" spans="1:26" ht="12.75" customHeight="1" x14ac:dyDescent="0.25">
      <c r="A55" s="110" t="s">
        <v>27</v>
      </c>
      <c r="B55" s="15">
        <v>41</v>
      </c>
      <c r="C55" s="109" t="s">
        <v>267</v>
      </c>
      <c r="D55" s="406" t="s">
        <v>203</v>
      </c>
      <c r="E55" s="370"/>
      <c r="F55" s="371"/>
      <c r="G55" s="107" t="s">
        <v>268</v>
      </c>
      <c r="H55" s="385"/>
      <c r="I55" s="5"/>
      <c r="J55" s="5"/>
      <c r="K55" s="5"/>
      <c r="L55" s="5"/>
      <c r="M55" s="5"/>
      <c r="N55" s="5"/>
      <c r="O55" s="5"/>
      <c r="P55" s="5"/>
      <c r="Q55" s="5"/>
      <c r="R55" s="5"/>
      <c r="S55" s="5"/>
      <c r="T55" s="5"/>
      <c r="U55" s="5"/>
      <c r="V55" s="5"/>
      <c r="W55" s="5"/>
      <c r="X55" s="5"/>
      <c r="Y55" s="5"/>
      <c r="Z55" s="5"/>
    </row>
    <row r="56" spans="1:26" ht="12.75" customHeight="1" x14ac:dyDescent="0.25">
      <c r="A56" s="110" t="s">
        <v>27</v>
      </c>
      <c r="B56" s="15">
        <v>42</v>
      </c>
      <c r="C56" s="109" t="s">
        <v>269</v>
      </c>
      <c r="D56" s="406" t="s">
        <v>203</v>
      </c>
      <c r="E56" s="370"/>
      <c r="F56" s="371"/>
      <c r="G56" s="107" t="s">
        <v>270</v>
      </c>
      <c r="H56" s="385"/>
      <c r="I56" s="5"/>
      <c r="J56" s="5"/>
      <c r="K56" s="5"/>
      <c r="L56" s="5"/>
      <c r="M56" s="5"/>
      <c r="N56" s="5"/>
      <c r="O56" s="5"/>
      <c r="P56" s="5"/>
      <c r="Q56" s="5"/>
      <c r="R56" s="5"/>
      <c r="S56" s="5"/>
      <c r="T56" s="5"/>
      <c r="U56" s="5"/>
      <c r="V56" s="5"/>
      <c r="W56" s="5"/>
      <c r="X56" s="5"/>
      <c r="Y56" s="5"/>
      <c r="Z56" s="5"/>
    </row>
    <row r="57" spans="1:26" ht="12.75" customHeight="1" x14ac:dyDescent="0.25">
      <c r="A57" s="110" t="s">
        <v>27</v>
      </c>
      <c r="B57" s="15">
        <v>43</v>
      </c>
      <c r="C57" s="109" t="s">
        <v>271</v>
      </c>
      <c r="D57" s="406" t="s">
        <v>247</v>
      </c>
      <c r="E57" s="370"/>
      <c r="F57" s="371"/>
      <c r="G57" s="107"/>
      <c r="H57" s="385"/>
      <c r="I57" s="5"/>
      <c r="J57" s="5"/>
      <c r="K57" s="5"/>
      <c r="L57" s="5"/>
      <c r="M57" s="5"/>
      <c r="N57" s="5"/>
      <c r="O57" s="5"/>
      <c r="P57" s="5"/>
      <c r="Q57" s="5"/>
      <c r="R57" s="5"/>
      <c r="S57" s="5"/>
      <c r="T57" s="5"/>
      <c r="U57" s="5"/>
      <c r="V57" s="5"/>
      <c r="W57" s="5"/>
      <c r="X57" s="5"/>
      <c r="Y57" s="5"/>
      <c r="Z57" s="5"/>
    </row>
    <row r="58" spans="1:26" ht="12.75" customHeight="1" x14ac:dyDescent="0.25">
      <c r="A58" s="110" t="s">
        <v>27</v>
      </c>
      <c r="B58" s="15">
        <v>44</v>
      </c>
      <c r="C58" s="109" t="s">
        <v>272</v>
      </c>
      <c r="D58" s="406" t="s">
        <v>247</v>
      </c>
      <c r="E58" s="370"/>
      <c r="F58" s="371"/>
      <c r="G58" s="107"/>
      <c r="H58" s="385"/>
      <c r="I58" s="5"/>
      <c r="J58" s="5"/>
      <c r="K58" s="5"/>
      <c r="L58" s="5"/>
      <c r="M58" s="5"/>
      <c r="N58" s="5"/>
      <c r="O58" s="5"/>
      <c r="P58" s="5"/>
      <c r="Q58" s="5"/>
      <c r="R58" s="5"/>
      <c r="S58" s="5"/>
      <c r="T58" s="5"/>
      <c r="U58" s="5"/>
      <c r="V58" s="5"/>
      <c r="W58" s="5"/>
      <c r="X58" s="5"/>
      <c r="Y58" s="5"/>
      <c r="Z58" s="5"/>
    </row>
    <row r="59" spans="1:26" ht="12.75" customHeight="1" x14ac:dyDescent="0.25">
      <c r="A59" s="110" t="s">
        <v>27</v>
      </c>
      <c r="B59" s="15">
        <v>45</v>
      </c>
      <c r="C59" s="109" t="s">
        <v>273</v>
      </c>
      <c r="D59" s="406" t="s">
        <v>203</v>
      </c>
      <c r="E59" s="370"/>
      <c r="F59" s="371"/>
      <c r="G59" s="107" t="s">
        <v>274</v>
      </c>
      <c r="H59" s="385"/>
      <c r="I59" s="5"/>
      <c r="J59" s="5"/>
      <c r="K59" s="5"/>
      <c r="L59" s="5"/>
      <c r="M59" s="5"/>
      <c r="N59" s="5"/>
      <c r="O59" s="5"/>
      <c r="P59" s="5"/>
      <c r="Q59" s="5"/>
      <c r="R59" s="5"/>
      <c r="S59" s="5"/>
      <c r="T59" s="5"/>
      <c r="U59" s="5"/>
      <c r="V59" s="5"/>
      <c r="W59" s="5"/>
      <c r="X59" s="5"/>
      <c r="Y59" s="5"/>
      <c r="Z59" s="5"/>
    </row>
    <row r="60" spans="1:26" ht="12.75" customHeight="1" x14ac:dyDescent="0.25">
      <c r="A60" s="110" t="s">
        <v>27</v>
      </c>
      <c r="B60" s="15">
        <v>46</v>
      </c>
      <c r="C60" s="109" t="s">
        <v>275</v>
      </c>
      <c r="D60" s="406" t="s">
        <v>208</v>
      </c>
      <c r="E60" s="370"/>
      <c r="F60" s="371"/>
      <c r="G60" s="107"/>
      <c r="H60" s="385"/>
      <c r="I60" s="5"/>
      <c r="J60" s="5"/>
      <c r="K60" s="5"/>
      <c r="L60" s="5"/>
      <c r="M60" s="5"/>
      <c r="N60" s="5"/>
      <c r="O60" s="5"/>
      <c r="P60" s="5"/>
      <c r="Q60" s="5"/>
      <c r="R60" s="5"/>
      <c r="S60" s="5"/>
      <c r="T60" s="5"/>
      <c r="U60" s="5"/>
      <c r="V60" s="5"/>
      <c r="W60" s="5"/>
      <c r="X60" s="5"/>
      <c r="Y60" s="5"/>
      <c r="Z60" s="5"/>
    </row>
    <row r="61" spans="1:26" ht="12.75" customHeight="1" x14ac:dyDescent="0.25">
      <c r="A61" s="110" t="s">
        <v>27</v>
      </c>
      <c r="B61" s="15">
        <v>47</v>
      </c>
      <c r="C61" s="109" t="s">
        <v>276</v>
      </c>
      <c r="D61" s="406" t="s">
        <v>203</v>
      </c>
      <c r="E61" s="370"/>
      <c r="F61" s="371"/>
      <c r="G61" s="107" t="s">
        <v>277</v>
      </c>
      <c r="H61" s="385"/>
      <c r="I61" s="5"/>
      <c r="J61" s="5"/>
      <c r="K61" s="5"/>
      <c r="L61" s="5"/>
      <c r="M61" s="5"/>
      <c r="N61" s="5"/>
      <c r="O61" s="5"/>
      <c r="P61" s="5"/>
      <c r="Q61" s="5"/>
      <c r="R61" s="5"/>
      <c r="S61" s="5"/>
      <c r="T61" s="5"/>
      <c r="U61" s="5"/>
      <c r="V61" s="5"/>
      <c r="W61" s="5"/>
      <c r="X61" s="5"/>
      <c r="Y61" s="5"/>
      <c r="Z61" s="5"/>
    </row>
    <row r="62" spans="1:26" ht="15.75" customHeight="1" x14ac:dyDescent="0.25">
      <c r="A62" s="110" t="s">
        <v>27</v>
      </c>
      <c r="B62" s="15">
        <v>48</v>
      </c>
      <c r="C62" s="109" t="s">
        <v>278</v>
      </c>
      <c r="D62" s="406" t="s">
        <v>203</v>
      </c>
      <c r="E62" s="370"/>
      <c r="F62" s="371"/>
      <c r="G62" s="107" t="s">
        <v>279</v>
      </c>
      <c r="H62" s="385"/>
      <c r="I62" s="5"/>
      <c r="J62" s="5"/>
      <c r="K62" s="5"/>
      <c r="L62" s="5"/>
      <c r="M62" s="5"/>
      <c r="N62" s="5"/>
      <c r="O62" s="5"/>
      <c r="P62" s="5"/>
      <c r="Q62" s="5"/>
      <c r="R62" s="5"/>
      <c r="S62" s="5"/>
      <c r="T62" s="5"/>
      <c r="U62" s="5"/>
      <c r="V62" s="5"/>
      <c r="W62" s="5"/>
      <c r="X62" s="5"/>
      <c r="Y62" s="5"/>
      <c r="Z62" s="5"/>
    </row>
    <row r="63" spans="1:26" ht="17.25" customHeight="1" x14ac:dyDescent="0.25">
      <c r="A63" s="110" t="s">
        <v>27</v>
      </c>
      <c r="B63" s="15">
        <v>49</v>
      </c>
      <c r="C63" s="109" t="s">
        <v>280</v>
      </c>
      <c r="D63" s="406" t="s">
        <v>203</v>
      </c>
      <c r="E63" s="370"/>
      <c r="F63" s="371"/>
      <c r="G63" s="107" t="s">
        <v>281</v>
      </c>
      <c r="H63" s="385"/>
      <c r="I63" s="5"/>
      <c r="J63" s="5"/>
      <c r="K63" s="5"/>
      <c r="L63" s="5"/>
      <c r="M63" s="5"/>
      <c r="N63" s="5"/>
      <c r="O63" s="5"/>
      <c r="P63" s="5"/>
      <c r="Q63" s="5"/>
      <c r="R63" s="5"/>
      <c r="S63" s="5"/>
      <c r="T63" s="5"/>
      <c r="U63" s="5"/>
      <c r="V63" s="5"/>
      <c r="W63" s="5"/>
      <c r="X63" s="5"/>
      <c r="Y63" s="5"/>
      <c r="Z63" s="5"/>
    </row>
    <row r="64" spans="1:26" ht="12.75" customHeight="1" x14ac:dyDescent="0.25">
      <c r="A64" s="110" t="s">
        <v>27</v>
      </c>
      <c r="B64" s="15">
        <v>50</v>
      </c>
      <c r="C64" s="109" t="s">
        <v>282</v>
      </c>
      <c r="D64" s="406" t="s">
        <v>203</v>
      </c>
      <c r="E64" s="370"/>
      <c r="F64" s="371"/>
      <c r="G64" s="107" t="s">
        <v>283</v>
      </c>
      <c r="H64" s="385"/>
      <c r="I64" s="5"/>
      <c r="J64" s="5"/>
      <c r="K64" s="5"/>
      <c r="L64" s="5"/>
      <c r="M64" s="5"/>
      <c r="N64" s="5"/>
      <c r="O64" s="5"/>
      <c r="P64" s="5"/>
      <c r="Q64" s="5"/>
      <c r="R64" s="5"/>
      <c r="S64" s="5"/>
      <c r="T64" s="5"/>
      <c r="U64" s="5"/>
      <c r="V64" s="5"/>
      <c r="W64" s="5"/>
      <c r="X64" s="5"/>
      <c r="Y64" s="5"/>
      <c r="Z64" s="5"/>
    </row>
    <row r="65" spans="1:26" ht="12.75" customHeight="1" x14ac:dyDescent="0.25">
      <c r="A65" s="110" t="s">
        <v>27</v>
      </c>
      <c r="B65" s="15">
        <v>51</v>
      </c>
      <c r="C65" s="109" t="s">
        <v>284</v>
      </c>
      <c r="D65" s="406" t="s">
        <v>203</v>
      </c>
      <c r="E65" s="370"/>
      <c r="F65" s="371"/>
      <c r="G65" s="107" t="s">
        <v>285</v>
      </c>
      <c r="H65" s="385"/>
      <c r="I65" s="5"/>
      <c r="J65" s="5"/>
      <c r="K65" s="5"/>
      <c r="L65" s="5"/>
      <c r="M65" s="5"/>
      <c r="N65" s="5"/>
      <c r="O65" s="5"/>
      <c r="P65" s="5"/>
      <c r="Q65" s="5"/>
      <c r="R65" s="5"/>
      <c r="S65" s="5"/>
      <c r="T65" s="5"/>
      <c r="U65" s="5"/>
      <c r="V65" s="5"/>
      <c r="W65" s="5"/>
      <c r="X65" s="5"/>
      <c r="Y65" s="5"/>
      <c r="Z65" s="5"/>
    </row>
    <row r="66" spans="1:26" ht="12.75" customHeight="1" x14ac:dyDescent="0.25">
      <c r="A66" s="110" t="s">
        <v>27</v>
      </c>
      <c r="B66" s="15">
        <v>52</v>
      </c>
      <c r="C66" s="109" t="s">
        <v>286</v>
      </c>
      <c r="D66" s="406" t="s">
        <v>208</v>
      </c>
      <c r="E66" s="370"/>
      <c r="F66" s="371"/>
      <c r="G66" s="107"/>
      <c r="H66" s="385"/>
      <c r="I66" s="5"/>
      <c r="J66" s="5"/>
      <c r="K66" s="5"/>
      <c r="L66" s="5"/>
      <c r="M66" s="5"/>
      <c r="N66" s="5"/>
      <c r="O66" s="5"/>
      <c r="P66" s="5"/>
      <c r="Q66" s="5"/>
      <c r="R66" s="5"/>
      <c r="S66" s="5"/>
      <c r="T66" s="5"/>
      <c r="U66" s="5"/>
      <c r="V66" s="5"/>
      <c r="W66" s="5"/>
      <c r="X66" s="5"/>
      <c r="Y66" s="5"/>
      <c r="Z66" s="5"/>
    </row>
    <row r="67" spans="1:26" ht="12.75" customHeight="1" x14ac:dyDescent="0.25">
      <c r="A67" s="110" t="s">
        <v>27</v>
      </c>
      <c r="B67" s="15">
        <v>53</v>
      </c>
      <c r="C67" s="109" t="s">
        <v>287</v>
      </c>
      <c r="D67" s="406" t="s">
        <v>247</v>
      </c>
      <c r="E67" s="370"/>
      <c r="F67" s="371"/>
      <c r="G67" s="107"/>
      <c r="H67" s="385"/>
      <c r="I67" s="5"/>
      <c r="J67" s="5"/>
      <c r="K67" s="5"/>
      <c r="L67" s="5"/>
      <c r="M67" s="5"/>
      <c r="N67" s="5"/>
      <c r="O67" s="5"/>
      <c r="P67" s="5"/>
      <c r="Q67" s="5"/>
      <c r="R67" s="5"/>
      <c r="S67" s="5"/>
      <c r="T67" s="5"/>
      <c r="U67" s="5"/>
      <c r="V67" s="5"/>
      <c r="W67" s="5"/>
      <c r="X67" s="5"/>
      <c r="Y67" s="5"/>
      <c r="Z67" s="5"/>
    </row>
    <row r="68" spans="1:26" ht="12.75" customHeight="1" x14ac:dyDescent="0.25">
      <c r="A68" s="110" t="s">
        <v>27</v>
      </c>
      <c r="B68" s="15">
        <v>54</v>
      </c>
      <c r="C68" s="109" t="s">
        <v>288</v>
      </c>
      <c r="D68" s="406" t="s">
        <v>203</v>
      </c>
      <c r="E68" s="370"/>
      <c r="F68" s="371"/>
      <c r="G68" s="107" t="s">
        <v>289</v>
      </c>
      <c r="H68" s="385"/>
      <c r="I68" s="5"/>
      <c r="J68" s="5"/>
      <c r="K68" s="5"/>
      <c r="L68" s="5"/>
      <c r="M68" s="5"/>
      <c r="N68" s="5"/>
      <c r="O68" s="5"/>
      <c r="P68" s="5"/>
      <c r="Q68" s="5"/>
      <c r="R68" s="5"/>
      <c r="S68" s="5"/>
      <c r="T68" s="5"/>
      <c r="U68" s="5"/>
      <c r="V68" s="5"/>
      <c r="W68" s="5"/>
      <c r="X68" s="5"/>
      <c r="Y68" s="5"/>
      <c r="Z68" s="5"/>
    </row>
    <row r="69" spans="1:26" ht="12.75" customHeight="1" x14ac:dyDescent="0.25">
      <c r="A69" s="110" t="s">
        <v>27</v>
      </c>
      <c r="B69" s="15">
        <v>55</v>
      </c>
      <c r="C69" s="109" t="s">
        <v>290</v>
      </c>
      <c r="D69" s="406" t="s">
        <v>203</v>
      </c>
      <c r="E69" s="370"/>
      <c r="F69" s="371"/>
      <c r="G69" s="107" t="s">
        <v>291</v>
      </c>
      <c r="H69" s="385"/>
      <c r="I69" s="5"/>
      <c r="J69" s="5"/>
      <c r="K69" s="5"/>
      <c r="L69" s="5"/>
      <c r="M69" s="5"/>
      <c r="N69" s="5"/>
      <c r="O69" s="5"/>
      <c r="P69" s="5"/>
      <c r="Q69" s="5"/>
      <c r="R69" s="5"/>
      <c r="S69" s="5"/>
      <c r="T69" s="5"/>
      <c r="U69" s="5"/>
      <c r="V69" s="5"/>
      <c r="W69" s="5"/>
      <c r="X69" s="5"/>
      <c r="Y69" s="5"/>
      <c r="Z69" s="5"/>
    </row>
    <row r="70" spans="1:26" ht="12.75" customHeight="1" x14ac:dyDescent="0.25">
      <c r="A70" s="110" t="s">
        <v>27</v>
      </c>
      <c r="B70" s="15">
        <v>56</v>
      </c>
      <c r="C70" s="109" t="s">
        <v>292</v>
      </c>
      <c r="D70" s="406" t="s">
        <v>203</v>
      </c>
      <c r="E70" s="370"/>
      <c r="F70" s="371"/>
      <c r="G70" s="107" t="s">
        <v>293</v>
      </c>
      <c r="H70" s="385"/>
      <c r="I70" s="5"/>
      <c r="J70" s="5"/>
      <c r="K70" s="5"/>
      <c r="L70" s="5"/>
      <c r="M70" s="5"/>
      <c r="N70" s="5"/>
      <c r="O70" s="5"/>
      <c r="P70" s="5"/>
      <c r="Q70" s="5"/>
      <c r="R70" s="5"/>
      <c r="S70" s="5"/>
      <c r="T70" s="5"/>
      <c r="U70" s="5"/>
      <c r="V70" s="5"/>
      <c r="W70" s="5"/>
      <c r="X70" s="5"/>
      <c r="Y70" s="5"/>
      <c r="Z70" s="5"/>
    </row>
    <row r="71" spans="1:26" ht="12.75" customHeight="1" x14ac:dyDescent="0.25">
      <c r="A71" s="110" t="s">
        <v>27</v>
      </c>
      <c r="B71" s="15">
        <v>57</v>
      </c>
      <c r="C71" s="109" t="s">
        <v>294</v>
      </c>
      <c r="D71" s="406" t="s">
        <v>203</v>
      </c>
      <c r="E71" s="370"/>
      <c r="F71" s="371"/>
      <c r="G71" s="107" t="s">
        <v>295</v>
      </c>
      <c r="H71" s="385"/>
      <c r="I71" s="5"/>
      <c r="J71" s="5"/>
      <c r="K71" s="5"/>
      <c r="L71" s="5"/>
      <c r="M71" s="5"/>
      <c r="N71" s="5"/>
      <c r="O71" s="5"/>
      <c r="P71" s="5"/>
      <c r="Q71" s="5"/>
      <c r="R71" s="5"/>
      <c r="S71" s="5"/>
      <c r="T71" s="5"/>
      <c r="U71" s="5"/>
      <c r="V71" s="5"/>
      <c r="W71" s="5"/>
      <c r="X71" s="5"/>
      <c r="Y71" s="5"/>
      <c r="Z71" s="5"/>
    </row>
    <row r="72" spans="1:26" ht="12.75" customHeight="1" x14ac:dyDescent="0.25">
      <c r="A72" s="110" t="s">
        <v>27</v>
      </c>
      <c r="B72" s="15">
        <v>58</v>
      </c>
      <c r="C72" s="109" t="s">
        <v>296</v>
      </c>
      <c r="D72" s="406" t="s">
        <v>247</v>
      </c>
      <c r="E72" s="370"/>
      <c r="F72" s="371"/>
      <c r="G72" s="107"/>
      <c r="H72" s="385"/>
      <c r="I72" s="5"/>
      <c r="J72" s="5"/>
      <c r="K72" s="5"/>
      <c r="L72" s="5"/>
      <c r="M72" s="5"/>
      <c r="N72" s="5"/>
      <c r="O72" s="5"/>
      <c r="P72" s="5"/>
      <c r="Q72" s="5"/>
      <c r="R72" s="5"/>
      <c r="S72" s="5"/>
      <c r="T72" s="5"/>
      <c r="U72" s="5"/>
      <c r="V72" s="5"/>
      <c r="W72" s="5"/>
      <c r="X72" s="5"/>
      <c r="Y72" s="5"/>
      <c r="Z72" s="5"/>
    </row>
    <row r="73" spans="1:26" ht="12.75" customHeight="1" x14ac:dyDescent="0.25">
      <c r="A73" s="110" t="s">
        <v>27</v>
      </c>
      <c r="B73" s="15">
        <v>59</v>
      </c>
      <c r="C73" s="109" t="s">
        <v>297</v>
      </c>
      <c r="D73" s="406" t="s">
        <v>208</v>
      </c>
      <c r="E73" s="370"/>
      <c r="F73" s="371"/>
      <c r="G73" s="107"/>
      <c r="H73" s="385"/>
      <c r="I73" s="5"/>
      <c r="J73" s="5"/>
      <c r="K73" s="5"/>
      <c r="L73" s="5"/>
      <c r="M73" s="5"/>
      <c r="N73" s="5"/>
      <c r="O73" s="5"/>
      <c r="P73" s="5"/>
      <c r="Q73" s="5"/>
      <c r="R73" s="5"/>
      <c r="S73" s="5"/>
      <c r="T73" s="5"/>
      <c r="U73" s="5"/>
      <c r="V73" s="5"/>
      <c r="W73" s="5"/>
      <c r="X73" s="5"/>
      <c r="Y73" s="5"/>
      <c r="Z73" s="5"/>
    </row>
    <row r="74" spans="1:26" ht="12.75" customHeight="1" x14ac:dyDescent="0.25">
      <c r="A74" s="110" t="s">
        <v>27</v>
      </c>
      <c r="B74" s="15">
        <v>60</v>
      </c>
      <c r="C74" s="109" t="s">
        <v>298</v>
      </c>
      <c r="D74" s="406" t="s">
        <v>203</v>
      </c>
      <c r="E74" s="370"/>
      <c r="F74" s="371"/>
      <c r="G74" s="107" t="s">
        <v>299</v>
      </c>
      <c r="H74" s="385"/>
      <c r="I74" s="5"/>
      <c r="J74" s="5"/>
      <c r="K74" s="5"/>
      <c r="L74" s="5"/>
      <c r="M74" s="5"/>
      <c r="N74" s="5"/>
      <c r="O74" s="5"/>
      <c r="P74" s="5"/>
      <c r="Q74" s="5"/>
      <c r="R74" s="5"/>
      <c r="S74" s="5"/>
      <c r="T74" s="5"/>
      <c r="U74" s="5"/>
      <c r="V74" s="5"/>
      <c r="W74" s="5"/>
      <c r="X74" s="5"/>
      <c r="Y74" s="5"/>
      <c r="Z74" s="5"/>
    </row>
    <row r="75" spans="1:26" ht="12.75" customHeight="1" x14ac:dyDescent="0.25">
      <c r="A75" s="110" t="s">
        <v>27</v>
      </c>
      <c r="B75" s="15">
        <v>61</v>
      </c>
      <c r="C75" s="109" t="s">
        <v>300</v>
      </c>
      <c r="D75" s="406" t="s">
        <v>208</v>
      </c>
      <c r="E75" s="370"/>
      <c r="F75" s="371"/>
      <c r="G75" s="107"/>
      <c r="H75" s="385"/>
      <c r="I75" s="5"/>
      <c r="J75" s="5"/>
      <c r="K75" s="5"/>
      <c r="L75" s="5"/>
      <c r="M75" s="5"/>
      <c r="N75" s="5"/>
      <c r="O75" s="5"/>
      <c r="P75" s="5"/>
      <c r="Q75" s="5"/>
      <c r="R75" s="5"/>
      <c r="S75" s="5"/>
      <c r="T75" s="5"/>
      <c r="U75" s="5"/>
      <c r="V75" s="5"/>
      <c r="W75" s="5"/>
      <c r="X75" s="5"/>
      <c r="Y75" s="5"/>
      <c r="Z75" s="5"/>
    </row>
    <row r="76" spans="1:26" ht="12.75" customHeight="1" x14ac:dyDescent="0.25">
      <c r="A76" s="110" t="s">
        <v>27</v>
      </c>
      <c r="B76" s="15">
        <v>62</v>
      </c>
      <c r="C76" s="109" t="s">
        <v>301</v>
      </c>
      <c r="D76" s="406" t="s">
        <v>208</v>
      </c>
      <c r="E76" s="370"/>
      <c r="F76" s="371"/>
      <c r="G76" s="107"/>
      <c r="H76" s="385"/>
      <c r="I76" s="5"/>
      <c r="J76" s="5"/>
      <c r="K76" s="5"/>
      <c r="L76" s="5"/>
      <c r="M76" s="5"/>
      <c r="N76" s="5"/>
      <c r="O76" s="5"/>
      <c r="P76" s="5"/>
      <c r="Q76" s="5"/>
      <c r="R76" s="5"/>
      <c r="S76" s="5"/>
      <c r="T76" s="5"/>
      <c r="U76" s="5"/>
      <c r="V76" s="5"/>
      <c r="W76" s="5"/>
      <c r="X76" s="5"/>
      <c r="Y76" s="5"/>
      <c r="Z76" s="5"/>
    </row>
    <row r="77" spans="1:26" ht="15.75" customHeight="1" x14ac:dyDescent="0.25">
      <c r="A77" s="110" t="s">
        <v>27</v>
      </c>
      <c r="B77" s="15">
        <v>63</v>
      </c>
      <c r="C77" s="106" t="s">
        <v>302</v>
      </c>
      <c r="D77" s="406" t="s">
        <v>203</v>
      </c>
      <c r="E77" s="370"/>
      <c r="F77" s="371"/>
      <c r="G77" s="83" t="s">
        <v>303</v>
      </c>
      <c r="H77" s="385"/>
      <c r="I77" s="5"/>
      <c r="J77" s="5"/>
      <c r="K77" s="5"/>
      <c r="L77" s="5"/>
      <c r="M77" s="5"/>
      <c r="N77" s="5"/>
      <c r="O77" s="5"/>
      <c r="P77" s="5"/>
      <c r="Q77" s="5"/>
      <c r="R77" s="5"/>
      <c r="S77" s="5"/>
      <c r="T77" s="5"/>
      <c r="U77" s="5"/>
      <c r="V77" s="5"/>
      <c r="W77" s="5"/>
      <c r="X77" s="5"/>
      <c r="Y77" s="5"/>
      <c r="Z77" s="5"/>
    </row>
    <row r="78" spans="1:26" ht="12.75" customHeight="1" x14ac:dyDescent="0.25">
      <c r="A78" s="110" t="s">
        <v>27</v>
      </c>
      <c r="B78" s="15">
        <v>64</v>
      </c>
      <c r="C78" s="109" t="s">
        <v>304</v>
      </c>
      <c r="D78" s="406" t="s">
        <v>208</v>
      </c>
      <c r="E78" s="370"/>
      <c r="F78" s="371"/>
      <c r="G78" s="107"/>
      <c r="H78" s="385"/>
      <c r="I78" s="5"/>
      <c r="J78" s="5"/>
      <c r="K78" s="5"/>
      <c r="L78" s="5"/>
      <c r="M78" s="5"/>
      <c r="N78" s="5"/>
      <c r="O78" s="5"/>
      <c r="P78" s="5"/>
      <c r="Q78" s="5"/>
      <c r="R78" s="5"/>
      <c r="S78" s="5"/>
      <c r="T78" s="5"/>
      <c r="U78" s="5"/>
      <c r="V78" s="5"/>
      <c r="W78" s="5"/>
      <c r="X78" s="5"/>
      <c r="Y78" s="5"/>
      <c r="Z78" s="5"/>
    </row>
    <row r="79" spans="1:26" ht="12.75" customHeight="1" x14ac:dyDescent="0.25">
      <c r="A79" s="110" t="s">
        <v>27</v>
      </c>
      <c r="B79" s="15">
        <v>65</v>
      </c>
      <c r="C79" s="109" t="s">
        <v>305</v>
      </c>
      <c r="D79" s="406" t="s">
        <v>208</v>
      </c>
      <c r="E79" s="370"/>
      <c r="F79" s="371"/>
      <c r="G79" s="107"/>
      <c r="H79" s="385"/>
      <c r="I79" s="5"/>
      <c r="J79" s="5"/>
      <c r="K79" s="5"/>
      <c r="L79" s="5"/>
      <c r="M79" s="5"/>
      <c r="N79" s="5"/>
      <c r="O79" s="5"/>
      <c r="P79" s="5"/>
      <c r="Q79" s="5"/>
      <c r="R79" s="5"/>
      <c r="S79" s="5"/>
      <c r="T79" s="5"/>
      <c r="U79" s="5"/>
      <c r="V79" s="5"/>
      <c r="W79" s="5"/>
      <c r="X79" s="5"/>
      <c r="Y79" s="5"/>
      <c r="Z79" s="5"/>
    </row>
    <row r="80" spans="1:26" ht="12.75" customHeight="1" x14ac:dyDescent="0.25">
      <c r="A80" s="110" t="s">
        <v>27</v>
      </c>
      <c r="B80" s="15">
        <v>66</v>
      </c>
      <c r="C80" s="109" t="s">
        <v>306</v>
      </c>
      <c r="D80" s="406" t="s">
        <v>208</v>
      </c>
      <c r="E80" s="370"/>
      <c r="F80" s="371"/>
      <c r="G80" s="107"/>
      <c r="H80" s="385"/>
      <c r="I80" s="5"/>
      <c r="J80" s="5"/>
      <c r="K80" s="5"/>
      <c r="L80" s="5"/>
      <c r="M80" s="5"/>
      <c r="N80" s="5"/>
      <c r="O80" s="5"/>
      <c r="P80" s="5"/>
      <c r="Q80" s="5"/>
      <c r="R80" s="5"/>
      <c r="S80" s="5"/>
      <c r="T80" s="5"/>
      <c r="U80" s="5"/>
      <c r="V80" s="5"/>
      <c r="W80" s="5"/>
      <c r="X80" s="5"/>
      <c r="Y80" s="5"/>
      <c r="Z80" s="5"/>
    </row>
    <row r="81" spans="1:26" ht="12.75" customHeight="1" x14ac:dyDescent="0.25">
      <c r="A81" s="110" t="s">
        <v>27</v>
      </c>
      <c r="B81" s="15">
        <v>67</v>
      </c>
      <c r="C81" s="109" t="s">
        <v>307</v>
      </c>
      <c r="D81" s="406" t="s">
        <v>208</v>
      </c>
      <c r="E81" s="370"/>
      <c r="F81" s="371"/>
      <c r="G81" s="107"/>
      <c r="H81" s="385"/>
      <c r="I81" s="5"/>
      <c r="J81" s="5"/>
      <c r="K81" s="5"/>
      <c r="L81" s="5"/>
      <c r="M81" s="5"/>
      <c r="N81" s="5"/>
      <c r="O81" s="5"/>
      <c r="P81" s="5"/>
      <c r="Q81" s="5"/>
      <c r="R81" s="5"/>
      <c r="S81" s="5"/>
      <c r="T81" s="5"/>
      <c r="U81" s="5"/>
      <c r="V81" s="5"/>
      <c r="W81" s="5"/>
      <c r="X81" s="5"/>
      <c r="Y81" s="5"/>
      <c r="Z81" s="5"/>
    </row>
    <row r="82" spans="1:26" ht="12.75" customHeight="1" x14ac:dyDescent="0.25">
      <c r="A82" s="110" t="s">
        <v>27</v>
      </c>
      <c r="B82" s="15">
        <v>68</v>
      </c>
      <c r="C82" s="109" t="s">
        <v>308</v>
      </c>
      <c r="D82" s="406" t="s">
        <v>203</v>
      </c>
      <c r="E82" s="370"/>
      <c r="F82" s="371"/>
      <c r="G82" s="107" t="s">
        <v>309</v>
      </c>
      <c r="H82" s="385"/>
      <c r="I82" s="5"/>
      <c r="J82" s="5"/>
      <c r="K82" s="5"/>
      <c r="L82" s="5"/>
      <c r="M82" s="5"/>
      <c r="N82" s="5"/>
      <c r="O82" s="5"/>
      <c r="P82" s="5"/>
      <c r="Q82" s="5"/>
      <c r="R82" s="5"/>
      <c r="S82" s="5"/>
      <c r="T82" s="5"/>
      <c r="U82" s="5"/>
      <c r="V82" s="5"/>
      <c r="W82" s="5"/>
      <c r="X82" s="5"/>
      <c r="Y82" s="5"/>
      <c r="Z82" s="5"/>
    </row>
    <row r="83" spans="1:26" ht="12.75" customHeight="1" x14ac:dyDescent="0.25">
      <c r="A83" s="110" t="s">
        <v>27</v>
      </c>
      <c r="B83" s="15">
        <v>69</v>
      </c>
      <c r="C83" s="109" t="s">
        <v>310</v>
      </c>
      <c r="D83" s="406" t="s">
        <v>203</v>
      </c>
      <c r="E83" s="370"/>
      <c r="F83" s="371"/>
      <c r="G83" s="107" t="s">
        <v>311</v>
      </c>
      <c r="H83" s="385"/>
      <c r="I83" s="5"/>
      <c r="J83" s="5"/>
      <c r="K83" s="5"/>
      <c r="L83" s="5"/>
      <c r="M83" s="5"/>
      <c r="N83" s="5"/>
      <c r="O83" s="5"/>
      <c r="P83" s="5"/>
      <c r="Q83" s="5"/>
      <c r="R83" s="5"/>
      <c r="S83" s="5"/>
      <c r="T83" s="5"/>
      <c r="U83" s="5"/>
      <c r="V83" s="5"/>
      <c r="W83" s="5"/>
      <c r="X83" s="5"/>
      <c r="Y83" s="5"/>
      <c r="Z83" s="5"/>
    </row>
    <row r="84" spans="1:26" ht="12.75" customHeight="1" x14ac:dyDescent="0.25">
      <c r="A84" s="110" t="s">
        <v>27</v>
      </c>
      <c r="B84" s="15">
        <v>70</v>
      </c>
      <c r="C84" s="109" t="s">
        <v>312</v>
      </c>
      <c r="D84" s="406" t="s">
        <v>203</v>
      </c>
      <c r="E84" s="370"/>
      <c r="F84" s="371"/>
      <c r="G84" s="107" t="s">
        <v>313</v>
      </c>
      <c r="H84" s="385"/>
      <c r="I84" s="5"/>
      <c r="J84" s="5"/>
      <c r="K84" s="5"/>
      <c r="L84" s="5"/>
      <c r="M84" s="5"/>
      <c r="N84" s="5"/>
      <c r="O84" s="5"/>
      <c r="P84" s="5"/>
      <c r="Q84" s="5"/>
      <c r="R84" s="5"/>
      <c r="S84" s="5"/>
      <c r="T84" s="5"/>
      <c r="U84" s="5"/>
      <c r="V84" s="5"/>
      <c r="W84" s="5"/>
      <c r="X84" s="5"/>
      <c r="Y84" s="5"/>
      <c r="Z84" s="5"/>
    </row>
    <row r="85" spans="1:26" ht="12.75" customHeight="1" x14ac:dyDescent="0.25">
      <c r="A85" s="110" t="s">
        <v>27</v>
      </c>
      <c r="B85" s="15">
        <v>71</v>
      </c>
      <c r="C85" s="109" t="s">
        <v>314</v>
      </c>
      <c r="D85" s="406" t="s">
        <v>208</v>
      </c>
      <c r="E85" s="370"/>
      <c r="F85" s="371"/>
      <c r="G85" s="107"/>
      <c r="H85" s="385"/>
      <c r="I85" s="5"/>
      <c r="J85" s="5"/>
      <c r="K85" s="5"/>
      <c r="L85" s="5"/>
      <c r="M85" s="5"/>
      <c r="N85" s="5"/>
      <c r="O85" s="5"/>
      <c r="P85" s="5"/>
      <c r="Q85" s="5"/>
      <c r="R85" s="5"/>
      <c r="S85" s="5"/>
      <c r="T85" s="5"/>
      <c r="U85" s="5"/>
      <c r="V85" s="5"/>
      <c r="W85" s="5"/>
      <c r="X85" s="5"/>
      <c r="Y85" s="5"/>
      <c r="Z85" s="5"/>
    </row>
    <row r="86" spans="1:26" ht="12.75" customHeight="1" x14ac:dyDescent="0.25">
      <c r="A86" s="110" t="s">
        <v>27</v>
      </c>
      <c r="B86" s="15">
        <v>72</v>
      </c>
      <c r="C86" s="109" t="s">
        <v>315</v>
      </c>
      <c r="D86" s="406" t="s">
        <v>247</v>
      </c>
      <c r="E86" s="370"/>
      <c r="F86" s="371"/>
      <c r="G86" s="107"/>
      <c r="H86" s="385"/>
      <c r="I86" s="5"/>
      <c r="J86" s="5"/>
      <c r="K86" s="5"/>
      <c r="L86" s="5"/>
      <c r="M86" s="5"/>
      <c r="N86" s="5"/>
      <c r="O86" s="5"/>
      <c r="P86" s="5"/>
      <c r="Q86" s="5"/>
      <c r="R86" s="5"/>
      <c r="S86" s="5"/>
      <c r="T86" s="5"/>
      <c r="U86" s="5"/>
      <c r="V86" s="5"/>
      <c r="W86" s="5"/>
      <c r="X86" s="5"/>
      <c r="Y86" s="5"/>
      <c r="Z86" s="5"/>
    </row>
    <row r="87" spans="1:26" ht="12.75" customHeight="1" x14ac:dyDescent="0.25">
      <c r="A87" s="110" t="s">
        <v>27</v>
      </c>
      <c r="B87" s="15">
        <v>73</v>
      </c>
      <c r="C87" s="109" t="s">
        <v>316</v>
      </c>
      <c r="D87" s="406" t="s">
        <v>208</v>
      </c>
      <c r="E87" s="370"/>
      <c r="F87" s="371"/>
      <c r="G87" s="107"/>
      <c r="H87" s="385"/>
      <c r="I87" s="5"/>
      <c r="J87" s="5"/>
      <c r="K87" s="5"/>
      <c r="L87" s="5"/>
      <c r="M87" s="5"/>
      <c r="N87" s="5"/>
      <c r="O87" s="5"/>
      <c r="P87" s="5"/>
      <c r="Q87" s="5"/>
      <c r="R87" s="5"/>
      <c r="S87" s="5"/>
      <c r="T87" s="5"/>
      <c r="U87" s="5"/>
      <c r="V87" s="5"/>
      <c r="W87" s="5"/>
      <c r="X87" s="5"/>
      <c r="Y87" s="5"/>
      <c r="Z87" s="5"/>
    </row>
    <row r="88" spans="1:26" ht="12.75" customHeight="1" x14ac:dyDescent="0.25">
      <c r="A88" s="110" t="s">
        <v>27</v>
      </c>
      <c r="B88" s="15">
        <v>74</v>
      </c>
      <c r="C88" s="109" t="s">
        <v>317</v>
      </c>
      <c r="D88" s="406" t="s">
        <v>203</v>
      </c>
      <c r="E88" s="370"/>
      <c r="F88" s="371"/>
      <c r="G88" s="107" t="s">
        <v>318</v>
      </c>
      <c r="H88" s="385"/>
      <c r="I88" s="5"/>
      <c r="J88" s="5"/>
      <c r="K88" s="5"/>
      <c r="L88" s="5"/>
      <c r="M88" s="5"/>
      <c r="N88" s="5"/>
      <c r="O88" s="5"/>
      <c r="P88" s="5"/>
      <c r="Q88" s="5"/>
      <c r="R88" s="5"/>
      <c r="S88" s="5"/>
      <c r="T88" s="5"/>
      <c r="U88" s="5"/>
      <c r="V88" s="5"/>
      <c r="W88" s="5"/>
      <c r="X88" s="5"/>
      <c r="Y88" s="5"/>
      <c r="Z88" s="5"/>
    </row>
    <row r="89" spans="1:26" ht="12.75" customHeight="1" x14ac:dyDescent="0.25">
      <c r="A89" s="110" t="s">
        <v>27</v>
      </c>
      <c r="B89" s="15">
        <v>75</v>
      </c>
      <c r="C89" s="109" t="s">
        <v>319</v>
      </c>
      <c r="D89" s="406" t="s">
        <v>208</v>
      </c>
      <c r="E89" s="370"/>
      <c r="F89" s="371"/>
      <c r="G89" s="107"/>
      <c r="H89" s="385"/>
      <c r="I89" s="5"/>
      <c r="J89" s="5"/>
      <c r="K89" s="5"/>
      <c r="L89" s="5"/>
      <c r="M89" s="5"/>
      <c r="N89" s="5"/>
      <c r="O89" s="5"/>
      <c r="P89" s="5"/>
      <c r="Q89" s="5"/>
      <c r="R89" s="5"/>
      <c r="S89" s="5"/>
      <c r="T89" s="5"/>
      <c r="U89" s="5"/>
      <c r="V89" s="5"/>
      <c r="W89" s="5"/>
      <c r="X89" s="5"/>
      <c r="Y89" s="5"/>
      <c r="Z89" s="5"/>
    </row>
    <row r="90" spans="1:26" ht="12.75" customHeight="1" x14ac:dyDescent="0.25">
      <c r="A90" s="110" t="s">
        <v>27</v>
      </c>
      <c r="B90" s="15">
        <v>76</v>
      </c>
      <c r="C90" s="109" t="s">
        <v>320</v>
      </c>
      <c r="D90" s="406" t="s">
        <v>247</v>
      </c>
      <c r="E90" s="370"/>
      <c r="F90" s="371"/>
      <c r="G90" s="107"/>
      <c r="H90" s="385"/>
      <c r="I90" s="5"/>
      <c r="J90" s="5"/>
      <c r="K90" s="5"/>
      <c r="L90" s="5"/>
      <c r="M90" s="5"/>
      <c r="N90" s="5"/>
      <c r="O90" s="5"/>
      <c r="P90" s="5"/>
      <c r="Q90" s="5"/>
      <c r="R90" s="5"/>
      <c r="S90" s="5"/>
      <c r="T90" s="5"/>
      <c r="U90" s="5"/>
      <c r="V90" s="5"/>
      <c r="W90" s="5"/>
      <c r="X90" s="5"/>
      <c r="Y90" s="5"/>
      <c r="Z90" s="5"/>
    </row>
    <row r="91" spans="1:26" ht="12.75" customHeight="1" x14ac:dyDescent="0.25">
      <c r="A91" s="110" t="s">
        <v>27</v>
      </c>
      <c r="B91" s="15">
        <v>77</v>
      </c>
      <c r="C91" s="109" t="s">
        <v>321</v>
      </c>
      <c r="D91" s="406" t="s">
        <v>208</v>
      </c>
      <c r="E91" s="370"/>
      <c r="F91" s="371"/>
      <c r="G91" s="107"/>
      <c r="H91" s="385"/>
      <c r="I91" s="5"/>
      <c r="J91" s="5"/>
      <c r="K91" s="5"/>
      <c r="L91" s="5"/>
      <c r="M91" s="5"/>
      <c r="N91" s="5"/>
      <c r="O91" s="5"/>
      <c r="P91" s="5"/>
      <c r="Q91" s="5"/>
      <c r="R91" s="5"/>
      <c r="S91" s="5"/>
      <c r="T91" s="5"/>
      <c r="U91" s="5"/>
      <c r="V91" s="5"/>
      <c r="W91" s="5"/>
      <c r="X91" s="5"/>
      <c r="Y91" s="5"/>
      <c r="Z91" s="5"/>
    </row>
    <row r="92" spans="1:26" ht="12.75" customHeight="1" x14ac:dyDescent="0.25">
      <c r="A92" s="110" t="s">
        <v>27</v>
      </c>
      <c r="B92" s="15">
        <v>78</v>
      </c>
      <c r="C92" s="109" t="s">
        <v>322</v>
      </c>
      <c r="D92" s="406" t="s">
        <v>208</v>
      </c>
      <c r="E92" s="370"/>
      <c r="F92" s="371"/>
      <c r="G92" s="107"/>
      <c r="H92" s="385"/>
      <c r="I92" s="5"/>
      <c r="J92" s="5"/>
      <c r="K92" s="5"/>
      <c r="L92" s="5"/>
      <c r="M92" s="5"/>
      <c r="N92" s="5"/>
      <c r="O92" s="5"/>
      <c r="P92" s="5"/>
      <c r="Q92" s="5"/>
      <c r="R92" s="5"/>
      <c r="S92" s="5"/>
      <c r="T92" s="5"/>
      <c r="U92" s="5"/>
      <c r="V92" s="5"/>
      <c r="W92" s="5"/>
      <c r="X92" s="5"/>
      <c r="Y92" s="5"/>
      <c r="Z92" s="5"/>
    </row>
    <row r="93" spans="1:26" ht="12.75" customHeight="1" x14ac:dyDescent="0.25">
      <c r="A93" s="110" t="s">
        <v>27</v>
      </c>
      <c r="B93" s="15">
        <v>79</v>
      </c>
      <c r="C93" s="109" t="s">
        <v>323</v>
      </c>
      <c r="D93" s="406" t="s">
        <v>203</v>
      </c>
      <c r="E93" s="370"/>
      <c r="F93" s="371"/>
      <c r="G93" s="107" t="s">
        <v>324</v>
      </c>
      <c r="H93" s="385"/>
      <c r="I93" s="5"/>
      <c r="J93" s="5"/>
      <c r="K93" s="5"/>
      <c r="L93" s="5"/>
      <c r="M93" s="5"/>
      <c r="N93" s="5"/>
      <c r="O93" s="5"/>
      <c r="P93" s="5"/>
      <c r="Q93" s="5"/>
      <c r="R93" s="5"/>
      <c r="S93" s="5"/>
      <c r="T93" s="5"/>
      <c r="U93" s="5"/>
      <c r="V93" s="5"/>
      <c r="W93" s="5"/>
      <c r="X93" s="5"/>
      <c r="Y93" s="5"/>
      <c r="Z93" s="5"/>
    </row>
    <row r="94" spans="1:26" ht="12.75" customHeight="1" x14ac:dyDescent="0.25">
      <c r="A94" s="110" t="s">
        <v>27</v>
      </c>
      <c r="B94" s="15">
        <v>80</v>
      </c>
      <c r="C94" s="109" t="s">
        <v>325</v>
      </c>
      <c r="D94" s="406" t="s">
        <v>203</v>
      </c>
      <c r="E94" s="370"/>
      <c r="F94" s="371"/>
      <c r="G94" s="107" t="s">
        <v>326</v>
      </c>
      <c r="H94" s="385"/>
      <c r="I94" s="5"/>
      <c r="J94" s="5"/>
      <c r="K94" s="5"/>
      <c r="L94" s="5"/>
      <c r="M94" s="5"/>
      <c r="N94" s="5"/>
      <c r="O94" s="5"/>
      <c r="P94" s="5"/>
      <c r="Q94" s="5"/>
      <c r="R94" s="5"/>
      <c r="S94" s="5"/>
      <c r="T94" s="5"/>
      <c r="U94" s="5"/>
      <c r="V94" s="5"/>
      <c r="W94" s="5"/>
      <c r="X94" s="5"/>
      <c r="Y94" s="5"/>
      <c r="Z94" s="5"/>
    </row>
    <row r="95" spans="1:26" ht="12.75" customHeight="1" x14ac:dyDescent="0.25">
      <c r="A95" s="110" t="s">
        <v>27</v>
      </c>
      <c r="B95" s="15">
        <v>81</v>
      </c>
      <c r="C95" s="109" t="s">
        <v>327</v>
      </c>
      <c r="D95" s="406" t="s">
        <v>208</v>
      </c>
      <c r="E95" s="370"/>
      <c r="F95" s="371"/>
      <c r="G95" s="107"/>
      <c r="H95" s="385"/>
      <c r="I95" s="5"/>
      <c r="J95" s="5"/>
      <c r="K95" s="5"/>
      <c r="L95" s="5"/>
      <c r="M95" s="5"/>
      <c r="N95" s="5"/>
      <c r="O95" s="5"/>
      <c r="P95" s="5"/>
      <c r="Q95" s="5"/>
      <c r="R95" s="5"/>
      <c r="S95" s="5"/>
      <c r="T95" s="5"/>
      <c r="U95" s="5"/>
      <c r="V95" s="5"/>
      <c r="W95" s="5"/>
      <c r="X95" s="5"/>
      <c r="Y95" s="5"/>
      <c r="Z95" s="5"/>
    </row>
    <row r="96" spans="1:26" ht="12.75" customHeight="1" x14ac:dyDescent="0.25">
      <c r="A96" s="110" t="s">
        <v>27</v>
      </c>
      <c r="B96" s="15">
        <v>82</v>
      </c>
      <c r="C96" s="109" t="s">
        <v>328</v>
      </c>
      <c r="D96" s="406" t="s">
        <v>208</v>
      </c>
      <c r="E96" s="370"/>
      <c r="F96" s="371"/>
      <c r="G96" s="107"/>
      <c r="H96" s="385"/>
      <c r="I96" s="5"/>
      <c r="J96" s="5"/>
      <c r="K96" s="5"/>
      <c r="L96" s="5"/>
      <c r="M96" s="5"/>
      <c r="N96" s="5"/>
      <c r="O96" s="5"/>
      <c r="P96" s="5"/>
      <c r="Q96" s="5"/>
      <c r="R96" s="5"/>
      <c r="S96" s="5"/>
      <c r="T96" s="5"/>
      <c r="U96" s="5"/>
      <c r="V96" s="5"/>
      <c r="W96" s="5"/>
      <c r="X96" s="5"/>
      <c r="Y96" s="5"/>
      <c r="Z96" s="5"/>
    </row>
    <row r="97" spans="1:26" ht="12.75" customHeight="1" x14ac:dyDescent="0.25">
      <c r="A97" s="110" t="s">
        <v>27</v>
      </c>
      <c r="B97" s="15">
        <v>83</v>
      </c>
      <c r="C97" s="109" t="s">
        <v>329</v>
      </c>
      <c r="D97" s="406" t="s">
        <v>203</v>
      </c>
      <c r="E97" s="370"/>
      <c r="F97" s="371"/>
      <c r="G97" s="107" t="s">
        <v>330</v>
      </c>
      <c r="H97" s="385"/>
      <c r="I97" s="5"/>
      <c r="J97" s="5"/>
      <c r="K97" s="5"/>
      <c r="L97" s="5"/>
      <c r="M97" s="5"/>
      <c r="N97" s="5"/>
      <c r="O97" s="5"/>
      <c r="P97" s="5"/>
      <c r="Q97" s="5"/>
      <c r="R97" s="5"/>
      <c r="S97" s="5"/>
      <c r="T97" s="5"/>
      <c r="U97" s="5"/>
      <c r="V97" s="5"/>
      <c r="W97" s="5"/>
      <c r="X97" s="5"/>
      <c r="Y97" s="5"/>
      <c r="Z97" s="5"/>
    </row>
    <row r="98" spans="1:26" ht="15.75" customHeight="1" x14ac:dyDescent="0.25">
      <c r="A98" s="110" t="s">
        <v>27</v>
      </c>
      <c r="B98" s="15">
        <v>84</v>
      </c>
      <c r="C98" s="109" t="s">
        <v>331</v>
      </c>
      <c r="D98" s="406" t="s">
        <v>203</v>
      </c>
      <c r="E98" s="370"/>
      <c r="F98" s="371"/>
      <c r="G98" s="107" t="s">
        <v>332</v>
      </c>
      <c r="H98" s="385"/>
      <c r="I98" s="5"/>
      <c r="J98" s="5"/>
      <c r="K98" s="5"/>
      <c r="L98" s="5"/>
      <c r="M98" s="5"/>
      <c r="N98" s="5"/>
      <c r="O98" s="5"/>
      <c r="P98" s="5"/>
      <c r="Q98" s="5"/>
      <c r="R98" s="5"/>
      <c r="S98" s="5"/>
      <c r="T98" s="5"/>
      <c r="U98" s="5"/>
      <c r="V98" s="5"/>
      <c r="W98" s="5"/>
      <c r="X98" s="5"/>
      <c r="Y98" s="5"/>
      <c r="Z98" s="5"/>
    </row>
    <row r="99" spans="1:26" ht="12.75" customHeight="1" x14ac:dyDescent="0.25">
      <c r="A99" s="110" t="s">
        <v>27</v>
      </c>
      <c r="B99" s="15">
        <v>85</v>
      </c>
      <c r="C99" s="109" t="s">
        <v>333</v>
      </c>
      <c r="D99" s="406" t="s">
        <v>203</v>
      </c>
      <c r="E99" s="370"/>
      <c r="F99" s="371"/>
      <c r="G99" s="107"/>
      <c r="H99" s="385"/>
      <c r="I99" s="5"/>
      <c r="J99" s="5"/>
      <c r="K99" s="5"/>
      <c r="L99" s="5"/>
      <c r="M99" s="5"/>
      <c r="N99" s="5"/>
      <c r="O99" s="5"/>
      <c r="P99" s="5"/>
      <c r="Q99" s="5"/>
      <c r="R99" s="5"/>
      <c r="S99" s="5"/>
      <c r="T99" s="5"/>
      <c r="U99" s="5"/>
      <c r="V99" s="5"/>
      <c r="W99" s="5"/>
      <c r="X99" s="5"/>
      <c r="Y99" s="5"/>
      <c r="Z99" s="5"/>
    </row>
    <row r="100" spans="1:26" ht="15.75" customHeight="1" x14ac:dyDescent="0.25">
      <c r="A100" s="110" t="s">
        <v>27</v>
      </c>
      <c r="B100" s="15">
        <v>86</v>
      </c>
      <c r="C100" s="109" t="s">
        <v>334</v>
      </c>
      <c r="D100" s="406" t="s">
        <v>203</v>
      </c>
      <c r="E100" s="370"/>
      <c r="F100" s="371"/>
      <c r="G100" s="107" t="s">
        <v>335</v>
      </c>
      <c r="H100" s="385"/>
      <c r="I100" s="5"/>
      <c r="J100" s="5"/>
      <c r="K100" s="5"/>
      <c r="L100" s="5"/>
      <c r="M100" s="5"/>
      <c r="N100" s="5"/>
      <c r="O100" s="5"/>
      <c r="P100" s="5"/>
      <c r="Q100" s="5"/>
      <c r="R100" s="5"/>
      <c r="S100" s="5"/>
      <c r="T100" s="5"/>
      <c r="U100" s="5"/>
      <c r="V100" s="5"/>
      <c r="W100" s="5"/>
      <c r="X100" s="5"/>
      <c r="Y100" s="5"/>
      <c r="Z100" s="5"/>
    </row>
    <row r="101" spans="1:26" ht="12.75" customHeight="1" x14ac:dyDescent="0.25">
      <c r="A101" s="110" t="s">
        <v>27</v>
      </c>
      <c r="B101" s="15">
        <v>87</v>
      </c>
      <c r="C101" s="109" t="s">
        <v>336</v>
      </c>
      <c r="D101" s="406" t="s">
        <v>203</v>
      </c>
      <c r="E101" s="370"/>
      <c r="F101" s="371"/>
      <c r="G101" s="107"/>
      <c r="H101" s="385"/>
      <c r="I101" s="5"/>
      <c r="J101" s="5"/>
      <c r="K101" s="5"/>
      <c r="L101" s="5"/>
      <c r="M101" s="5"/>
      <c r="N101" s="5"/>
      <c r="O101" s="5"/>
      <c r="P101" s="5"/>
      <c r="Q101" s="5"/>
      <c r="R101" s="5"/>
      <c r="S101" s="5"/>
      <c r="T101" s="5"/>
      <c r="U101" s="5"/>
      <c r="V101" s="5"/>
      <c r="W101" s="5"/>
      <c r="X101" s="5"/>
      <c r="Y101" s="5"/>
      <c r="Z101" s="5"/>
    </row>
    <row r="102" spans="1:26" ht="12.75" customHeight="1" x14ac:dyDescent="0.25">
      <c r="A102" s="110" t="s">
        <v>27</v>
      </c>
      <c r="B102" s="15">
        <v>88</v>
      </c>
      <c r="C102" s="109" t="s">
        <v>337</v>
      </c>
      <c r="D102" s="406" t="s">
        <v>203</v>
      </c>
      <c r="E102" s="370"/>
      <c r="F102" s="371"/>
      <c r="G102" s="107" t="s">
        <v>338</v>
      </c>
      <c r="H102" s="385"/>
      <c r="I102" s="5"/>
      <c r="J102" s="5"/>
      <c r="K102" s="5"/>
      <c r="L102" s="5"/>
      <c r="M102" s="5"/>
      <c r="N102" s="5"/>
      <c r="O102" s="5"/>
      <c r="P102" s="5"/>
      <c r="Q102" s="5"/>
      <c r="R102" s="5"/>
      <c r="S102" s="5"/>
      <c r="T102" s="5"/>
      <c r="U102" s="5"/>
      <c r="V102" s="5"/>
      <c r="W102" s="5"/>
      <c r="X102" s="5"/>
      <c r="Y102" s="5"/>
      <c r="Z102" s="5"/>
    </row>
    <row r="103" spans="1:26" ht="12.75" customHeight="1" x14ac:dyDescent="0.25">
      <c r="A103" s="110" t="s">
        <v>27</v>
      </c>
      <c r="B103" s="15">
        <v>89</v>
      </c>
      <c r="C103" s="109" t="s">
        <v>339</v>
      </c>
      <c r="D103" s="406" t="s">
        <v>203</v>
      </c>
      <c r="E103" s="370"/>
      <c r="F103" s="371"/>
      <c r="G103" s="107" t="s">
        <v>340</v>
      </c>
      <c r="H103" s="385"/>
      <c r="I103" s="5"/>
      <c r="J103" s="5"/>
      <c r="K103" s="5"/>
      <c r="L103" s="5"/>
      <c r="M103" s="5"/>
      <c r="N103" s="5"/>
      <c r="O103" s="5"/>
      <c r="P103" s="5"/>
      <c r="Q103" s="5"/>
      <c r="R103" s="5"/>
      <c r="S103" s="5"/>
      <c r="T103" s="5"/>
      <c r="U103" s="5"/>
      <c r="V103" s="5"/>
      <c r="W103" s="5"/>
      <c r="X103" s="5"/>
      <c r="Y103" s="5"/>
      <c r="Z103" s="5"/>
    </row>
    <row r="104" spans="1:26" ht="12.75" customHeight="1" x14ac:dyDescent="0.25">
      <c r="A104" s="110" t="s">
        <v>27</v>
      </c>
      <c r="B104" s="15">
        <v>90</v>
      </c>
      <c r="C104" s="109" t="s">
        <v>341</v>
      </c>
      <c r="D104" s="406" t="s">
        <v>208</v>
      </c>
      <c r="E104" s="370"/>
      <c r="F104" s="371"/>
      <c r="G104" s="107"/>
      <c r="H104" s="385"/>
      <c r="I104" s="5"/>
      <c r="J104" s="5"/>
      <c r="K104" s="5"/>
      <c r="L104" s="5"/>
      <c r="M104" s="5"/>
      <c r="N104" s="5"/>
      <c r="O104" s="5"/>
      <c r="P104" s="5"/>
      <c r="Q104" s="5"/>
      <c r="R104" s="5"/>
      <c r="S104" s="5"/>
      <c r="T104" s="5"/>
      <c r="U104" s="5"/>
      <c r="V104" s="5"/>
      <c r="W104" s="5"/>
      <c r="X104" s="5"/>
      <c r="Y104" s="5"/>
      <c r="Z104" s="5"/>
    </row>
    <row r="105" spans="1:26" ht="12.75" customHeight="1" x14ac:dyDescent="0.25">
      <c r="A105" s="110" t="s">
        <v>27</v>
      </c>
      <c r="B105" s="15">
        <v>91</v>
      </c>
      <c r="C105" s="109" t="s">
        <v>342</v>
      </c>
      <c r="D105" s="406" t="s">
        <v>247</v>
      </c>
      <c r="E105" s="370"/>
      <c r="F105" s="371"/>
      <c r="G105" s="107"/>
      <c r="H105" s="385"/>
      <c r="I105" s="5"/>
      <c r="J105" s="5"/>
      <c r="K105" s="5"/>
      <c r="L105" s="5"/>
      <c r="M105" s="5"/>
      <c r="N105" s="5"/>
      <c r="O105" s="5"/>
      <c r="P105" s="5"/>
      <c r="Q105" s="5"/>
      <c r="R105" s="5"/>
      <c r="S105" s="5"/>
      <c r="T105" s="5"/>
      <c r="U105" s="5"/>
      <c r="V105" s="5"/>
      <c r="W105" s="5"/>
      <c r="X105" s="5"/>
      <c r="Y105" s="5"/>
      <c r="Z105" s="5"/>
    </row>
    <row r="106" spans="1:26" ht="12.75" customHeight="1" x14ac:dyDescent="0.25">
      <c r="A106" s="110" t="s">
        <v>27</v>
      </c>
      <c r="B106" s="15">
        <v>92</v>
      </c>
      <c r="C106" s="109" t="s">
        <v>343</v>
      </c>
      <c r="D106" s="406" t="s">
        <v>208</v>
      </c>
      <c r="E106" s="370"/>
      <c r="F106" s="371"/>
      <c r="G106" s="107"/>
      <c r="H106" s="385"/>
      <c r="I106" s="5"/>
      <c r="J106" s="5"/>
      <c r="K106" s="5"/>
      <c r="L106" s="5"/>
      <c r="M106" s="5"/>
      <c r="N106" s="5"/>
      <c r="O106" s="5"/>
      <c r="P106" s="5"/>
      <c r="Q106" s="5"/>
      <c r="R106" s="5"/>
      <c r="S106" s="5"/>
      <c r="T106" s="5"/>
      <c r="U106" s="5"/>
      <c r="V106" s="5"/>
      <c r="W106" s="5"/>
      <c r="X106" s="5"/>
      <c r="Y106" s="5"/>
      <c r="Z106" s="5"/>
    </row>
    <row r="107" spans="1:26" ht="12.75" customHeight="1" x14ac:dyDescent="0.25">
      <c r="A107" s="110" t="s">
        <v>27</v>
      </c>
      <c r="B107" s="15">
        <v>93</v>
      </c>
      <c r="C107" s="109" t="s">
        <v>344</v>
      </c>
      <c r="D107" s="406" t="s">
        <v>208</v>
      </c>
      <c r="E107" s="370"/>
      <c r="F107" s="371"/>
      <c r="G107" s="107"/>
      <c r="H107" s="385"/>
      <c r="I107" s="5"/>
      <c r="J107" s="5"/>
      <c r="K107" s="5"/>
      <c r="L107" s="5"/>
      <c r="M107" s="5"/>
      <c r="N107" s="5"/>
      <c r="O107" s="5"/>
      <c r="P107" s="5"/>
      <c r="Q107" s="5"/>
      <c r="R107" s="5"/>
      <c r="S107" s="5"/>
      <c r="T107" s="5"/>
      <c r="U107" s="5"/>
      <c r="V107" s="5"/>
      <c r="W107" s="5"/>
      <c r="X107" s="5"/>
      <c r="Y107" s="5"/>
      <c r="Z107" s="5"/>
    </row>
    <row r="108" spans="1:26" ht="12.75" customHeight="1" x14ac:dyDescent="0.25">
      <c r="A108" s="110" t="s">
        <v>27</v>
      </c>
      <c r="B108" s="15">
        <v>94</v>
      </c>
      <c r="C108" s="109" t="s">
        <v>345</v>
      </c>
      <c r="D108" s="406" t="s">
        <v>208</v>
      </c>
      <c r="E108" s="370"/>
      <c r="F108" s="371"/>
      <c r="G108" s="107"/>
      <c r="H108" s="385"/>
      <c r="I108" s="5"/>
      <c r="J108" s="5"/>
      <c r="K108" s="5"/>
      <c r="L108" s="5"/>
      <c r="M108" s="5"/>
      <c r="N108" s="5"/>
      <c r="O108" s="5"/>
      <c r="P108" s="5"/>
      <c r="Q108" s="5"/>
      <c r="R108" s="5"/>
      <c r="S108" s="5"/>
      <c r="T108" s="5"/>
      <c r="U108" s="5"/>
      <c r="V108" s="5"/>
      <c r="W108" s="5"/>
      <c r="X108" s="5"/>
      <c r="Y108" s="5"/>
      <c r="Z108" s="5"/>
    </row>
    <row r="109" spans="1:26" ht="12.75" customHeight="1" x14ac:dyDescent="0.25">
      <c r="A109" s="110" t="s">
        <v>27</v>
      </c>
      <c r="B109" s="15">
        <v>95</v>
      </c>
      <c r="C109" s="109" t="s">
        <v>346</v>
      </c>
      <c r="D109" s="406" t="s">
        <v>208</v>
      </c>
      <c r="E109" s="370"/>
      <c r="F109" s="371"/>
      <c r="G109" s="107"/>
      <c r="H109" s="385"/>
      <c r="I109" s="5"/>
      <c r="J109" s="5"/>
      <c r="K109" s="5"/>
      <c r="L109" s="5"/>
      <c r="M109" s="5"/>
      <c r="N109" s="5"/>
      <c r="O109" s="5"/>
      <c r="P109" s="5"/>
      <c r="Q109" s="5"/>
      <c r="R109" s="5"/>
      <c r="S109" s="5"/>
      <c r="T109" s="5"/>
      <c r="U109" s="5"/>
      <c r="V109" s="5"/>
      <c r="W109" s="5"/>
      <c r="X109" s="5"/>
      <c r="Y109" s="5"/>
      <c r="Z109" s="5"/>
    </row>
    <row r="110" spans="1:26" ht="12.75" customHeight="1" x14ac:dyDescent="0.25">
      <c r="A110" s="110" t="s">
        <v>27</v>
      </c>
      <c r="B110" s="15">
        <v>96</v>
      </c>
      <c r="C110" s="109" t="s">
        <v>347</v>
      </c>
      <c r="D110" s="406" t="s">
        <v>208</v>
      </c>
      <c r="E110" s="370"/>
      <c r="F110" s="371"/>
      <c r="G110" s="107"/>
      <c r="H110" s="385"/>
      <c r="I110" s="5"/>
      <c r="J110" s="5"/>
      <c r="K110" s="5"/>
      <c r="L110" s="5"/>
      <c r="M110" s="5"/>
      <c r="N110" s="5"/>
      <c r="O110" s="5"/>
      <c r="P110" s="5"/>
      <c r="Q110" s="5"/>
      <c r="R110" s="5"/>
      <c r="S110" s="5"/>
      <c r="T110" s="5"/>
      <c r="U110" s="5"/>
      <c r="V110" s="5"/>
      <c r="W110" s="5"/>
      <c r="X110" s="5"/>
      <c r="Y110" s="5"/>
      <c r="Z110" s="5"/>
    </row>
    <row r="111" spans="1:26" ht="12.75" customHeight="1" x14ac:dyDescent="0.25">
      <c r="A111" s="110" t="s">
        <v>27</v>
      </c>
      <c r="B111" s="15">
        <v>97</v>
      </c>
      <c r="C111" s="109" t="s">
        <v>348</v>
      </c>
      <c r="D111" s="406" t="s">
        <v>208</v>
      </c>
      <c r="E111" s="370"/>
      <c r="F111" s="371"/>
      <c r="G111" s="107"/>
      <c r="H111" s="385"/>
      <c r="I111" s="5"/>
      <c r="J111" s="5"/>
      <c r="K111" s="5"/>
      <c r="L111" s="5"/>
      <c r="M111" s="5"/>
      <c r="N111" s="5"/>
      <c r="O111" s="5"/>
      <c r="P111" s="5"/>
      <c r="Q111" s="5"/>
      <c r="R111" s="5"/>
      <c r="S111" s="5"/>
      <c r="T111" s="5"/>
      <c r="U111" s="5"/>
      <c r="V111" s="5"/>
      <c r="W111" s="5"/>
      <c r="X111" s="5"/>
      <c r="Y111" s="5"/>
      <c r="Z111" s="5"/>
    </row>
    <row r="112" spans="1:26" ht="12.75" customHeight="1" x14ac:dyDescent="0.25">
      <c r="A112" s="110" t="s">
        <v>27</v>
      </c>
      <c r="B112" s="15">
        <v>98</v>
      </c>
      <c r="C112" s="109" t="s">
        <v>349</v>
      </c>
      <c r="D112" s="406" t="s">
        <v>203</v>
      </c>
      <c r="E112" s="370"/>
      <c r="F112" s="371"/>
      <c r="G112" s="107" t="s">
        <v>350</v>
      </c>
      <c r="H112" s="385"/>
      <c r="I112" s="5"/>
      <c r="J112" s="5"/>
      <c r="K112" s="5"/>
      <c r="L112" s="5"/>
      <c r="M112" s="5"/>
      <c r="N112" s="5"/>
      <c r="O112" s="5"/>
      <c r="P112" s="5"/>
      <c r="Q112" s="5"/>
      <c r="R112" s="5"/>
      <c r="S112" s="5"/>
      <c r="T112" s="5"/>
      <c r="U112" s="5"/>
      <c r="V112" s="5"/>
      <c r="W112" s="5"/>
      <c r="X112" s="5"/>
      <c r="Y112" s="5"/>
      <c r="Z112" s="5"/>
    </row>
    <row r="113" spans="1:26" ht="12.75" customHeight="1" x14ac:dyDescent="0.25">
      <c r="A113" s="110" t="s">
        <v>27</v>
      </c>
      <c r="B113" s="15">
        <v>99</v>
      </c>
      <c r="C113" s="109" t="s">
        <v>351</v>
      </c>
      <c r="D113" s="406" t="s">
        <v>208</v>
      </c>
      <c r="E113" s="370"/>
      <c r="F113" s="371"/>
      <c r="G113" s="107"/>
      <c r="H113" s="385"/>
      <c r="I113" s="5"/>
      <c r="J113" s="5"/>
      <c r="K113" s="5"/>
      <c r="L113" s="5"/>
      <c r="M113" s="5"/>
      <c r="N113" s="5"/>
      <c r="O113" s="5"/>
      <c r="P113" s="5"/>
      <c r="Q113" s="5"/>
      <c r="R113" s="5"/>
      <c r="S113" s="5"/>
      <c r="T113" s="5"/>
      <c r="U113" s="5"/>
      <c r="V113" s="5"/>
      <c r="W113" s="5"/>
      <c r="X113" s="5"/>
      <c r="Y113" s="5"/>
      <c r="Z113" s="5"/>
    </row>
    <row r="114" spans="1:26" ht="12.75" customHeight="1" x14ac:dyDescent="0.25">
      <c r="A114" s="110" t="s">
        <v>27</v>
      </c>
      <c r="B114" s="15">
        <v>100</v>
      </c>
      <c r="C114" s="109" t="s">
        <v>352</v>
      </c>
      <c r="D114" s="406" t="s">
        <v>203</v>
      </c>
      <c r="E114" s="370"/>
      <c r="F114" s="371"/>
      <c r="G114" s="107" t="s">
        <v>353</v>
      </c>
      <c r="H114" s="385"/>
      <c r="I114" s="5"/>
      <c r="J114" s="5"/>
      <c r="K114" s="5"/>
      <c r="L114" s="5"/>
      <c r="M114" s="5"/>
      <c r="N114" s="5"/>
      <c r="O114" s="5"/>
      <c r="P114" s="5"/>
      <c r="Q114" s="5"/>
      <c r="R114" s="5"/>
      <c r="S114" s="5"/>
      <c r="T114" s="5"/>
      <c r="U114" s="5"/>
      <c r="V114" s="5"/>
      <c r="W114" s="5"/>
      <c r="X114" s="5"/>
      <c r="Y114" s="5"/>
      <c r="Z114" s="5"/>
    </row>
    <row r="115" spans="1:26" ht="12.75" customHeight="1" x14ac:dyDescent="0.25">
      <c r="A115" s="110" t="s">
        <v>27</v>
      </c>
      <c r="B115" s="15">
        <v>101</v>
      </c>
      <c r="C115" s="109" t="s">
        <v>354</v>
      </c>
      <c r="D115" s="406" t="s">
        <v>203</v>
      </c>
      <c r="E115" s="370"/>
      <c r="F115" s="371"/>
      <c r="G115" s="107" t="s">
        <v>355</v>
      </c>
      <c r="H115" s="385"/>
      <c r="I115" s="5"/>
      <c r="J115" s="5"/>
      <c r="K115" s="5"/>
      <c r="L115" s="5"/>
      <c r="M115" s="5"/>
      <c r="N115" s="5"/>
      <c r="O115" s="5"/>
      <c r="P115" s="5"/>
      <c r="Q115" s="5"/>
      <c r="R115" s="5"/>
      <c r="S115" s="5"/>
      <c r="T115" s="5"/>
      <c r="U115" s="5"/>
      <c r="V115" s="5"/>
      <c r="W115" s="5"/>
      <c r="X115" s="5"/>
      <c r="Y115" s="5"/>
      <c r="Z115" s="5"/>
    </row>
    <row r="116" spans="1:26" ht="12.75" customHeight="1" x14ac:dyDescent="0.25">
      <c r="A116" s="110" t="s">
        <v>27</v>
      </c>
      <c r="B116" s="15">
        <v>102</v>
      </c>
      <c r="C116" s="109" t="s">
        <v>356</v>
      </c>
      <c r="D116" s="406" t="s">
        <v>203</v>
      </c>
      <c r="E116" s="370"/>
      <c r="F116" s="371"/>
      <c r="G116" s="107" t="s">
        <v>357</v>
      </c>
      <c r="H116" s="385"/>
      <c r="I116" s="5"/>
      <c r="J116" s="5"/>
      <c r="K116" s="5"/>
      <c r="L116" s="5"/>
      <c r="M116" s="5"/>
      <c r="N116" s="5"/>
      <c r="O116" s="5"/>
      <c r="P116" s="5"/>
      <c r="Q116" s="5"/>
      <c r="R116" s="5"/>
      <c r="S116" s="5"/>
      <c r="T116" s="5"/>
      <c r="U116" s="5"/>
      <c r="V116" s="5"/>
      <c r="W116" s="5"/>
      <c r="X116" s="5"/>
      <c r="Y116" s="5"/>
      <c r="Z116" s="5"/>
    </row>
    <row r="117" spans="1:26" ht="12.75" customHeight="1" x14ac:dyDescent="0.25">
      <c r="A117" s="110" t="s">
        <v>27</v>
      </c>
      <c r="B117" s="15">
        <v>103</v>
      </c>
      <c r="C117" s="109" t="s">
        <v>358</v>
      </c>
      <c r="D117" s="406" t="s">
        <v>203</v>
      </c>
      <c r="E117" s="370"/>
      <c r="F117" s="371"/>
      <c r="G117" s="107" t="s">
        <v>359</v>
      </c>
      <c r="H117" s="385"/>
      <c r="I117" s="5"/>
      <c r="J117" s="5"/>
      <c r="K117" s="5"/>
      <c r="L117" s="5"/>
      <c r="M117" s="5"/>
      <c r="N117" s="5"/>
      <c r="O117" s="5"/>
      <c r="P117" s="5"/>
      <c r="Q117" s="5"/>
      <c r="R117" s="5"/>
      <c r="S117" s="5"/>
      <c r="T117" s="5"/>
      <c r="U117" s="5"/>
      <c r="V117" s="5"/>
      <c r="W117" s="5"/>
      <c r="X117" s="5"/>
      <c r="Y117" s="5"/>
      <c r="Z117" s="5"/>
    </row>
    <row r="118" spans="1:26" ht="12.75" customHeight="1" x14ac:dyDescent="0.25">
      <c r="A118" s="110" t="s">
        <v>27</v>
      </c>
      <c r="B118" s="15">
        <v>104</v>
      </c>
      <c r="C118" s="109" t="s">
        <v>360</v>
      </c>
      <c r="D118" s="406" t="s">
        <v>208</v>
      </c>
      <c r="E118" s="370"/>
      <c r="F118" s="371"/>
      <c r="G118" s="107"/>
      <c r="H118" s="385"/>
      <c r="I118" s="5"/>
      <c r="J118" s="5"/>
      <c r="K118" s="5"/>
      <c r="L118" s="5"/>
      <c r="M118" s="5"/>
      <c r="N118" s="5"/>
      <c r="O118" s="5"/>
      <c r="P118" s="5"/>
      <c r="Q118" s="5"/>
      <c r="R118" s="5"/>
      <c r="S118" s="5"/>
      <c r="T118" s="5"/>
      <c r="U118" s="5"/>
      <c r="V118" s="5"/>
      <c r="W118" s="5"/>
      <c r="X118" s="5"/>
      <c r="Y118" s="5"/>
      <c r="Z118" s="5"/>
    </row>
    <row r="119" spans="1:26" ht="12.75" customHeight="1" x14ac:dyDescent="0.25">
      <c r="A119" s="110" t="s">
        <v>27</v>
      </c>
      <c r="B119" s="15">
        <v>105</v>
      </c>
      <c r="C119" s="109" t="s">
        <v>361</v>
      </c>
      <c r="D119" s="406" t="s">
        <v>208</v>
      </c>
      <c r="E119" s="370"/>
      <c r="F119" s="371"/>
      <c r="G119" s="107"/>
      <c r="H119" s="385"/>
      <c r="I119" s="5"/>
      <c r="J119" s="5"/>
      <c r="K119" s="5"/>
      <c r="L119" s="5"/>
      <c r="M119" s="5"/>
      <c r="N119" s="5"/>
      <c r="O119" s="5"/>
      <c r="P119" s="5"/>
      <c r="Q119" s="5"/>
      <c r="R119" s="5"/>
      <c r="S119" s="5"/>
      <c r="T119" s="5"/>
      <c r="U119" s="5"/>
      <c r="V119" s="5"/>
      <c r="W119" s="5"/>
      <c r="X119" s="5"/>
      <c r="Y119" s="5"/>
      <c r="Z119" s="5"/>
    </row>
    <row r="120" spans="1:26" ht="12.75" customHeight="1" x14ac:dyDescent="0.25">
      <c r="A120" s="110" t="s">
        <v>27</v>
      </c>
      <c r="B120" s="15">
        <v>106</v>
      </c>
      <c r="C120" s="109" t="s">
        <v>362</v>
      </c>
      <c r="D120" s="406" t="s">
        <v>208</v>
      </c>
      <c r="E120" s="370"/>
      <c r="F120" s="371"/>
      <c r="G120" s="107"/>
      <c r="H120" s="385"/>
      <c r="I120" s="5"/>
      <c r="J120" s="5"/>
      <c r="K120" s="5"/>
      <c r="L120" s="5"/>
      <c r="M120" s="5"/>
      <c r="N120" s="5"/>
      <c r="O120" s="5"/>
      <c r="P120" s="5"/>
      <c r="Q120" s="5"/>
      <c r="R120" s="5"/>
      <c r="S120" s="5"/>
      <c r="T120" s="5"/>
      <c r="U120" s="5"/>
      <c r="V120" s="5"/>
      <c r="W120" s="5"/>
      <c r="X120" s="5"/>
      <c r="Y120" s="5"/>
      <c r="Z120" s="5"/>
    </row>
    <row r="121" spans="1:26" ht="12.75" customHeight="1" x14ac:dyDescent="0.25">
      <c r="A121" s="110" t="s">
        <v>27</v>
      </c>
      <c r="B121" s="15">
        <v>107</v>
      </c>
      <c r="C121" s="109" t="s">
        <v>363</v>
      </c>
      <c r="D121" s="406" t="s">
        <v>203</v>
      </c>
      <c r="E121" s="370"/>
      <c r="F121" s="371"/>
      <c r="G121" s="107" t="s">
        <v>364</v>
      </c>
      <c r="H121" s="385"/>
      <c r="I121" s="5"/>
      <c r="J121" s="5"/>
      <c r="K121" s="5"/>
      <c r="L121" s="5"/>
      <c r="M121" s="5"/>
      <c r="N121" s="5"/>
      <c r="O121" s="5"/>
      <c r="P121" s="5"/>
      <c r="Q121" s="5"/>
      <c r="R121" s="5"/>
      <c r="S121" s="5"/>
      <c r="T121" s="5"/>
      <c r="U121" s="5"/>
      <c r="V121" s="5"/>
      <c r="W121" s="5"/>
      <c r="X121" s="5"/>
      <c r="Y121" s="5"/>
      <c r="Z121" s="5"/>
    </row>
    <row r="122" spans="1:26" ht="12.75" customHeight="1" x14ac:dyDescent="0.25">
      <c r="A122" s="110" t="s">
        <v>27</v>
      </c>
      <c r="B122" s="15">
        <v>108</v>
      </c>
      <c r="C122" s="109" t="s">
        <v>365</v>
      </c>
      <c r="D122" s="406" t="s">
        <v>208</v>
      </c>
      <c r="E122" s="370"/>
      <c r="F122" s="371"/>
      <c r="G122" s="107"/>
      <c r="H122" s="385"/>
      <c r="I122" s="5"/>
      <c r="J122" s="5"/>
      <c r="K122" s="5"/>
      <c r="L122" s="5"/>
      <c r="M122" s="5"/>
      <c r="N122" s="5"/>
      <c r="O122" s="5"/>
      <c r="P122" s="5"/>
      <c r="Q122" s="5"/>
      <c r="R122" s="5"/>
      <c r="S122" s="5"/>
      <c r="T122" s="5"/>
      <c r="U122" s="5"/>
      <c r="V122" s="5"/>
      <c r="W122" s="5"/>
      <c r="X122" s="5"/>
      <c r="Y122" s="5"/>
      <c r="Z122" s="5"/>
    </row>
    <row r="123" spans="1:26" ht="12.75" customHeight="1" x14ac:dyDescent="0.25">
      <c r="A123" s="110" t="s">
        <v>27</v>
      </c>
      <c r="B123" s="15">
        <v>109</v>
      </c>
      <c r="C123" s="109" t="s">
        <v>366</v>
      </c>
      <c r="D123" s="406" t="s">
        <v>208</v>
      </c>
      <c r="E123" s="370"/>
      <c r="F123" s="371"/>
      <c r="G123" s="107"/>
      <c r="H123" s="385"/>
      <c r="I123" s="5"/>
      <c r="J123" s="5"/>
      <c r="K123" s="5"/>
      <c r="L123" s="5"/>
      <c r="M123" s="5"/>
      <c r="N123" s="5"/>
      <c r="O123" s="5"/>
      <c r="P123" s="5"/>
      <c r="Q123" s="5"/>
      <c r="R123" s="5"/>
      <c r="S123" s="5"/>
      <c r="T123" s="5"/>
      <c r="U123" s="5"/>
      <c r="V123" s="5"/>
      <c r="W123" s="5"/>
      <c r="X123" s="5"/>
      <c r="Y123" s="5"/>
      <c r="Z123" s="5"/>
    </row>
    <row r="124" spans="1:26" ht="12.75" customHeight="1" x14ac:dyDescent="0.25">
      <c r="A124" s="110" t="s">
        <v>27</v>
      </c>
      <c r="B124" s="15">
        <v>110</v>
      </c>
      <c r="C124" s="109" t="s">
        <v>367</v>
      </c>
      <c r="D124" s="406" t="s">
        <v>208</v>
      </c>
      <c r="E124" s="370"/>
      <c r="F124" s="371"/>
      <c r="G124" s="107"/>
      <c r="H124" s="385"/>
      <c r="I124" s="5"/>
      <c r="J124" s="5"/>
      <c r="K124" s="5"/>
      <c r="L124" s="5"/>
      <c r="M124" s="5"/>
      <c r="N124" s="5"/>
      <c r="O124" s="5"/>
      <c r="P124" s="5"/>
      <c r="Q124" s="5"/>
      <c r="R124" s="5"/>
      <c r="S124" s="5"/>
      <c r="T124" s="5"/>
      <c r="U124" s="5"/>
      <c r="V124" s="5"/>
      <c r="W124" s="5"/>
      <c r="X124" s="5"/>
      <c r="Y124" s="5"/>
      <c r="Z124" s="5"/>
    </row>
    <row r="125" spans="1:26" ht="12.75" customHeight="1" x14ac:dyDescent="0.25">
      <c r="A125" s="110" t="s">
        <v>27</v>
      </c>
      <c r="B125" s="15">
        <v>111</v>
      </c>
      <c r="C125" s="109" t="s">
        <v>368</v>
      </c>
      <c r="D125" s="406" t="s">
        <v>208</v>
      </c>
      <c r="E125" s="370"/>
      <c r="F125" s="371"/>
      <c r="G125" s="107"/>
      <c r="H125" s="385"/>
      <c r="I125" s="5"/>
      <c r="J125" s="5"/>
      <c r="K125" s="5"/>
      <c r="L125" s="5"/>
      <c r="M125" s="5"/>
      <c r="N125" s="5"/>
      <c r="O125" s="5"/>
      <c r="P125" s="5"/>
      <c r="Q125" s="5"/>
      <c r="R125" s="5"/>
      <c r="S125" s="5"/>
      <c r="T125" s="5"/>
      <c r="U125" s="5"/>
      <c r="V125" s="5"/>
      <c r="W125" s="5"/>
      <c r="X125" s="5"/>
      <c r="Y125" s="5"/>
      <c r="Z125" s="5"/>
    </row>
    <row r="126" spans="1:26" ht="12.75" customHeight="1" x14ac:dyDescent="0.25">
      <c r="A126" s="110" t="s">
        <v>27</v>
      </c>
      <c r="B126" s="15">
        <v>112</v>
      </c>
      <c r="C126" s="109" t="s">
        <v>369</v>
      </c>
      <c r="D126" s="406" t="s">
        <v>247</v>
      </c>
      <c r="E126" s="370"/>
      <c r="F126" s="371"/>
      <c r="G126" s="107"/>
      <c r="H126" s="385"/>
      <c r="I126" s="5"/>
      <c r="J126" s="5"/>
      <c r="K126" s="5"/>
      <c r="L126" s="5"/>
      <c r="M126" s="5"/>
      <c r="N126" s="5"/>
      <c r="O126" s="5"/>
      <c r="P126" s="5"/>
      <c r="Q126" s="5"/>
      <c r="R126" s="5"/>
      <c r="S126" s="5"/>
      <c r="T126" s="5"/>
      <c r="U126" s="5"/>
      <c r="V126" s="5"/>
      <c r="W126" s="5"/>
      <c r="X126" s="5"/>
      <c r="Y126" s="5"/>
      <c r="Z126" s="5"/>
    </row>
    <row r="127" spans="1:26" ht="12.75" customHeight="1" x14ac:dyDescent="0.25">
      <c r="A127" s="110" t="s">
        <v>27</v>
      </c>
      <c r="B127" s="15">
        <v>113</v>
      </c>
      <c r="C127" s="109" t="s">
        <v>370</v>
      </c>
      <c r="D127" s="406" t="s">
        <v>203</v>
      </c>
      <c r="E127" s="370"/>
      <c r="F127" s="371"/>
      <c r="G127" s="107" t="s">
        <v>371</v>
      </c>
      <c r="H127" s="385"/>
      <c r="I127" s="5"/>
      <c r="J127" s="5"/>
      <c r="K127" s="5"/>
      <c r="L127" s="5"/>
      <c r="M127" s="5"/>
      <c r="N127" s="5"/>
      <c r="O127" s="5"/>
      <c r="P127" s="5"/>
      <c r="Q127" s="5"/>
      <c r="R127" s="5"/>
      <c r="S127" s="5"/>
      <c r="T127" s="5"/>
      <c r="U127" s="5"/>
      <c r="V127" s="5"/>
      <c r="W127" s="5"/>
      <c r="X127" s="5"/>
      <c r="Y127" s="5"/>
      <c r="Z127" s="5"/>
    </row>
    <row r="128" spans="1:26" ht="12.75" customHeight="1" x14ac:dyDescent="0.25">
      <c r="A128" s="110" t="s">
        <v>27</v>
      </c>
      <c r="B128" s="15">
        <v>114</v>
      </c>
      <c r="C128" s="109" t="s">
        <v>372</v>
      </c>
      <c r="D128" s="406" t="s">
        <v>203</v>
      </c>
      <c r="E128" s="370"/>
      <c r="F128" s="371"/>
      <c r="G128" s="107" t="s">
        <v>373</v>
      </c>
      <c r="H128" s="385"/>
      <c r="I128" s="5"/>
      <c r="J128" s="5"/>
      <c r="K128" s="5"/>
      <c r="L128" s="5"/>
      <c r="M128" s="5"/>
      <c r="N128" s="5"/>
      <c r="O128" s="5"/>
      <c r="P128" s="5"/>
      <c r="Q128" s="5"/>
      <c r="R128" s="5"/>
      <c r="S128" s="5"/>
      <c r="T128" s="5"/>
      <c r="U128" s="5"/>
      <c r="V128" s="5"/>
      <c r="W128" s="5"/>
      <c r="X128" s="5"/>
      <c r="Y128" s="5"/>
      <c r="Z128" s="5"/>
    </row>
    <row r="129" spans="1:26" ht="12.75" customHeight="1" x14ac:dyDescent="0.25">
      <c r="A129" s="110" t="s">
        <v>27</v>
      </c>
      <c r="B129" s="15">
        <v>115</v>
      </c>
      <c r="C129" s="109" t="s">
        <v>374</v>
      </c>
      <c r="D129" s="406" t="s">
        <v>208</v>
      </c>
      <c r="E129" s="370"/>
      <c r="F129" s="371"/>
      <c r="G129" s="107"/>
      <c r="H129" s="385"/>
      <c r="I129" s="5"/>
      <c r="J129" s="5"/>
      <c r="K129" s="5"/>
      <c r="L129" s="5"/>
      <c r="M129" s="5"/>
      <c r="N129" s="5"/>
      <c r="O129" s="5"/>
      <c r="P129" s="5"/>
      <c r="Q129" s="5"/>
      <c r="R129" s="5"/>
      <c r="S129" s="5"/>
      <c r="T129" s="5"/>
      <c r="U129" s="5"/>
      <c r="V129" s="5"/>
      <c r="W129" s="5"/>
      <c r="X129" s="5"/>
      <c r="Y129" s="5"/>
      <c r="Z129" s="5"/>
    </row>
    <row r="130" spans="1:26" ht="12.75" customHeight="1" x14ac:dyDescent="0.25">
      <c r="A130" s="110" t="s">
        <v>27</v>
      </c>
      <c r="B130" s="15">
        <v>116</v>
      </c>
      <c r="C130" s="109" t="s">
        <v>375</v>
      </c>
      <c r="D130" s="406" t="s">
        <v>203</v>
      </c>
      <c r="E130" s="370"/>
      <c r="F130" s="371"/>
      <c r="G130" s="107" t="s">
        <v>376</v>
      </c>
      <c r="H130" s="385"/>
      <c r="I130" s="5"/>
      <c r="J130" s="5"/>
      <c r="K130" s="5"/>
      <c r="L130" s="5"/>
      <c r="M130" s="5"/>
      <c r="N130" s="5"/>
      <c r="O130" s="5"/>
      <c r="P130" s="5"/>
      <c r="Q130" s="5"/>
      <c r="R130" s="5"/>
      <c r="S130" s="5"/>
      <c r="T130" s="5"/>
      <c r="U130" s="5"/>
      <c r="V130" s="5"/>
      <c r="W130" s="5"/>
      <c r="X130" s="5"/>
      <c r="Y130" s="5"/>
      <c r="Z130" s="5"/>
    </row>
    <row r="131" spans="1:26" ht="12.75" customHeight="1" x14ac:dyDescent="0.25">
      <c r="A131" s="110" t="s">
        <v>27</v>
      </c>
      <c r="B131" s="15">
        <v>117</v>
      </c>
      <c r="C131" s="109" t="s">
        <v>377</v>
      </c>
      <c r="D131" s="406" t="s">
        <v>203</v>
      </c>
      <c r="E131" s="370"/>
      <c r="F131" s="371"/>
      <c r="G131" s="107" t="s">
        <v>378</v>
      </c>
      <c r="H131" s="385"/>
      <c r="I131" s="5"/>
      <c r="J131" s="5"/>
      <c r="K131" s="5"/>
      <c r="L131" s="5"/>
      <c r="M131" s="5"/>
      <c r="N131" s="5"/>
      <c r="O131" s="5"/>
      <c r="P131" s="5"/>
      <c r="Q131" s="5"/>
      <c r="R131" s="5"/>
      <c r="S131" s="5"/>
      <c r="T131" s="5"/>
      <c r="U131" s="5"/>
      <c r="V131" s="5"/>
      <c r="W131" s="5"/>
      <c r="X131" s="5"/>
      <c r="Y131" s="5"/>
      <c r="Z131" s="5"/>
    </row>
    <row r="132" spans="1:26" ht="12.75" customHeight="1" x14ac:dyDescent="0.25">
      <c r="A132" s="110" t="s">
        <v>27</v>
      </c>
      <c r="B132" s="15">
        <v>118</v>
      </c>
      <c r="C132" s="109" t="s">
        <v>379</v>
      </c>
      <c r="D132" s="406" t="s">
        <v>203</v>
      </c>
      <c r="E132" s="370"/>
      <c r="F132" s="371"/>
      <c r="G132" s="83" t="s">
        <v>380</v>
      </c>
      <c r="H132" s="385"/>
      <c r="I132" s="5"/>
      <c r="J132" s="5"/>
      <c r="K132" s="5"/>
      <c r="L132" s="5"/>
      <c r="M132" s="5"/>
      <c r="N132" s="5"/>
      <c r="O132" s="5"/>
      <c r="P132" s="5"/>
      <c r="Q132" s="5"/>
      <c r="R132" s="5"/>
      <c r="S132" s="5"/>
      <c r="T132" s="5"/>
      <c r="U132" s="5"/>
      <c r="V132" s="5"/>
      <c r="W132" s="5"/>
      <c r="X132" s="5"/>
      <c r="Y132" s="5"/>
      <c r="Z132" s="5"/>
    </row>
    <row r="133" spans="1:26" ht="12.75" customHeight="1" x14ac:dyDescent="0.25">
      <c r="A133" s="110" t="s">
        <v>27</v>
      </c>
      <c r="B133" s="15">
        <v>119</v>
      </c>
      <c r="C133" s="109" t="s">
        <v>381</v>
      </c>
      <c r="D133" s="406" t="s">
        <v>208</v>
      </c>
      <c r="E133" s="370"/>
      <c r="F133" s="371"/>
      <c r="G133" s="107"/>
      <c r="H133" s="385"/>
      <c r="I133" s="5"/>
      <c r="J133" s="5"/>
      <c r="K133" s="5"/>
      <c r="L133" s="5"/>
      <c r="M133" s="5"/>
      <c r="N133" s="5"/>
      <c r="O133" s="5"/>
      <c r="P133" s="5"/>
      <c r="Q133" s="5"/>
      <c r="R133" s="5"/>
      <c r="S133" s="5"/>
      <c r="T133" s="5"/>
      <c r="U133" s="5"/>
      <c r="V133" s="5"/>
      <c r="W133" s="5"/>
      <c r="X133" s="5"/>
      <c r="Y133" s="5"/>
      <c r="Z133" s="5"/>
    </row>
    <row r="134" spans="1:26" ht="12.75" customHeight="1" x14ac:dyDescent="0.25">
      <c r="A134" s="110" t="s">
        <v>27</v>
      </c>
      <c r="B134" s="15">
        <v>120</v>
      </c>
      <c r="C134" s="109" t="s">
        <v>382</v>
      </c>
      <c r="D134" s="406" t="s">
        <v>208</v>
      </c>
      <c r="E134" s="370"/>
      <c r="F134" s="371"/>
      <c r="G134" s="107"/>
      <c r="H134" s="385"/>
      <c r="I134" s="5"/>
      <c r="J134" s="5"/>
      <c r="K134" s="5"/>
      <c r="L134" s="5"/>
      <c r="M134" s="5"/>
      <c r="N134" s="5"/>
      <c r="O134" s="5"/>
      <c r="P134" s="5"/>
      <c r="Q134" s="5"/>
      <c r="R134" s="5"/>
      <c r="S134" s="5"/>
      <c r="T134" s="5"/>
      <c r="U134" s="5"/>
      <c r="V134" s="5"/>
      <c r="W134" s="5"/>
      <c r="X134" s="5"/>
      <c r="Y134" s="5"/>
      <c r="Z134" s="5"/>
    </row>
    <row r="135" spans="1:26" ht="26.25" customHeight="1" x14ac:dyDescent="0.25">
      <c r="A135" s="110" t="s">
        <v>383</v>
      </c>
      <c r="B135" s="15">
        <v>121</v>
      </c>
      <c r="C135" s="106" t="s">
        <v>384</v>
      </c>
      <c r="D135" s="406" t="s">
        <v>208</v>
      </c>
      <c r="E135" s="370"/>
      <c r="F135" s="371"/>
      <c r="G135" s="107"/>
      <c r="H135" s="385"/>
      <c r="I135" s="5"/>
      <c r="J135" s="5"/>
      <c r="K135" s="5"/>
      <c r="L135" s="5"/>
      <c r="M135" s="5"/>
      <c r="N135" s="5"/>
      <c r="O135" s="5"/>
      <c r="P135" s="5"/>
      <c r="Q135" s="5"/>
      <c r="R135" s="5"/>
      <c r="S135" s="5"/>
      <c r="T135" s="5"/>
      <c r="U135" s="5"/>
      <c r="V135" s="5"/>
      <c r="W135" s="5"/>
      <c r="X135" s="5"/>
      <c r="Y135" s="5"/>
      <c r="Z135" s="5"/>
    </row>
    <row r="136" spans="1:26" ht="12.75" customHeight="1" x14ac:dyDescent="0.25">
      <c r="A136" s="110" t="s">
        <v>383</v>
      </c>
      <c r="B136" s="15">
        <v>122</v>
      </c>
      <c r="C136" s="109" t="s">
        <v>385</v>
      </c>
      <c r="D136" s="406" t="s">
        <v>208</v>
      </c>
      <c r="E136" s="370"/>
      <c r="F136" s="371"/>
      <c r="G136" s="107"/>
      <c r="H136" s="385"/>
      <c r="I136" s="5"/>
      <c r="J136" s="5"/>
      <c r="K136" s="5"/>
      <c r="L136" s="5"/>
      <c r="M136" s="5"/>
      <c r="N136" s="5"/>
      <c r="O136" s="5"/>
      <c r="P136" s="5"/>
      <c r="Q136" s="5"/>
      <c r="R136" s="5"/>
      <c r="S136" s="5"/>
      <c r="T136" s="5"/>
      <c r="U136" s="5"/>
      <c r="V136" s="5"/>
      <c r="W136" s="5"/>
      <c r="X136" s="5"/>
      <c r="Y136" s="5"/>
      <c r="Z136" s="5"/>
    </row>
    <row r="137" spans="1:26" ht="12.75" customHeight="1" x14ac:dyDescent="0.25">
      <c r="A137" s="110" t="s">
        <v>383</v>
      </c>
      <c r="B137" s="15">
        <v>123</v>
      </c>
      <c r="C137" s="109" t="s">
        <v>386</v>
      </c>
      <c r="D137" s="406" t="s">
        <v>208</v>
      </c>
      <c r="E137" s="370"/>
      <c r="F137" s="371"/>
      <c r="G137" s="107"/>
      <c r="H137" s="385"/>
      <c r="I137" s="5"/>
      <c r="J137" s="5"/>
      <c r="K137" s="5"/>
      <c r="L137" s="5"/>
      <c r="M137" s="5"/>
      <c r="N137" s="5"/>
      <c r="O137" s="5"/>
      <c r="P137" s="5"/>
      <c r="Q137" s="5"/>
      <c r="R137" s="5"/>
      <c r="S137" s="5"/>
      <c r="T137" s="5"/>
      <c r="U137" s="5"/>
      <c r="V137" s="5"/>
      <c r="W137" s="5"/>
      <c r="X137" s="5"/>
      <c r="Y137" s="5"/>
      <c r="Z137" s="5"/>
    </row>
    <row r="138" spans="1:26" ht="12.75" customHeight="1" x14ac:dyDescent="0.25">
      <c r="A138" s="110" t="s">
        <v>383</v>
      </c>
      <c r="B138" s="15">
        <v>124</v>
      </c>
      <c r="C138" s="109" t="s">
        <v>387</v>
      </c>
      <c r="D138" s="406" t="s">
        <v>203</v>
      </c>
      <c r="E138" s="370"/>
      <c r="F138" s="371"/>
      <c r="G138" s="107" t="s">
        <v>388</v>
      </c>
      <c r="H138" s="385"/>
      <c r="I138" s="5"/>
      <c r="J138" s="5"/>
      <c r="K138" s="5"/>
      <c r="L138" s="5"/>
      <c r="M138" s="5"/>
      <c r="N138" s="5"/>
      <c r="O138" s="5"/>
      <c r="P138" s="5"/>
      <c r="Q138" s="5"/>
      <c r="R138" s="5"/>
      <c r="S138" s="5"/>
      <c r="T138" s="5"/>
      <c r="U138" s="5"/>
      <c r="V138" s="5"/>
      <c r="W138" s="5"/>
      <c r="X138" s="5"/>
      <c r="Y138" s="5"/>
      <c r="Z138" s="5"/>
    </row>
    <row r="139" spans="1:26" ht="12.75" customHeight="1" x14ac:dyDescent="0.25">
      <c r="A139" s="110" t="s">
        <v>383</v>
      </c>
      <c r="B139" s="15">
        <v>125</v>
      </c>
      <c r="C139" s="109" t="s">
        <v>389</v>
      </c>
      <c r="D139" s="406" t="s">
        <v>247</v>
      </c>
      <c r="E139" s="370"/>
      <c r="F139" s="371"/>
      <c r="G139" s="107"/>
      <c r="H139" s="385"/>
      <c r="I139" s="5"/>
      <c r="J139" s="5"/>
      <c r="K139" s="5"/>
      <c r="L139" s="5"/>
      <c r="M139" s="5"/>
      <c r="N139" s="5"/>
      <c r="O139" s="5"/>
      <c r="P139" s="5"/>
      <c r="Q139" s="5"/>
      <c r="R139" s="5"/>
      <c r="S139" s="5"/>
      <c r="T139" s="5"/>
      <c r="U139" s="5"/>
      <c r="V139" s="5"/>
      <c r="W139" s="5"/>
      <c r="X139" s="5"/>
      <c r="Y139" s="5"/>
      <c r="Z139" s="5"/>
    </row>
    <row r="140" spans="1:26" ht="12.75" customHeight="1" x14ac:dyDescent="0.25">
      <c r="A140" s="110" t="s">
        <v>383</v>
      </c>
      <c r="B140" s="15">
        <v>126</v>
      </c>
      <c r="C140" s="109" t="s">
        <v>390</v>
      </c>
      <c r="D140" s="406" t="s">
        <v>203</v>
      </c>
      <c r="E140" s="370"/>
      <c r="F140" s="371"/>
      <c r="G140" s="107" t="s">
        <v>391</v>
      </c>
      <c r="H140" s="385"/>
      <c r="I140" s="5"/>
      <c r="J140" s="5"/>
      <c r="K140" s="5"/>
      <c r="L140" s="5"/>
      <c r="M140" s="5"/>
      <c r="N140" s="5"/>
      <c r="O140" s="5"/>
      <c r="P140" s="5"/>
      <c r="Q140" s="5"/>
      <c r="R140" s="5"/>
      <c r="S140" s="5"/>
      <c r="T140" s="5"/>
      <c r="U140" s="5"/>
      <c r="V140" s="5"/>
      <c r="W140" s="5"/>
      <c r="X140" s="5"/>
      <c r="Y140" s="5"/>
      <c r="Z140" s="5"/>
    </row>
    <row r="141" spans="1:26" ht="12.75" customHeight="1" x14ac:dyDescent="0.25">
      <c r="A141" s="110" t="s">
        <v>383</v>
      </c>
      <c r="B141" s="15">
        <v>127</v>
      </c>
      <c r="C141" s="109" t="s">
        <v>392</v>
      </c>
      <c r="D141" s="406" t="s">
        <v>203</v>
      </c>
      <c r="E141" s="370"/>
      <c r="F141" s="371"/>
      <c r="G141" s="107" t="s">
        <v>393</v>
      </c>
      <c r="H141" s="385"/>
      <c r="I141" s="5"/>
      <c r="J141" s="5"/>
      <c r="K141" s="5"/>
      <c r="L141" s="5"/>
      <c r="M141" s="5"/>
      <c r="N141" s="5"/>
      <c r="O141" s="5"/>
      <c r="P141" s="5"/>
      <c r="Q141" s="5"/>
      <c r="R141" s="5"/>
      <c r="S141" s="5"/>
      <c r="T141" s="5"/>
      <c r="U141" s="5"/>
      <c r="V141" s="5"/>
      <c r="W141" s="5"/>
      <c r="X141" s="5"/>
      <c r="Y141" s="5"/>
      <c r="Z141" s="5"/>
    </row>
    <row r="142" spans="1:26" ht="12.75" customHeight="1" x14ac:dyDescent="0.25">
      <c r="A142" s="110" t="s">
        <v>383</v>
      </c>
      <c r="B142" s="15">
        <v>128</v>
      </c>
      <c r="C142" s="109" t="s">
        <v>394</v>
      </c>
      <c r="D142" s="406" t="s">
        <v>208</v>
      </c>
      <c r="E142" s="370"/>
      <c r="F142" s="371"/>
      <c r="G142" s="107"/>
      <c r="H142" s="385"/>
      <c r="I142" s="5"/>
      <c r="J142" s="5"/>
      <c r="K142" s="5"/>
      <c r="L142" s="5"/>
      <c r="M142" s="5"/>
      <c r="N142" s="5"/>
      <c r="O142" s="5"/>
      <c r="P142" s="5"/>
      <c r="Q142" s="5"/>
      <c r="R142" s="5"/>
      <c r="S142" s="5"/>
      <c r="T142" s="5"/>
      <c r="U142" s="5"/>
      <c r="V142" s="5"/>
      <c r="W142" s="5"/>
      <c r="X142" s="5"/>
      <c r="Y142" s="5"/>
      <c r="Z142" s="5"/>
    </row>
    <row r="143" spans="1:26" ht="12.75" customHeight="1" x14ac:dyDescent="0.25">
      <c r="A143" s="110" t="s">
        <v>383</v>
      </c>
      <c r="B143" s="15">
        <v>129</v>
      </c>
      <c r="C143" s="109" t="s">
        <v>395</v>
      </c>
      <c r="D143" s="406" t="s">
        <v>208</v>
      </c>
      <c r="E143" s="370"/>
      <c r="F143" s="371"/>
      <c r="G143" s="107"/>
      <c r="H143" s="385"/>
      <c r="I143" s="5"/>
      <c r="J143" s="5"/>
      <c r="K143" s="5"/>
      <c r="L143" s="5"/>
      <c r="M143" s="5"/>
      <c r="N143" s="5"/>
      <c r="O143" s="5"/>
      <c r="P143" s="5"/>
      <c r="Q143" s="5"/>
      <c r="R143" s="5"/>
      <c r="S143" s="5"/>
      <c r="T143" s="5"/>
      <c r="U143" s="5"/>
      <c r="V143" s="5"/>
      <c r="W143" s="5"/>
      <c r="X143" s="5"/>
      <c r="Y143" s="5"/>
      <c r="Z143" s="5"/>
    </row>
    <row r="144" spans="1:26" ht="15.75" customHeight="1" x14ac:dyDescent="0.25">
      <c r="A144" s="110" t="s">
        <v>383</v>
      </c>
      <c r="B144" s="15">
        <v>130</v>
      </c>
      <c r="C144" s="109" t="s">
        <v>396</v>
      </c>
      <c r="D144" s="406" t="s">
        <v>203</v>
      </c>
      <c r="E144" s="370"/>
      <c r="F144" s="371"/>
      <c r="G144" s="107" t="s">
        <v>397</v>
      </c>
      <c r="H144" s="385"/>
      <c r="I144" s="5"/>
      <c r="J144" s="5"/>
      <c r="K144" s="5"/>
      <c r="L144" s="5"/>
      <c r="M144" s="5"/>
      <c r="N144" s="5"/>
      <c r="O144" s="5"/>
      <c r="P144" s="5"/>
      <c r="Q144" s="5"/>
      <c r="R144" s="5"/>
      <c r="S144" s="5"/>
      <c r="T144" s="5"/>
      <c r="U144" s="5"/>
      <c r="V144" s="5"/>
      <c r="W144" s="5"/>
      <c r="X144" s="5"/>
      <c r="Y144" s="5"/>
      <c r="Z144" s="5"/>
    </row>
    <row r="145" spans="1:26" ht="15.75" customHeight="1" x14ac:dyDescent="0.25">
      <c r="A145" s="110" t="s">
        <v>383</v>
      </c>
      <c r="B145" s="15">
        <v>131</v>
      </c>
      <c r="C145" s="109" t="s">
        <v>398</v>
      </c>
      <c r="D145" s="406" t="s">
        <v>203</v>
      </c>
      <c r="E145" s="370"/>
      <c r="F145" s="371"/>
      <c r="G145" s="107" t="s">
        <v>399</v>
      </c>
      <c r="H145" s="385"/>
      <c r="I145" s="5"/>
      <c r="J145" s="5"/>
      <c r="K145" s="5"/>
      <c r="L145" s="5"/>
      <c r="M145" s="5"/>
      <c r="N145" s="5"/>
      <c r="O145" s="5"/>
      <c r="P145" s="5"/>
      <c r="Q145" s="5"/>
      <c r="R145" s="5"/>
      <c r="S145" s="5"/>
      <c r="T145" s="5"/>
      <c r="U145" s="5"/>
      <c r="V145" s="5"/>
      <c r="W145" s="5"/>
      <c r="X145" s="5"/>
      <c r="Y145" s="5"/>
      <c r="Z145" s="5"/>
    </row>
    <row r="146" spans="1:26" ht="12.75" customHeight="1" x14ac:dyDescent="0.25">
      <c r="A146" s="110" t="s">
        <v>383</v>
      </c>
      <c r="B146" s="15">
        <v>132</v>
      </c>
      <c r="C146" s="109" t="s">
        <v>400</v>
      </c>
      <c r="D146" s="406" t="s">
        <v>203</v>
      </c>
      <c r="E146" s="370"/>
      <c r="F146" s="371"/>
      <c r="G146" s="107" t="s">
        <v>401</v>
      </c>
      <c r="H146" s="385"/>
      <c r="I146" s="5"/>
      <c r="J146" s="5"/>
      <c r="K146" s="5"/>
      <c r="L146" s="5"/>
      <c r="M146" s="5"/>
      <c r="N146" s="5"/>
      <c r="O146" s="5"/>
      <c r="P146" s="5"/>
      <c r="Q146" s="5"/>
      <c r="R146" s="5"/>
      <c r="S146" s="5"/>
      <c r="T146" s="5"/>
      <c r="U146" s="5"/>
      <c r="V146" s="5"/>
      <c r="W146" s="5"/>
      <c r="X146" s="5"/>
      <c r="Y146" s="5"/>
      <c r="Z146" s="5"/>
    </row>
    <row r="147" spans="1:26" ht="12.75" customHeight="1" x14ac:dyDescent="0.25">
      <c r="A147" s="110" t="s">
        <v>383</v>
      </c>
      <c r="B147" s="15">
        <v>133</v>
      </c>
      <c r="C147" s="109" t="s">
        <v>402</v>
      </c>
      <c r="D147" s="406" t="s">
        <v>208</v>
      </c>
      <c r="E147" s="370"/>
      <c r="F147" s="371"/>
      <c r="G147" s="107"/>
      <c r="H147" s="385"/>
      <c r="I147" s="5"/>
      <c r="J147" s="5"/>
      <c r="K147" s="5"/>
      <c r="L147" s="5"/>
      <c r="M147" s="5"/>
      <c r="N147" s="5"/>
      <c r="O147" s="5"/>
      <c r="P147" s="5"/>
      <c r="Q147" s="5"/>
      <c r="R147" s="5"/>
      <c r="S147" s="5"/>
      <c r="T147" s="5"/>
      <c r="U147" s="5"/>
      <c r="V147" s="5"/>
      <c r="W147" s="5"/>
      <c r="X147" s="5"/>
      <c r="Y147" s="5"/>
      <c r="Z147" s="5"/>
    </row>
    <row r="148" spans="1:26" ht="12.75" customHeight="1" x14ac:dyDescent="0.25">
      <c r="A148" s="110" t="s">
        <v>383</v>
      </c>
      <c r="B148" s="15">
        <v>134</v>
      </c>
      <c r="C148" s="109" t="s">
        <v>403</v>
      </c>
      <c r="D148" s="406" t="s">
        <v>208</v>
      </c>
      <c r="E148" s="370"/>
      <c r="F148" s="371"/>
      <c r="G148" s="107"/>
      <c r="H148" s="385"/>
      <c r="I148" s="5"/>
      <c r="J148" s="5"/>
      <c r="K148" s="5"/>
      <c r="L148" s="5"/>
      <c r="M148" s="5"/>
      <c r="N148" s="5"/>
      <c r="O148" s="5"/>
      <c r="P148" s="5"/>
      <c r="Q148" s="5"/>
      <c r="R148" s="5"/>
      <c r="S148" s="5"/>
      <c r="T148" s="5"/>
      <c r="U148" s="5"/>
      <c r="V148" s="5"/>
      <c r="W148" s="5"/>
      <c r="X148" s="5"/>
      <c r="Y148" s="5"/>
      <c r="Z148" s="5"/>
    </row>
    <row r="149" spans="1:26" ht="12.75" customHeight="1" x14ac:dyDescent="0.25">
      <c r="A149" s="110" t="s">
        <v>383</v>
      </c>
      <c r="B149" s="15">
        <v>135</v>
      </c>
      <c r="C149" s="109" t="s">
        <v>404</v>
      </c>
      <c r="D149" s="406" t="s">
        <v>208</v>
      </c>
      <c r="E149" s="370"/>
      <c r="F149" s="371"/>
      <c r="G149" s="107"/>
      <c r="H149" s="385"/>
      <c r="I149" s="5"/>
      <c r="J149" s="5"/>
      <c r="K149" s="5"/>
      <c r="L149" s="5"/>
      <c r="M149" s="5"/>
      <c r="N149" s="5"/>
      <c r="O149" s="5"/>
      <c r="P149" s="5"/>
      <c r="Q149" s="5"/>
      <c r="R149" s="5"/>
      <c r="S149" s="5"/>
      <c r="T149" s="5"/>
      <c r="U149" s="5"/>
      <c r="V149" s="5"/>
      <c r="W149" s="5"/>
      <c r="X149" s="5"/>
      <c r="Y149" s="5"/>
      <c r="Z149" s="5"/>
    </row>
    <row r="150" spans="1:26" ht="12.75" customHeight="1" x14ac:dyDescent="0.25">
      <c r="A150" s="110" t="s">
        <v>383</v>
      </c>
      <c r="B150" s="15">
        <v>136</v>
      </c>
      <c r="C150" s="109" t="s">
        <v>405</v>
      </c>
      <c r="D150" s="406" t="s">
        <v>203</v>
      </c>
      <c r="E150" s="370"/>
      <c r="F150" s="371"/>
      <c r="G150" s="107" t="s">
        <v>406</v>
      </c>
      <c r="H150" s="385"/>
      <c r="I150" s="5"/>
      <c r="J150" s="5"/>
      <c r="K150" s="5"/>
      <c r="L150" s="5"/>
      <c r="M150" s="5"/>
      <c r="N150" s="5"/>
      <c r="O150" s="5"/>
      <c r="P150" s="5"/>
      <c r="Q150" s="5"/>
      <c r="R150" s="5"/>
      <c r="S150" s="5"/>
      <c r="T150" s="5"/>
      <c r="U150" s="5"/>
      <c r="V150" s="5"/>
      <c r="W150" s="5"/>
      <c r="X150" s="5"/>
      <c r="Y150" s="5"/>
      <c r="Z150" s="5"/>
    </row>
    <row r="151" spans="1:26" ht="12.75" customHeight="1" x14ac:dyDescent="0.25">
      <c r="A151" s="110" t="s">
        <v>383</v>
      </c>
      <c r="B151" s="15">
        <v>137</v>
      </c>
      <c r="C151" s="109" t="s">
        <v>407</v>
      </c>
      <c r="D151" s="406" t="s">
        <v>208</v>
      </c>
      <c r="E151" s="370"/>
      <c r="F151" s="371"/>
      <c r="G151" s="107"/>
      <c r="H151" s="385"/>
      <c r="I151" s="5"/>
      <c r="J151" s="5"/>
      <c r="K151" s="5"/>
      <c r="L151" s="5"/>
      <c r="M151" s="5"/>
      <c r="N151" s="5"/>
      <c r="O151" s="5"/>
      <c r="P151" s="5"/>
      <c r="Q151" s="5"/>
      <c r="R151" s="5"/>
      <c r="S151" s="5"/>
      <c r="T151" s="5"/>
      <c r="U151" s="5"/>
      <c r="V151" s="5"/>
      <c r="W151" s="5"/>
      <c r="X151" s="5"/>
      <c r="Y151" s="5"/>
      <c r="Z151" s="5"/>
    </row>
    <row r="152" spans="1:26" ht="12.75" customHeight="1" x14ac:dyDescent="0.25">
      <c r="A152" s="110" t="s">
        <v>383</v>
      </c>
      <c r="B152" s="15">
        <v>138</v>
      </c>
      <c r="C152" s="109" t="s">
        <v>408</v>
      </c>
      <c r="D152" s="406" t="s">
        <v>208</v>
      </c>
      <c r="E152" s="370"/>
      <c r="F152" s="371"/>
      <c r="G152" s="107"/>
      <c r="H152" s="385"/>
      <c r="I152" s="5"/>
      <c r="J152" s="5"/>
      <c r="K152" s="5"/>
      <c r="L152" s="5"/>
      <c r="M152" s="5"/>
      <c r="N152" s="5"/>
      <c r="O152" s="5"/>
      <c r="P152" s="5"/>
      <c r="Q152" s="5"/>
      <c r="R152" s="5"/>
      <c r="S152" s="5"/>
      <c r="T152" s="5"/>
      <c r="U152" s="5"/>
      <c r="V152" s="5"/>
      <c r="W152" s="5"/>
      <c r="X152" s="5"/>
      <c r="Y152" s="5"/>
      <c r="Z152" s="5"/>
    </row>
    <row r="153" spans="1:26" ht="12.75" customHeight="1" x14ac:dyDescent="0.25">
      <c r="A153" s="110" t="s">
        <v>383</v>
      </c>
      <c r="B153" s="15">
        <v>139</v>
      </c>
      <c r="C153" s="109" t="s">
        <v>409</v>
      </c>
      <c r="D153" s="406" t="s">
        <v>203</v>
      </c>
      <c r="E153" s="370"/>
      <c r="F153" s="371"/>
      <c r="G153" s="107" t="s">
        <v>410</v>
      </c>
      <c r="H153" s="385"/>
      <c r="I153" s="5"/>
      <c r="J153" s="5"/>
      <c r="K153" s="5"/>
      <c r="L153" s="5"/>
      <c r="M153" s="5"/>
      <c r="N153" s="5"/>
      <c r="O153" s="5"/>
      <c r="P153" s="5"/>
      <c r="Q153" s="5"/>
      <c r="R153" s="5"/>
      <c r="S153" s="5"/>
      <c r="T153" s="5"/>
      <c r="U153" s="5"/>
      <c r="V153" s="5"/>
      <c r="W153" s="5"/>
      <c r="X153" s="5"/>
      <c r="Y153" s="5"/>
      <c r="Z153" s="5"/>
    </row>
    <row r="154" spans="1:26" ht="12.75" customHeight="1" x14ac:dyDescent="0.25">
      <c r="A154" s="110" t="s">
        <v>383</v>
      </c>
      <c r="B154" s="15">
        <v>140</v>
      </c>
      <c r="C154" s="109" t="s">
        <v>411</v>
      </c>
      <c r="D154" s="406" t="s">
        <v>203</v>
      </c>
      <c r="E154" s="370"/>
      <c r="F154" s="371"/>
      <c r="G154" s="107" t="s">
        <v>412</v>
      </c>
      <c r="H154" s="385"/>
      <c r="I154" s="5"/>
      <c r="J154" s="5"/>
      <c r="K154" s="5"/>
      <c r="L154" s="5"/>
      <c r="M154" s="5"/>
      <c r="N154" s="5"/>
      <c r="O154" s="5"/>
      <c r="P154" s="5"/>
      <c r="Q154" s="5"/>
      <c r="R154" s="5"/>
      <c r="S154" s="5"/>
      <c r="T154" s="5"/>
      <c r="U154" s="5"/>
      <c r="V154" s="5"/>
      <c r="W154" s="5"/>
      <c r="X154" s="5"/>
      <c r="Y154" s="5"/>
      <c r="Z154" s="5"/>
    </row>
    <row r="155" spans="1:26" ht="12.75" customHeight="1" x14ac:dyDescent="0.25">
      <c r="A155" s="110" t="s">
        <v>383</v>
      </c>
      <c r="B155" s="15">
        <v>141</v>
      </c>
      <c r="C155" s="109" t="s">
        <v>413</v>
      </c>
      <c r="D155" s="406" t="s">
        <v>208</v>
      </c>
      <c r="E155" s="370"/>
      <c r="F155" s="371"/>
      <c r="G155" s="107"/>
      <c r="H155" s="385"/>
      <c r="I155" s="5"/>
      <c r="J155" s="5"/>
      <c r="K155" s="5"/>
      <c r="L155" s="5"/>
      <c r="M155" s="5"/>
      <c r="N155" s="5"/>
      <c r="O155" s="5"/>
      <c r="P155" s="5"/>
      <c r="Q155" s="5"/>
      <c r="R155" s="5"/>
      <c r="S155" s="5"/>
      <c r="T155" s="5"/>
      <c r="U155" s="5"/>
      <c r="V155" s="5"/>
      <c r="W155" s="5"/>
      <c r="X155" s="5"/>
      <c r="Y155" s="5"/>
      <c r="Z155" s="5"/>
    </row>
    <row r="156" spans="1:26" ht="12.75" customHeight="1" x14ac:dyDescent="0.25">
      <c r="A156" s="110" t="s">
        <v>383</v>
      </c>
      <c r="B156" s="15">
        <v>142</v>
      </c>
      <c r="C156" s="109" t="s">
        <v>414</v>
      </c>
      <c r="D156" s="406" t="s">
        <v>203</v>
      </c>
      <c r="E156" s="370"/>
      <c r="F156" s="371"/>
      <c r="G156" s="107" t="s">
        <v>415</v>
      </c>
      <c r="H156" s="385"/>
      <c r="I156" s="5"/>
      <c r="J156" s="5"/>
      <c r="K156" s="5"/>
      <c r="L156" s="5"/>
      <c r="M156" s="5"/>
      <c r="N156" s="5"/>
      <c r="O156" s="5"/>
      <c r="P156" s="5"/>
      <c r="Q156" s="5"/>
      <c r="R156" s="5"/>
      <c r="S156" s="5"/>
      <c r="T156" s="5"/>
      <c r="U156" s="5"/>
      <c r="V156" s="5"/>
      <c r="W156" s="5"/>
      <c r="X156" s="5"/>
      <c r="Y156" s="5"/>
      <c r="Z156" s="5"/>
    </row>
    <row r="157" spans="1:26" ht="15.75" customHeight="1" x14ac:dyDescent="0.25">
      <c r="A157" s="110" t="s">
        <v>383</v>
      </c>
      <c r="B157" s="15">
        <v>143</v>
      </c>
      <c r="C157" s="109" t="s">
        <v>416</v>
      </c>
      <c r="D157" s="406" t="s">
        <v>203</v>
      </c>
      <c r="E157" s="370"/>
      <c r="F157" s="371"/>
      <c r="G157" s="107" t="s">
        <v>417</v>
      </c>
      <c r="H157" s="385"/>
      <c r="I157" s="5"/>
      <c r="J157" s="5"/>
      <c r="K157" s="5"/>
      <c r="L157" s="5"/>
      <c r="M157" s="5"/>
      <c r="N157" s="5"/>
      <c r="O157" s="5"/>
      <c r="P157" s="5"/>
      <c r="Q157" s="5"/>
      <c r="R157" s="5"/>
      <c r="S157" s="5"/>
      <c r="T157" s="5"/>
      <c r="U157" s="5"/>
      <c r="V157" s="5"/>
      <c r="W157" s="5"/>
      <c r="X157" s="5"/>
      <c r="Y157" s="5"/>
      <c r="Z157" s="5"/>
    </row>
    <row r="158" spans="1:26" ht="12.75" customHeight="1" x14ac:dyDescent="0.25">
      <c r="A158" s="110" t="s">
        <v>383</v>
      </c>
      <c r="B158" s="15">
        <v>144</v>
      </c>
      <c r="C158" s="109" t="s">
        <v>418</v>
      </c>
      <c r="D158" s="406" t="s">
        <v>203</v>
      </c>
      <c r="E158" s="370"/>
      <c r="F158" s="371"/>
      <c r="G158" s="107" t="s">
        <v>406</v>
      </c>
      <c r="H158" s="385"/>
      <c r="I158" s="5"/>
      <c r="J158" s="5"/>
      <c r="K158" s="5"/>
      <c r="L158" s="5"/>
      <c r="M158" s="5"/>
      <c r="N158" s="5"/>
      <c r="O158" s="5"/>
      <c r="P158" s="5"/>
      <c r="Q158" s="5"/>
      <c r="R158" s="5"/>
      <c r="S158" s="5"/>
      <c r="T158" s="5"/>
      <c r="U158" s="5"/>
      <c r="V158" s="5"/>
      <c r="W158" s="5"/>
      <c r="X158" s="5"/>
      <c r="Y158" s="5"/>
      <c r="Z158" s="5"/>
    </row>
    <row r="159" spans="1:26" ht="12.75" customHeight="1" x14ac:dyDescent="0.25">
      <c r="A159" s="110" t="s">
        <v>383</v>
      </c>
      <c r="B159" s="15">
        <v>145</v>
      </c>
      <c r="C159" s="109" t="s">
        <v>419</v>
      </c>
      <c r="D159" s="406" t="s">
        <v>203</v>
      </c>
      <c r="E159" s="370"/>
      <c r="F159" s="371"/>
      <c r="G159" s="107" t="s">
        <v>420</v>
      </c>
      <c r="H159" s="385"/>
      <c r="I159" s="5"/>
      <c r="J159" s="5"/>
      <c r="K159" s="5"/>
      <c r="L159" s="5"/>
      <c r="M159" s="5"/>
      <c r="N159" s="5"/>
      <c r="O159" s="5"/>
      <c r="P159" s="5"/>
      <c r="Q159" s="5"/>
      <c r="R159" s="5"/>
      <c r="S159" s="5"/>
      <c r="T159" s="5"/>
      <c r="U159" s="5"/>
      <c r="V159" s="5"/>
      <c r="W159" s="5"/>
      <c r="X159" s="5"/>
      <c r="Y159" s="5"/>
      <c r="Z159" s="5"/>
    </row>
    <row r="160" spans="1:26" ht="12.75" customHeight="1" x14ac:dyDescent="0.25">
      <c r="A160" s="110" t="s">
        <v>383</v>
      </c>
      <c r="B160" s="15">
        <v>146</v>
      </c>
      <c r="C160" s="109" t="s">
        <v>421</v>
      </c>
      <c r="D160" s="406" t="s">
        <v>203</v>
      </c>
      <c r="E160" s="370"/>
      <c r="F160" s="371"/>
      <c r="G160" s="107" t="s">
        <v>422</v>
      </c>
      <c r="H160" s="385"/>
      <c r="I160" s="5"/>
      <c r="J160" s="5"/>
      <c r="K160" s="5"/>
      <c r="L160" s="5"/>
      <c r="M160" s="5"/>
      <c r="N160" s="5"/>
      <c r="O160" s="5"/>
      <c r="P160" s="5"/>
      <c r="Q160" s="5"/>
      <c r="R160" s="5"/>
      <c r="S160" s="5"/>
      <c r="T160" s="5"/>
      <c r="U160" s="5"/>
      <c r="V160" s="5"/>
      <c r="W160" s="5"/>
      <c r="X160" s="5"/>
      <c r="Y160" s="5"/>
      <c r="Z160" s="5"/>
    </row>
    <row r="161" spans="1:26" ht="12.75" customHeight="1" x14ac:dyDescent="0.25">
      <c r="A161" s="110" t="s">
        <v>383</v>
      </c>
      <c r="B161" s="15">
        <v>147</v>
      </c>
      <c r="C161" s="109" t="s">
        <v>423</v>
      </c>
      <c r="D161" s="406" t="s">
        <v>203</v>
      </c>
      <c r="E161" s="370"/>
      <c r="F161" s="371"/>
      <c r="G161" s="107" t="s">
        <v>279</v>
      </c>
      <c r="H161" s="385"/>
      <c r="I161" s="5"/>
      <c r="J161" s="5"/>
      <c r="K161" s="5"/>
      <c r="L161" s="5"/>
      <c r="M161" s="5"/>
      <c r="N161" s="5"/>
      <c r="O161" s="5"/>
      <c r="P161" s="5"/>
      <c r="Q161" s="5"/>
      <c r="R161" s="5"/>
      <c r="S161" s="5"/>
      <c r="T161" s="5"/>
      <c r="U161" s="5"/>
      <c r="V161" s="5"/>
      <c r="W161" s="5"/>
      <c r="X161" s="5"/>
      <c r="Y161" s="5"/>
      <c r="Z161" s="5"/>
    </row>
    <row r="162" spans="1:26" ht="12.75" customHeight="1" x14ac:dyDescent="0.25">
      <c r="A162" s="110" t="s">
        <v>383</v>
      </c>
      <c r="B162" s="15">
        <v>148</v>
      </c>
      <c r="C162" s="109" t="s">
        <v>424</v>
      </c>
      <c r="D162" s="406" t="s">
        <v>208</v>
      </c>
      <c r="E162" s="370"/>
      <c r="F162" s="371"/>
      <c r="G162" s="107"/>
      <c r="H162" s="385"/>
      <c r="I162" s="5"/>
      <c r="J162" s="5"/>
      <c r="K162" s="5"/>
      <c r="L162" s="5"/>
      <c r="M162" s="5"/>
      <c r="N162" s="5"/>
      <c r="O162" s="5"/>
      <c r="P162" s="5"/>
      <c r="Q162" s="5"/>
      <c r="R162" s="5"/>
      <c r="S162" s="5"/>
      <c r="T162" s="5"/>
      <c r="U162" s="5"/>
      <c r="V162" s="5"/>
      <c r="W162" s="5"/>
      <c r="X162" s="5"/>
      <c r="Y162" s="5"/>
      <c r="Z162" s="5"/>
    </row>
    <row r="163" spans="1:26" ht="12.75" customHeight="1" x14ac:dyDescent="0.25">
      <c r="A163" s="110" t="s">
        <v>383</v>
      </c>
      <c r="B163" s="15">
        <v>149</v>
      </c>
      <c r="C163" s="109" t="s">
        <v>425</v>
      </c>
      <c r="D163" s="406" t="s">
        <v>208</v>
      </c>
      <c r="E163" s="370"/>
      <c r="F163" s="371"/>
      <c r="G163" s="107"/>
      <c r="H163" s="385"/>
      <c r="I163" s="5"/>
      <c r="J163" s="5"/>
      <c r="K163" s="5"/>
      <c r="L163" s="5"/>
      <c r="M163" s="5"/>
      <c r="N163" s="5"/>
      <c r="O163" s="5"/>
      <c r="P163" s="5"/>
      <c r="Q163" s="5"/>
      <c r="R163" s="5"/>
      <c r="S163" s="5"/>
      <c r="T163" s="5"/>
      <c r="U163" s="5"/>
      <c r="V163" s="5"/>
      <c r="W163" s="5"/>
      <c r="X163" s="5"/>
      <c r="Y163" s="5"/>
      <c r="Z163" s="5"/>
    </row>
    <row r="164" spans="1:26" ht="12.75" customHeight="1" x14ac:dyDescent="0.25">
      <c r="A164" s="110" t="s">
        <v>383</v>
      </c>
      <c r="B164" s="15">
        <v>150</v>
      </c>
      <c r="C164" s="109" t="s">
        <v>426</v>
      </c>
      <c r="D164" s="406" t="s">
        <v>203</v>
      </c>
      <c r="E164" s="370"/>
      <c r="F164" s="371"/>
      <c r="G164" s="107" t="s">
        <v>427</v>
      </c>
      <c r="H164" s="385"/>
      <c r="I164" s="5"/>
      <c r="J164" s="5"/>
      <c r="K164" s="5"/>
      <c r="L164" s="5"/>
      <c r="M164" s="5"/>
      <c r="N164" s="5"/>
      <c r="O164" s="5"/>
      <c r="P164" s="5"/>
      <c r="Q164" s="5"/>
      <c r="R164" s="5"/>
      <c r="S164" s="5"/>
      <c r="T164" s="5"/>
      <c r="U164" s="5"/>
      <c r="V164" s="5"/>
      <c r="W164" s="5"/>
      <c r="X164" s="5"/>
      <c r="Y164" s="5"/>
      <c r="Z164" s="5"/>
    </row>
    <row r="165" spans="1:26" ht="25.5" customHeight="1" x14ac:dyDescent="0.25">
      <c r="A165" s="105" t="s">
        <v>428</v>
      </c>
      <c r="B165" s="15">
        <v>151</v>
      </c>
      <c r="C165" s="106" t="s">
        <v>429</v>
      </c>
      <c r="D165" s="406" t="s">
        <v>203</v>
      </c>
      <c r="E165" s="370"/>
      <c r="F165" s="371"/>
      <c r="G165" s="107" t="s">
        <v>430</v>
      </c>
      <c r="H165" s="385"/>
      <c r="I165" s="5"/>
      <c r="J165" s="5"/>
      <c r="K165" s="5"/>
      <c r="L165" s="5"/>
      <c r="M165" s="5"/>
      <c r="N165" s="5"/>
      <c r="O165" s="5"/>
      <c r="P165" s="5"/>
      <c r="Q165" s="5"/>
      <c r="R165" s="5"/>
      <c r="S165" s="5"/>
      <c r="T165" s="5"/>
      <c r="U165" s="5"/>
      <c r="V165" s="5"/>
      <c r="W165" s="5"/>
      <c r="X165" s="5"/>
      <c r="Y165" s="5"/>
      <c r="Z165" s="5"/>
    </row>
    <row r="166" spans="1:26" ht="12.75" customHeight="1" x14ac:dyDescent="0.25">
      <c r="A166" s="105" t="s">
        <v>428</v>
      </c>
      <c r="B166" s="15">
        <v>152</v>
      </c>
      <c r="C166" s="109" t="s">
        <v>431</v>
      </c>
      <c r="D166" s="406" t="s">
        <v>208</v>
      </c>
      <c r="E166" s="370"/>
      <c r="F166" s="371"/>
      <c r="G166" s="107"/>
      <c r="H166" s="385"/>
      <c r="I166" s="5"/>
      <c r="J166" s="5"/>
      <c r="K166" s="5"/>
      <c r="L166" s="5"/>
      <c r="M166" s="5"/>
      <c r="N166" s="5"/>
      <c r="O166" s="5"/>
      <c r="P166" s="5"/>
      <c r="Q166" s="5"/>
      <c r="R166" s="5"/>
      <c r="S166" s="5"/>
      <c r="T166" s="5"/>
      <c r="U166" s="5"/>
      <c r="V166" s="5"/>
      <c r="W166" s="5"/>
      <c r="X166" s="5"/>
      <c r="Y166" s="5"/>
      <c r="Z166" s="5"/>
    </row>
    <row r="167" spans="1:26" ht="12.75" customHeight="1" x14ac:dyDescent="0.25">
      <c r="A167" s="105" t="s">
        <v>428</v>
      </c>
      <c r="B167" s="15">
        <v>153</v>
      </c>
      <c r="C167" s="109" t="s">
        <v>432</v>
      </c>
      <c r="D167" s="406" t="s">
        <v>208</v>
      </c>
      <c r="E167" s="370"/>
      <c r="F167" s="371"/>
      <c r="G167" s="107"/>
      <c r="H167" s="385"/>
      <c r="I167" s="5"/>
      <c r="J167" s="5"/>
      <c r="K167" s="5"/>
      <c r="L167" s="5"/>
      <c r="M167" s="5"/>
      <c r="N167" s="5"/>
      <c r="O167" s="5"/>
      <c r="P167" s="5"/>
      <c r="Q167" s="5"/>
      <c r="R167" s="5"/>
      <c r="S167" s="5"/>
      <c r="T167" s="5"/>
      <c r="U167" s="5"/>
      <c r="V167" s="5"/>
      <c r="W167" s="5"/>
      <c r="X167" s="5"/>
      <c r="Y167" s="5"/>
      <c r="Z167" s="5"/>
    </row>
    <row r="168" spans="1:26" ht="12.75" customHeight="1" x14ac:dyDescent="0.25">
      <c r="A168" s="105" t="s">
        <v>428</v>
      </c>
      <c r="B168" s="15">
        <v>154</v>
      </c>
      <c r="C168" s="109" t="s">
        <v>433</v>
      </c>
      <c r="D168" s="406" t="s">
        <v>208</v>
      </c>
      <c r="E168" s="370"/>
      <c r="F168" s="371"/>
      <c r="G168" s="107"/>
      <c r="H168" s="385"/>
      <c r="I168" s="5"/>
      <c r="J168" s="5"/>
      <c r="K168" s="5"/>
      <c r="L168" s="5"/>
      <c r="M168" s="5"/>
      <c r="N168" s="5"/>
      <c r="O168" s="5"/>
      <c r="P168" s="5"/>
      <c r="Q168" s="5"/>
      <c r="R168" s="5"/>
      <c r="S168" s="5"/>
      <c r="T168" s="5"/>
      <c r="U168" s="5"/>
      <c r="V168" s="5"/>
      <c r="W168" s="5"/>
      <c r="X168" s="5"/>
      <c r="Y168" s="5"/>
      <c r="Z168" s="5"/>
    </row>
    <row r="169" spans="1:26" ht="12.75" customHeight="1" x14ac:dyDescent="0.25">
      <c r="A169" s="105" t="s">
        <v>428</v>
      </c>
      <c r="B169" s="15">
        <v>155</v>
      </c>
      <c r="C169" s="109" t="s">
        <v>434</v>
      </c>
      <c r="D169" s="406" t="s">
        <v>203</v>
      </c>
      <c r="E169" s="370"/>
      <c r="F169" s="371"/>
      <c r="G169" s="107" t="s">
        <v>435</v>
      </c>
      <c r="H169" s="385"/>
      <c r="I169" s="5"/>
      <c r="J169" s="5"/>
      <c r="K169" s="5"/>
      <c r="L169" s="5"/>
      <c r="M169" s="5"/>
      <c r="N169" s="5"/>
      <c r="O169" s="5"/>
      <c r="P169" s="5"/>
      <c r="Q169" s="5"/>
      <c r="R169" s="5"/>
      <c r="S169" s="5"/>
      <c r="T169" s="5"/>
      <c r="U169" s="5"/>
      <c r="V169" s="5"/>
      <c r="W169" s="5"/>
      <c r="X169" s="5"/>
      <c r="Y169" s="5"/>
      <c r="Z169" s="5"/>
    </row>
    <row r="170" spans="1:26" ht="12.75" customHeight="1" x14ac:dyDescent="0.25">
      <c r="A170" s="105" t="s">
        <v>428</v>
      </c>
      <c r="B170" s="15">
        <v>156</v>
      </c>
      <c r="C170" s="109" t="s">
        <v>436</v>
      </c>
      <c r="D170" s="406" t="s">
        <v>247</v>
      </c>
      <c r="E170" s="370"/>
      <c r="F170" s="371"/>
      <c r="G170" s="107"/>
      <c r="H170" s="385"/>
      <c r="I170" s="5"/>
      <c r="J170" s="5"/>
      <c r="K170" s="5"/>
      <c r="L170" s="5"/>
      <c r="M170" s="5"/>
      <c r="N170" s="5"/>
      <c r="O170" s="5"/>
      <c r="P170" s="5"/>
      <c r="Q170" s="5"/>
      <c r="R170" s="5"/>
      <c r="S170" s="5"/>
      <c r="T170" s="5"/>
      <c r="U170" s="5"/>
      <c r="V170" s="5"/>
      <c r="W170" s="5"/>
      <c r="X170" s="5"/>
      <c r="Y170" s="5"/>
      <c r="Z170" s="5"/>
    </row>
    <row r="171" spans="1:26" ht="12.75" customHeight="1" x14ac:dyDescent="0.25">
      <c r="A171" s="105" t="s">
        <v>428</v>
      </c>
      <c r="B171" s="15">
        <v>157</v>
      </c>
      <c r="C171" s="109" t="s">
        <v>437</v>
      </c>
      <c r="D171" s="406" t="s">
        <v>208</v>
      </c>
      <c r="E171" s="370"/>
      <c r="F171" s="371"/>
      <c r="G171" s="107"/>
      <c r="H171" s="385"/>
      <c r="I171" s="5"/>
      <c r="J171" s="5"/>
      <c r="K171" s="5"/>
      <c r="L171" s="5"/>
      <c r="M171" s="5"/>
      <c r="N171" s="5"/>
      <c r="O171" s="5"/>
      <c r="P171" s="5"/>
      <c r="Q171" s="5"/>
      <c r="R171" s="5"/>
      <c r="S171" s="5"/>
      <c r="T171" s="5"/>
      <c r="U171" s="5"/>
      <c r="V171" s="5"/>
      <c r="W171" s="5"/>
      <c r="X171" s="5"/>
      <c r="Y171" s="5"/>
      <c r="Z171" s="5"/>
    </row>
    <row r="172" spans="1:26" ht="12.75" customHeight="1" x14ac:dyDescent="0.25">
      <c r="A172" s="105" t="s">
        <v>428</v>
      </c>
      <c r="B172" s="15">
        <v>158</v>
      </c>
      <c r="C172" s="109" t="s">
        <v>438</v>
      </c>
      <c r="D172" s="406" t="s">
        <v>203</v>
      </c>
      <c r="E172" s="370"/>
      <c r="F172" s="371"/>
      <c r="G172" s="107" t="s">
        <v>439</v>
      </c>
      <c r="H172" s="385"/>
      <c r="I172" s="5"/>
      <c r="J172" s="5"/>
      <c r="K172" s="5"/>
      <c r="L172" s="5"/>
      <c r="M172" s="5"/>
      <c r="N172" s="5"/>
      <c r="O172" s="5"/>
      <c r="P172" s="5"/>
      <c r="Q172" s="5"/>
      <c r="R172" s="5"/>
      <c r="S172" s="5"/>
      <c r="T172" s="5"/>
      <c r="U172" s="5"/>
      <c r="V172" s="5"/>
      <c r="W172" s="5"/>
      <c r="X172" s="5"/>
      <c r="Y172" s="5"/>
      <c r="Z172" s="5"/>
    </row>
    <row r="173" spans="1:26" ht="12.75" customHeight="1" x14ac:dyDescent="0.25">
      <c r="A173" s="105" t="s">
        <v>428</v>
      </c>
      <c r="B173" s="15">
        <v>159</v>
      </c>
      <c r="C173" s="109" t="s">
        <v>440</v>
      </c>
      <c r="D173" s="406" t="s">
        <v>203</v>
      </c>
      <c r="E173" s="370"/>
      <c r="F173" s="371"/>
      <c r="G173" s="107" t="s">
        <v>441</v>
      </c>
      <c r="H173" s="385"/>
      <c r="I173" s="5"/>
      <c r="J173" s="5"/>
      <c r="K173" s="5"/>
      <c r="L173" s="5"/>
      <c r="M173" s="5"/>
      <c r="N173" s="5"/>
      <c r="O173" s="5"/>
      <c r="P173" s="5"/>
      <c r="Q173" s="5"/>
      <c r="R173" s="5"/>
      <c r="S173" s="5"/>
      <c r="T173" s="5"/>
      <c r="U173" s="5"/>
      <c r="V173" s="5"/>
      <c r="W173" s="5"/>
      <c r="X173" s="5"/>
      <c r="Y173" s="5"/>
      <c r="Z173" s="5"/>
    </row>
    <row r="174" spans="1:26" ht="12.75" customHeight="1" x14ac:dyDescent="0.25">
      <c r="A174" s="105" t="s">
        <v>428</v>
      </c>
      <c r="B174" s="15">
        <v>160</v>
      </c>
      <c r="C174" s="109" t="s">
        <v>442</v>
      </c>
      <c r="D174" s="406" t="s">
        <v>208</v>
      </c>
      <c r="E174" s="370"/>
      <c r="F174" s="371"/>
      <c r="G174" s="107"/>
      <c r="H174" s="385"/>
      <c r="I174" s="5"/>
      <c r="J174" s="5"/>
      <c r="K174" s="5"/>
      <c r="L174" s="5"/>
      <c r="M174" s="5"/>
      <c r="N174" s="5"/>
      <c r="O174" s="5"/>
      <c r="P174" s="5"/>
      <c r="Q174" s="5"/>
      <c r="R174" s="5"/>
      <c r="S174" s="5"/>
      <c r="T174" s="5"/>
      <c r="U174" s="5"/>
      <c r="V174" s="5"/>
      <c r="W174" s="5"/>
      <c r="X174" s="5"/>
      <c r="Y174" s="5"/>
      <c r="Z174" s="5"/>
    </row>
    <row r="175" spans="1:26" ht="12.75" customHeight="1" x14ac:dyDescent="0.25">
      <c r="A175" s="105" t="s">
        <v>428</v>
      </c>
      <c r="B175" s="15">
        <v>161</v>
      </c>
      <c r="C175" s="109" t="s">
        <v>443</v>
      </c>
      <c r="D175" s="406" t="s">
        <v>203</v>
      </c>
      <c r="E175" s="370"/>
      <c r="F175" s="371"/>
      <c r="G175" s="107" t="s">
        <v>444</v>
      </c>
      <c r="H175" s="385"/>
      <c r="I175" s="5"/>
      <c r="J175" s="5"/>
      <c r="K175" s="5"/>
      <c r="L175" s="5"/>
      <c r="M175" s="5"/>
      <c r="N175" s="5"/>
      <c r="O175" s="5"/>
      <c r="P175" s="5"/>
      <c r="Q175" s="5"/>
      <c r="R175" s="5"/>
      <c r="S175" s="5"/>
      <c r="T175" s="5"/>
      <c r="U175" s="5"/>
      <c r="V175" s="5"/>
      <c r="W175" s="5"/>
      <c r="X175" s="5"/>
      <c r="Y175" s="5"/>
      <c r="Z175" s="5"/>
    </row>
    <row r="176" spans="1:26" ht="12.75" customHeight="1" x14ac:dyDescent="0.25">
      <c r="A176" s="105" t="s">
        <v>428</v>
      </c>
      <c r="B176" s="15">
        <v>162</v>
      </c>
      <c r="C176" s="109" t="s">
        <v>445</v>
      </c>
      <c r="D176" s="406" t="s">
        <v>203</v>
      </c>
      <c r="E176" s="370"/>
      <c r="F176" s="371"/>
      <c r="G176" s="107" t="s">
        <v>446</v>
      </c>
      <c r="H176" s="385"/>
      <c r="I176" s="5"/>
      <c r="J176" s="5"/>
      <c r="K176" s="5"/>
      <c r="L176" s="5"/>
      <c r="M176" s="5"/>
      <c r="N176" s="5"/>
      <c r="O176" s="5"/>
      <c r="P176" s="5"/>
      <c r="Q176" s="5"/>
      <c r="R176" s="5"/>
      <c r="S176" s="5"/>
      <c r="T176" s="5"/>
      <c r="U176" s="5"/>
      <c r="V176" s="5"/>
      <c r="W176" s="5"/>
      <c r="X176" s="5"/>
      <c r="Y176" s="5"/>
      <c r="Z176" s="5"/>
    </row>
    <row r="177" spans="1:26" ht="12.75" customHeight="1" x14ac:dyDescent="0.25">
      <c r="A177" s="105" t="s">
        <v>428</v>
      </c>
      <c r="B177" s="15">
        <v>163</v>
      </c>
      <c r="C177" s="109" t="s">
        <v>447</v>
      </c>
      <c r="D177" s="406" t="s">
        <v>208</v>
      </c>
      <c r="E177" s="370"/>
      <c r="F177" s="371"/>
      <c r="G177" s="107"/>
      <c r="H177" s="385"/>
      <c r="I177" s="5"/>
      <c r="J177" s="5"/>
      <c r="K177" s="5"/>
      <c r="L177" s="5"/>
      <c r="M177" s="5"/>
      <c r="N177" s="5"/>
      <c r="O177" s="5"/>
      <c r="P177" s="5"/>
      <c r="Q177" s="5"/>
      <c r="R177" s="5"/>
      <c r="S177" s="5"/>
      <c r="T177" s="5"/>
      <c r="U177" s="5"/>
      <c r="V177" s="5"/>
      <c r="W177" s="5"/>
      <c r="X177" s="5"/>
      <c r="Y177" s="5"/>
      <c r="Z177" s="5"/>
    </row>
    <row r="178" spans="1:26" ht="12.75" customHeight="1" x14ac:dyDescent="0.25">
      <c r="A178" s="105" t="s">
        <v>428</v>
      </c>
      <c r="B178" s="15">
        <v>164</v>
      </c>
      <c r="C178" s="109" t="s">
        <v>448</v>
      </c>
      <c r="D178" s="406" t="s">
        <v>208</v>
      </c>
      <c r="E178" s="370"/>
      <c r="F178" s="371"/>
      <c r="G178" s="107"/>
      <c r="H178" s="385"/>
      <c r="I178" s="5"/>
      <c r="J178" s="5"/>
      <c r="K178" s="5"/>
      <c r="L178" s="5"/>
      <c r="M178" s="5"/>
      <c r="N178" s="5"/>
      <c r="O178" s="5"/>
      <c r="P178" s="5"/>
      <c r="Q178" s="5"/>
      <c r="R178" s="5"/>
      <c r="S178" s="5"/>
      <c r="T178" s="5"/>
      <c r="U178" s="5"/>
      <c r="V178" s="5"/>
      <c r="W178" s="5"/>
      <c r="X178" s="5"/>
      <c r="Y178" s="5"/>
      <c r="Z178" s="5"/>
    </row>
    <row r="179" spans="1:26" ht="12.75" customHeight="1" x14ac:dyDescent="0.25">
      <c r="A179" s="105" t="s">
        <v>428</v>
      </c>
      <c r="B179" s="15">
        <v>165</v>
      </c>
      <c r="C179" s="109" t="s">
        <v>449</v>
      </c>
      <c r="D179" s="406" t="s">
        <v>203</v>
      </c>
      <c r="E179" s="370"/>
      <c r="F179" s="371"/>
      <c r="G179" s="107" t="s">
        <v>234</v>
      </c>
      <c r="H179" s="385"/>
      <c r="I179" s="5"/>
      <c r="J179" s="5"/>
      <c r="K179" s="5"/>
      <c r="L179" s="5"/>
      <c r="M179" s="5"/>
      <c r="N179" s="5"/>
      <c r="O179" s="5"/>
      <c r="P179" s="5"/>
      <c r="Q179" s="5"/>
      <c r="R179" s="5"/>
      <c r="S179" s="5"/>
      <c r="T179" s="5"/>
      <c r="U179" s="5"/>
      <c r="V179" s="5"/>
      <c r="W179" s="5"/>
      <c r="X179" s="5"/>
      <c r="Y179" s="5"/>
      <c r="Z179" s="5"/>
    </row>
    <row r="180" spans="1:26" ht="12.75" customHeight="1" x14ac:dyDescent="0.25">
      <c r="A180" s="105" t="s">
        <v>428</v>
      </c>
      <c r="B180" s="15">
        <v>166</v>
      </c>
      <c r="C180" s="109" t="s">
        <v>450</v>
      </c>
      <c r="D180" s="406" t="s">
        <v>203</v>
      </c>
      <c r="E180" s="370"/>
      <c r="F180" s="371"/>
      <c r="G180" s="107" t="s">
        <v>451</v>
      </c>
      <c r="H180" s="385"/>
      <c r="I180" s="5"/>
      <c r="J180" s="5"/>
      <c r="K180" s="5"/>
      <c r="L180" s="5"/>
      <c r="M180" s="5"/>
      <c r="N180" s="5"/>
      <c r="O180" s="5"/>
      <c r="P180" s="5"/>
      <c r="Q180" s="5"/>
      <c r="R180" s="5"/>
      <c r="S180" s="5"/>
      <c r="T180" s="5"/>
      <c r="U180" s="5"/>
      <c r="V180" s="5"/>
      <c r="W180" s="5"/>
      <c r="X180" s="5"/>
      <c r="Y180" s="5"/>
      <c r="Z180" s="5"/>
    </row>
    <row r="181" spans="1:26" ht="12.75" customHeight="1" x14ac:dyDescent="0.25">
      <c r="A181" s="105" t="s">
        <v>428</v>
      </c>
      <c r="B181" s="15">
        <v>167</v>
      </c>
      <c r="C181" s="109" t="s">
        <v>452</v>
      </c>
      <c r="D181" s="406" t="s">
        <v>203</v>
      </c>
      <c r="E181" s="370"/>
      <c r="F181" s="371"/>
      <c r="G181" s="107" t="s">
        <v>453</v>
      </c>
      <c r="H181" s="385"/>
      <c r="I181" s="5"/>
      <c r="J181" s="5"/>
      <c r="K181" s="5"/>
      <c r="L181" s="5"/>
      <c r="M181" s="5"/>
      <c r="N181" s="5"/>
      <c r="O181" s="5"/>
      <c r="P181" s="5"/>
      <c r="Q181" s="5"/>
      <c r="R181" s="5"/>
      <c r="S181" s="5"/>
      <c r="T181" s="5"/>
      <c r="U181" s="5"/>
      <c r="V181" s="5"/>
      <c r="W181" s="5"/>
      <c r="X181" s="5"/>
      <c r="Y181" s="5"/>
      <c r="Z181" s="5"/>
    </row>
    <row r="182" spans="1:26" ht="12.75" customHeight="1" x14ac:dyDescent="0.25">
      <c r="A182" s="105" t="s">
        <v>428</v>
      </c>
      <c r="B182" s="15">
        <v>168</v>
      </c>
      <c r="C182" s="109" t="s">
        <v>454</v>
      </c>
      <c r="D182" s="406" t="s">
        <v>208</v>
      </c>
      <c r="E182" s="370"/>
      <c r="F182" s="371"/>
      <c r="G182" s="107"/>
      <c r="H182" s="385"/>
      <c r="I182" s="5"/>
      <c r="J182" s="5"/>
      <c r="K182" s="5"/>
      <c r="L182" s="5"/>
      <c r="M182" s="5"/>
      <c r="N182" s="5"/>
      <c r="O182" s="5"/>
      <c r="P182" s="5"/>
      <c r="Q182" s="5"/>
      <c r="R182" s="5"/>
      <c r="S182" s="5"/>
      <c r="T182" s="5"/>
      <c r="U182" s="5"/>
      <c r="V182" s="5"/>
      <c r="W182" s="5"/>
      <c r="X182" s="5"/>
      <c r="Y182" s="5"/>
      <c r="Z182" s="5"/>
    </row>
    <row r="183" spans="1:26" ht="12.75" customHeight="1" x14ac:dyDescent="0.25">
      <c r="A183" s="105" t="s">
        <v>428</v>
      </c>
      <c r="B183" s="15">
        <v>169</v>
      </c>
      <c r="C183" s="109" t="s">
        <v>455</v>
      </c>
      <c r="D183" s="406" t="s">
        <v>208</v>
      </c>
      <c r="E183" s="370"/>
      <c r="F183" s="371"/>
      <c r="G183" s="107"/>
      <c r="H183" s="385"/>
      <c r="I183" s="5"/>
      <c r="J183" s="5"/>
      <c r="K183" s="5"/>
      <c r="L183" s="5"/>
      <c r="M183" s="5"/>
      <c r="N183" s="5"/>
      <c r="O183" s="5"/>
      <c r="P183" s="5"/>
      <c r="Q183" s="5"/>
      <c r="R183" s="5"/>
      <c r="S183" s="5"/>
      <c r="T183" s="5"/>
      <c r="U183" s="5"/>
      <c r="V183" s="5"/>
      <c r="W183" s="5"/>
      <c r="X183" s="5"/>
      <c r="Y183" s="5"/>
      <c r="Z183" s="5"/>
    </row>
    <row r="184" spans="1:26" ht="12.75" customHeight="1" x14ac:dyDescent="0.25">
      <c r="A184" s="105" t="s">
        <v>428</v>
      </c>
      <c r="B184" s="15">
        <v>170</v>
      </c>
      <c r="C184" s="109" t="s">
        <v>456</v>
      </c>
      <c r="D184" s="406" t="s">
        <v>208</v>
      </c>
      <c r="E184" s="370"/>
      <c r="F184" s="371"/>
      <c r="G184" s="107"/>
      <c r="H184" s="385"/>
      <c r="I184" s="5"/>
      <c r="J184" s="5"/>
      <c r="K184" s="5"/>
      <c r="L184" s="5"/>
      <c r="M184" s="5"/>
      <c r="N184" s="5"/>
      <c r="O184" s="5"/>
      <c r="P184" s="5"/>
      <c r="Q184" s="5"/>
      <c r="R184" s="5"/>
      <c r="S184" s="5"/>
      <c r="T184" s="5"/>
      <c r="U184" s="5"/>
      <c r="V184" s="5"/>
      <c r="W184" s="5"/>
      <c r="X184" s="5"/>
      <c r="Y184" s="5"/>
      <c r="Z184" s="5"/>
    </row>
    <row r="185" spans="1:26" ht="12.75" customHeight="1" x14ac:dyDescent="0.25">
      <c r="A185" s="105" t="s">
        <v>428</v>
      </c>
      <c r="B185" s="15">
        <v>171</v>
      </c>
      <c r="C185" s="109" t="s">
        <v>457</v>
      </c>
      <c r="D185" s="406" t="s">
        <v>203</v>
      </c>
      <c r="E185" s="370"/>
      <c r="F185" s="371"/>
      <c r="G185" s="107" t="s">
        <v>458</v>
      </c>
      <c r="H185" s="385"/>
      <c r="I185" s="5"/>
      <c r="J185" s="5"/>
      <c r="K185" s="5"/>
      <c r="L185" s="5"/>
      <c r="M185" s="5"/>
      <c r="N185" s="5"/>
      <c r="O185" s="5"/>
      <c r="P185" s="5"/>
      <c r="Q185" s="5"/>
      <c r="R185" s="5"/>
      <c r="S185" s="5"/>
      <c r="T185" s="5"/>
      <c r="U185" s="5"/>
      <c r="V185" s="5"/>
      <c r="W185" s="5"/>
      <c r="X185" s="5"/>
      <c r="Y185" s="5"/>
      <c r="Z185" s="5"/>
    </row>
    <row r="186" spans="1:26" ht="12.75" customHeight="1" x14ac:dyDescent="0.25">
      <c r="A186" s="105" t="s">
        <v>428</v>
      </c>
      <c r="B186" s="15">
        <v>172</v>
      </c>
      <c r="C186" s="109" t="s">
        <v>459</v>
      </c>
      <c r="D186" s="406" t="s">
        <v>208</v>
      </c>
      <c r="E186" s="370"/>
      <c r="F186" s="371"/>
      <c r="G186" s="107"/>
      <c r="H186" s="385"/>
      <c r="I186" s="5"/>
      <c r="J186" s="5"/>
      <c r="K186" s="5"/>
      <c r="L186" s="5"/>
      <c r="M186" s="5"/>
      <c r="N186" s="5"/>
      <c r="O186" s="5"/>
      <c r="P186" s="5"/>
      <c r="Q186" s="5"/>
      <c r="R186" s="5"/>
      <c r="S186" s="5"/>
      <c r="T186" s="5"/>
      <c r="U186" s="5"/>
      <c r="V186" s="5"/>
      <c r="W186" s="5"/>
      <c r="X186" s="5"/>
      <c r="Y186" s="5"/>
      <c r="Z186" s="5"/>
    </row>
    <row r="187" spans="1:26" ht="12.75" customHeight="1" x14ac:dyDescent="0.25">
      <c r="A187" s="105" t="s">
        <v>428</v>
      </c>
      <c r="B187" s="15">
        <v>173</v>
      </c>
      <c r="C187" s="109" t="s">
        <v>460</v>
      </c>
      <c r="D187" s="406" t="s">
        <v>208</v>
      </c>
      <c r="E187" s="370"/>
      <c r="F187" s="371"/>
      <c r="G187" s="107"/>
      <c r="H187" s="385"/>
      <c r="I187" s="5"/>
      <c r="J187" s="5"/>
      <c r="K187" s="5"/>
      <c r="L187" s="5"/>
      <c r="M187" s="5"/>
      <c r="N187" s="5"/>
      <c r="O187" s="5"/>
      <c r="P187" s="5"/>
      <c r="Q187" s="5"/>
      <c r="R187" s="5"/>
      <c r="S187" s="5"/>
      <c r="T187" s="5"/>
      <c r="U187" s="5"/>
      <c r="V187" s="5"/>
      <c r="W187" s="5"/>
      <c r="X187" s="5"/>
      <c r="Y187" s="5"/>
      <c r="Z187" s="5"/>
    </row>
    <row r="188" spans="1:26" ht="12.75" customHeight="1" x14ac:dyDescent="0.25">
      <c r="A188" s="105" t="s">
        <v>428</v>
      </c>
      <c r="B188" s="15">
        <v>174</v>
      </c>
      <c r="C188" s="109" t="s">
        <v>461</v>
      </c>
      <c r="D188" s="406" t="s">
        <v>208</v>
      </c>
      <c r="E188" s="370"/>
      <c r="F188" s="371"/>
      <c r="G188" s="107"/>
      <c r="H188" s="385"/>
      <c r="I188" s="5"/>
      <c r="J188" s="5"/>
      <c r="K188" s="5"/>
      <c r="L188" s="5"/>
      <c r="M188" s="5"/>
      <c r="N188" s="5"/>
      <c r="O188" s="5"/>
      <c r="P188" s="5"/>
      <c r="Q188" s="5"/>
      <c r="R188" s="5"/>
      <c r="S188" s="5"/>
      <c r="T188" s="5"/>
      <c r="U188" s="5"/>
      <c r="V188" s="5"/>
      <c r="W188" s="5"/>
      <c r="X188" s="5"/>
      <c r="Y188" s="5"/>
      <c r="Z188" s="5"/>
    </row>
    <row r="189" spans="1:26" ht="12.75" customHeight="1" x14ac:dyDescent="0.25">
      <c r="A189" s="105" t="s">
        <v>428</v>
      </c>
      <c r="B189" s="15">
        <v>175</v>
      </c>
      <c r="C189" s="109" t="s">
        <v>462</v>
      </c>
      <c r="D189" s="406" t="s">
        <v>208</v>
      </c>
      <c r="E189" s="370"/>
      <c r="F189" s="371"/>
      <c r="G189" s="107"/>
      <c r="H189" s="385"/>
      <c r="I189" s="5"/>
      <c r="J189" s="5"/>
      <c r="K189" s="5"/>
      <c r="L189" s="5"/>
      <c r="M189" s="5"/>
      <c r="N189" s="5"/>
      <c r="O189" s="5"/>
      <c r="P189" s="5"/>
      <c r="Q189" s="5"/>
      <c r="R189" s="5"/>
      <c r="S189" s="5"/>
      <c r="T189" s="5"/>
      <c r="U189" s="5"/>
      <c r="V189" s="5"/>
      <c r="W189" s="5"/>
      <c r="X189" s="5"/>
      <c r="Y189" s="5"/>
      <c r="Z189" s="5"/>
    </row>
    <row r="190" spans="1:26" ht="12.75" customHeight="1" x14ac:dyDescent="0.25">
      <c r="A190" s="105" t="s">
        <v>428</v>
      </c>
      <c r="B190" s="15">
        <v>176</v>
      </c>
      <c r="C190" s="109" t="s">
        <v>463</v>
      </c>
      <c r="D190" s="406" t="s">
        <v>208</v>
      </c>
      <c r="E190" s="370"/>
      <c r="F190" s="371"/>
      <c r="G190" s="107"/>
      <c r="H190" s="385"/>
      <c r="I190" s="5"/>
      <c r="J190" s="5"/>
      <c r="K190" s="5"/>
      <c r="L190" s="5"/>
      <c r="M190" s="5"/>
      <c r="N190" s="5"/>
      <c r="O190" s="5"/>
      <c r="P190" s="5"/>
      <c r="Q190" s="5"/>
      <c r="R190" s="5"/>
      <c r="S190" s="5"/>
      <c r="T190" s="5"/>
      <c r="U190" s="5"/>
      <c r="V190" s="5"/>
      <c r="W190" s="5"/>
      <c r="X190" s="5"/>
      <c r="Y190" s="5"/>
      <c r="Z190" s="5"/>
    </row>
    <row r="191" spans="1:26" ht="12.75" customHeight="1" x14ac:dyDescent="0.25">
      <c r="A191" s="105" t="s">
        <v>428</v>
      </c>
      <c r="B191" s="15">
        <v>177</v>
      </c>
      <c r="C191" s="109" t="s">
        <v>464</v>
      </c>
      <c r="D191" s="406" t="s">
        <v>203</v>
      </c>
      <c r="E191" s="370"/>
      <c r="F191" s="371"/>
      <c r="G191" s="107" t="s">
        <v>465</v>
      </c>
      <c r="H191" s="385"/>
      <c r="I191" s="5"/>
      <c r="J191" s="5"/>
      <c r="K191" s="5"/>
      <c r="L191" s="5"/>
      <c r="M191" s="5"/>
      <c r="N191" s="5"/>
      <c r="O191" s="5"/>
      <c r="P191" s="5"/>
      <c r="Q191" s="5"/>
      <c r="R191" s="5"/>
      <c r="S191" s="5"/>
      <c r="T191" s="5"/>
      <c r="U191" s="5"/>
      <c r="V191" s="5"/>
      <c r="W191" s="5"/>
      <c r="X191" s="5"/>
      <c r="Y191" s="5"/>
      <c r="Z191" s="5"/>
    </row>
    <row r="192" spans="1:26" ht="12.75" customHeight="1" x14ac:dyDescent="0.25">
      <c r="A192" s="105" t="s">
        <v>428</v>
      </c>
      <c r="B192" s="15">
        <v>178</v>
      </c>
      <c r="C192" s="109" t="s">
        <v>466</v>
      </c>
      <c r="D192" s="406" t="s">
        <v>208</v>
      </c>
      <c r="E192" s="370"/>
      <c r="F192" s="371"/>
      <c r="G192" s="107"/>
      <c r="H192" s="385"/>
      <c r="I192" s="5"/>
      <c r="J192" s="5"/>
      <c r="K192" s="5"/>
      <c r="L192" s="5"/>
      <c r="M192" s="5"/>
      <c r="N192" s="5"/>
      <c r="O192" s="5"/>
      <c r="P192" s="5"/>
      <c r="Q192" s="5"/>
      <c r="R192" s="5"/>
      <c r="S192" s="5"/>
      <c r="T192" s="5"/>
      <c r="U192" s="5"/>
      <c r="V192" s="5"/>
      <c r="W192" s="5"/>
      <c r="X192" s="5"/>
      <c r="Y192" s="5"/>
      <c r="Z192" s="5"/>
    </row>
    <row r="193" spans="1:26" ht="12.75" customHeight="1" x14ac:dyDescent="0.25">
      <c r="A193" s="105" t="s">
        <v>428</v>
      </c>
      <c r="B193" s="15">
        <v>179</v>
      </c>
      <c r="C193" s="109" t="s">
        <v>467</v>
      </c>
      <c r="D193" s="406" t="s">
        <v>208</v>
      </c>
      <c r="E193" s="370"/>
      <c r="F193" s="371"/>
      <c r="G193" s="107"/>
      <c r="H193" s="385"/>
      <c r="I193" s="5"/>
      <c r="J193" s="5"/>
      <c r="K193" s="5"/>
      <c r="L193" s="5"/>
      <c r="M193" s="5"/>
      <c r="N193" s="5"/>
      <c r="O193" s="5"/>
      <c r="P193" s="5"/>
      <c r="Q193" s="5"/>
      <c r="R193" s="5"/>
      <c r="S193" s="5"/>
      <c r="T193" s="5"/>
      <c r="U193" s="5"/>
      <c r="V193" s="5"/>
      <c r="W193" s="5"/>
      <c r="X193" s="5"/>
      <c r="Y193" s="5"/>
      <c r="Z193" s="5"/>
    </row>
    <row r="194" spans="1:26" ht="12.75" customHeight="1" x14ac:dyDescent="0.25">
      <c r="A194" s="105" t="s">
        <v>428</v>
      </c>
      <c r="B194" s="15">
        <v>180</v>
      </c>
      <c r="C194" s="109" t="s">
        <v>468</v>
      </c>
      <c r="D194" s="406" t="s">
        <v>203</v>
      </c>
      <c r="E194" s="370"/>
      <c r="F194" s="371"/>
      <c r="G194" s="107" t="s">
        <v>469</v>
      </c>
      <c r="H194" s="385"/>
      <c r="I194" s="5"/>
      <c r="J194" s="5"/>
      <c r="K194" s="5"/>
      <c r="L194" s="5"/>
      <c r="M194" s="5"/>
      <c r="N194" s="5"/>
      <c r="O194" s="5"/>
      <c r="P194" s="5"/>
      <c r="Q194" s="5"/>
      <c r="R194" s="5"/>
      <c r="S194" s="5"/>
      <c r="T194" s="5"/>
      <c r="U194" s="5"/>
      <c r="V194" s="5"/>
      <c r="W194" s="5"/>
      <c r="X194" s="5"/>
      <c r="Y194" s="5"/>
      <c r="Z194" s="5"/>
    </row>
    <row r="195" spans="1:26" ht="12.75" customHeight="1" x14ac:dyDescent="0.25">
      <c r="A195" s="105" t="s">
        <v>428</v>
      </c>
      <c r="B195" s="15">
        <v>181</v>
      </c>
      <c r="C195" s="109" t="s">
        <v>470</v>
      </c>
      <c r="D195" s="406" t="s">
        <v>208</v>
      </c>
      <c r="E195" s="370"/>
      <c r="F195" s="371"/>
      <c r="G195" s="107"/>
      <c r="H195" s="385"/>
      <c r="I195" s="5"/>
      <c r="J195" s="5"/>
      <c r="K195" s="5"/>
      <c r="L195" s="5"/>
      <c r="M195" s="5"/>
      <c r="N195" s="5"/>
      <c r="O195" s="5"/>
      <c r="P195" s="5"/>
      <c r="Q195" s="5"/>
      <c r="R195" s="5"/>
      <c r="S195" s="5"/>
      <c r="T195" s="5"/>
      <c r="U195" s="5"/>
      <c r="V195" s="5"/>
      <c r="W195" s="5"/>
      <c r="X195" s="5"/>
      <c r="Y195" s="5"/>
      <c r="Z195" s="5"/>
    </row>
    <row r="196" spans="1:26" ht="12.75" customHeight="1" x14ac:dyDescent="0.25">
      <c r="A196" s="105" t="s">
        <v>428</v>
      </c>
      <c r="B196" s="15">
        <v>182</v>
      </c>
      <c r="C196" s="109" t="s">
        <v>471</v>
      </c>
      <c r="D196" s="406" t="s">
        <v>208</v>
      </c>
      <c r="E196" s="370"/>
      <c r="F196" s="371"/>
      <c r="G196" s="107"/>
      <c r="H196" s="385"/>
      <c r="I196" s="5"/>
      <c r="J196" s="5"/>
      <c r="K196" s="5"/>
      <c r="L196" s="5"/>
      <c r="M196" s="5"/>
      <c r="N196" s="5"/>
      <c r="O196" s="5"/>
      <c r="P196" s="5"/>
      <c r="Q196" s="5"/>
      <c r="R196" s="5"/>
      <c r="S196" s="5"/>
      <c r="T196" s="5"/>
      <c r="U196" s="5"/>
      <c r="V196" s="5"/>
      <c r="W196" s="5"/>
      <c r="X196" s="5"/>
      <c r="Y196" s="5"/>
      <c r="Z196" s="5"/>
    </row>
    <row r="197" spans="1:26" ht="12.75" customHeight="1" x14ac:dyDescent="0.25">
      <c r="A197" s="105" t="s">
        <v>428</v>
      </c>
      <c r="B197" s="15">
        <v>183</v>
      </c>
      <c r="C197" s="109" t="s">
        <v>472</v>
      </c>
      <c r="D197" s="406" t="s">
        <v>203</v>
      </c>
      <c r="E197" s="370"/>
      <c r="F197" s="371"/>
      <c r="G197" s="107" t="s">
        <v>473</v>
      </c>
      <c r="H197" s="385"/>
      <c r="I197" s="5"/>
      <c r="J197" s="5"/>
      <c r="K197" s="5"/>
      <c r="L197" s="5"/>
      <c r="M197" s="5"/>
      <c r="N197" s="5"/>
      <c r="O197" s="5"/>
      <c r="P197" s="5"/>
      <c r="Q197" s="5"/>
      <c r="R197" s="5"/>
      <c r="S197" s="5"/>
      <c r="T197" s="5"/>
      <c r="U197" s="5"/>
      <c r="V197" s="5"/>
      <c r="W197" s="5"/>
      <c r="X197" s="5"/>
      <c r="Y197" s="5"/>
      <c r="Z197" s="5"/>
    </row>
    <row r="198" spans="1:26" ht="12.75" customHeight="1" x14ac:dyDescent="0.25">
      <c r="A198" s="105" t="s">
        <v>428</v>
      </c>
      <c r="B198" s="15">
        <v>184</v>
      </c>
      <c r="C198" s="109" t="s">
        <v>474</v>
      </c>
      <c r="D198" s="406" t="s">
        <v>203</v>
      </c>
      <c r="E198" s="370"/>
      <c r="F198" s="371"/>
      <c r="G198" s="107" t="s">
        <v>475</v>
      </c>
      <c r="H198" s="385"/>
      <c r="I198" s="5"/>
      <c r="J198" s="5"/>
      <c r="K198" s="5"/>
      <c r="L198" s="5"/>
      <c r="M198" s="5"/>
      <c r="N198" s="5"/>
      <c r="O198" s="5"/>
      <c r="P198" s="5"/>
      <c r="Q198" s="5"/>
      <c r="R198" s="5"/>
      <c r="S198" s="5"/>
      <c r="T198" s="5"/>
      <c r="U198" s="5"/>
      <c r="V198" s="5"/>
      <c r="W198" s="5"/>
      <c r="X198" s="5"/>
      <c r="Y198" s="5"/>
      <c r="Z198" s="5"/>
    </row>
    <row r="199" spans="1:26" ht="12.75" customHeight="1" x14ac:dyDescent="0.25">
      <c r="A199" s="105" t="s">
        <v>428</v>
      </c>
      <c r="B199" s="15">
        <v>185</v>
      </c>
      <c r="C199" s="109" t="s">
        <v>476</v>
      </c>
      <c r="D199" s="406" t="s">
        <v>203</v>
      </c>
      <c r="E199" s="370"/>
      <c r="F199" s="371"/>
      <c r="G199" s="107" t="s">
        <v>477</v>
      </c>
      <c r="H199" s="385"/>
      <c r="I199" s="5"/>
      <c r="J199" s="5"/>
      <c r="K199" s="5"/>
      <c r="L199" s="5"/>
      <c r="M199" s="5"/>
      <c r="N199" s="5"/>
      <c r="O199" s="5"/>
      <c r="P199" s="5"/>
      <c r="Q199" s="5"/>
      <c r="R199" s="5"/>
      <c r="S199" s="5"/>
      <c r="T199" s="5"/>
      <c r="U199" s="5"/>
      <c r="V199" s="5"/>
      <c r="W199" s="5"/>
      <c r="X199" s="5"/>
      <c r="Y199" s="5"/>
      <c r="Z199" s="5"/>
    </row>
    <row r="200" spans="1:26" ht="12.75" customHeight="1" x14ac:dyDescent="0.25">
      <c r="A200" s="105" t="s">
        <v>428</v>
      </c>
      <c r="B200" s="15">
        <v>186</v>
      </c>
      <c r="C200" s="109" t="s">
        <v>478</v>
      </c>
      <c r="D200" s="406" t="s">
        <v>208</v>
      </c>
      <c r="E200" s="370"/>
      <c r="F200" s="371"/>
      <c r="G200" s="107"/>
      <c r="H200" s="385"/>
      <c r="I200" s="5"/>
      <c r="J200" s="5"/>
      <c r="K200" s="5"/>
      <c r="L200" s="5"/>
      <c r="M200" s="5"/>
      <c r="N200" s="5"/>
      <c r="O200" s="5"/>
      <c r="P200" s="5"/>
      <c r="Q200" s="5"/>
      <c r="R200" s="5"/>
      <c r="S200" s="5"/>
      <c r="T200" s="5"/>
      <c r="U200" s="5"/>
      <c r="V200" s="5"/>
      <c r="W200" s="5"/>
      <c r="X200" s="5"/>
      <c r="Y200" s="5"/>
      <c r="Z200" s="5"/>
    </row>
    <row r="201" spans="1:26" ht="12.75" customHeight="1" x14ac:dyDescent="0.25">
      <c r="A201" s="105" t="s">
        <v>428</v>
      </c>
      <c r="B201" s="15">
        <v>187</v>
      </c>
      <c r="C201" s="109" t="s">
        <v>479</v>
      </c>
      <c r="D201" s="406" t="s">
        <v>208</v>
      </c>
      <c r="E201" s="370"/>
      <c r="F201" s="371"/>
      <c r="G201" s="107"/>
      <c r="H201" s="385"/>
      <c r="I201" s="5"/>
      <c r="J201" s="5"/>
      <c r="K201" s="5"/>
      <c r="L201" s="5"/>
      <c r="M201" s="5"/>
      <c r="N201" s="5"/>
      <c r="O201" s="5"/>
      <c r="P201" s="5"/>
      <c r="Q201" s="5"/>
      <c r="R201" s="5"/>
      <c r="S201" s="5"/>
      <c r="T201" s="5"/>
      <c r="U201" s="5"/>
      <c r="V201" s="5"/>
      <c r="W201" s="5"/>
      <c r="X201" s="5"/>
      <c r="Y201" s="5"/>
      <c r="Z201" s="5"/>
    </row>
    <row r="202" spans="1:26" ht="12.75" customHeight="1" x14ac:dyDescent="0.25">
      <c r="A202" s="105" t="s">
        <v>428</v>
      </c>
      <c r="B202" s="15">
        <v>188</v>
      </c>
      <c r="C202" s="109" t="s">
        <v>480</v>
      </c>
      <c r="D202" s="406" t="s">
        <v>203</v>
      </c>
      <c r="E202" s="370"/>
      <c r="F202" s="371"/>
      <c r="G202" s="107" t="s">
        <v>481</v>
      </c>
      <c r="H202" s="385"/>
      <c r="I202" s="5"/>
      <c r="J202" s="5"/>
      <c r="K202" s="5"/>
      <c r="L202" s="5"/>
      <c r="M202" s="5"/>
      <c r="N202" s="5"/>
      <c r="O202" s="5"/>
      <c r="P202" s="5"/>
      <c r="Q202" s="5"/>
      <c r="R202" s="5"/>
      <c r="S202" s="5"/>
      <c r="T202" s="5"/>
      <c r="U202" s="5"/>
      <c r="V202" s="5"/>
      <c r="W202" s="5"/>
      <c r="X202" s="5"/>
      <c r="Y202" s="5"/>
      <c r="Z202" s="5"/>
    </row>
    <row r="203" spans="1:26" ht="12.75" customHeight="1" x14ac:dyDescent="0.25">
      <c r="A203" s="105" t="s">
        <v>428</v>
      </c>
      <c r="B203" s="15">
        <v>189</v>
      </c>
      <c r="C203" s="109" t="s">
        <v>482</v>
      </c>
      <c r="D203" s="406" t="s">
        <v>208</v>
      </c>
      <c r="E203" s="370"/>
      <c r="F203" s="371"/>
      <c r="G203" s="107"/>
      <c r="H203" s="385"/>
      <c r="I203" s="5"/>
      <c r="J203" s="5"/>
      <c r="K203" s="5"/>
      <c r="L203" s="5"/>
      <c r="M203" s="5"/>
      <c r="N203" s="5"/>
      <c r="O203" s="5"/>
      <c r="P203" s="5"/>
      <c r="Q203" s="5"/>
      <c r="R203" s="5"/>
      <c r="S203" s="5"/>
      <c r="T203" s="5"/>
      <c r="U203" s="5"/>
      <c r="V203" s="5"/>
      <c r="W203" s="5"/>
      <c r="X203" s="5"/>
      <c r="Y203" s="5"/>
      <c r="Z203" s="5"/>
    </row>
    <row r="204" spans="1:26" ht="12.75" customHeight="1" x14ac:dyDescent="0.25">
      <c r="A204" s="105" t="s">
        <v>428</v>
      </c>
      <c r="B204" s="15">
        <v>190</v>
      </c>
      <c r="C204" s="109" t="s">
        <v>483</v>
      </c>
      <c r="D204" s="406" t="s">
        <v>208</v>
      </c>
      <c r="E204" s="370"/>
      <c r="F204" s="371"/>
      <c r="G204" s="107"/>
      <c r="H204" s="385"/>
      <c r="I204" s="5"/>
      <c r="J204" s="5"/>
      <c r="K204" s="5"/>
      <c r="L204" s="5"/>
      <c r="M204" s="5"/>
      <c r="N204" s="5"/>
      <c r="O204" s="5"/>
      <c r="P204" s="5"/>
      <c r="Q204" s="5"/>
      <c r="R204" s="5"/>
      <c r="S204" s="5"/>
      <c r="T204" s="5"/>
      <c r="U204" s="5"/>
      <c r="V204" s="5"/>
      <c r="W204" s="5"/>
      <c r="X204" s="5"/>
      <c r="Y204" s="5"/>
      <c r="Z204" s="5"/>
    </row>
    <row r="205" spans="1:26" ht="12.75" customHeight="1" x14ac:dyDescent="0.25">
      <c r="A205" s="105" t="s">
        <v>428</v>
      </c>
      <c r="B205" s="15">
        <v>191</v>
      </c>
      <c r="C205" s="109" t="s">
        <v>484</v>
      </c>
      <c r="D205" s="406" t="s">
        <v>208</v>
      </c>
      <c r="E205" s="370"/>
      <c r="F205" s="371"/>
      <c r="G205" s="107"/>
      <c r="H205" s="385"/>
      <c r="I205" s="5"/>
      <c r="J205" s="5"/>
      <c r="K205" s="5"/>
      <c r="L205" s="5"/>
      <c r="M205" s="5"/>
      <c r="N205" s="5"/>
      <c r="O205" s="5"/>
      <c r="P205" s="5"/>
      <c r="Q205" s="5"/>
      <c r="R205" s="5"/>
      <c r="S205" s="5"/>
      <c r="T205" s="5"/>
      <c r="U205" s="5"/>
      <c r="V205" s="5"/>
      <c r="W205" s="5"/>
      <c r="X205" s="5"/>
      <c r="Y205" s="5"/>
      <c r="Z205" s="5"/>
    </row>
    <row r="206" spans="1:26" ht="12.75" customHeight="1" x14ac:dyDescent="0.25">
      <c r="A206" s="105" t="s">
        <v>428</v>
      </c>
      <c r="B206" s="15">
        <v>192</v>
      </c>
      <c r="C206" s="109" t="s">
        <v>485</v>
      </c>
      <c r="D206" s="406" t="s">
        <v>208</v>
      </c>
      <c r="E206" s="370"/>
      <c r="F206" s="371"/>
      <c r="G206" s="107"/>
      <c r="H206" s="385"/>
      <c r="I206" s="5"/>
      <c r="J206" s="5"/>
      <c r="K206" s="5"/>
      <c r="L206" s="5"/>
      <c r="M206" s="5"/>
      <c r="N206" s="5"/>
      <c r="O206" s="5"/>
      <c r="P206" s="5"/>
      <c r="Q206" s="5"/>
      <c r="R206" s="5"/>
      <c r="S206" s="5"/>
      <c r="T206" s="5"/>
      <c r="U206" s="5"/>
      <c r="V206" s="5"/>
      <c r="W206" s="5"/>
      <c r="X206" s="5"/>
      <c r="Y206" s="5"/>
      <c r="Z206" s="5"/>
    </row>
    <row r="207" spans="1:26" ht="12.75" customHeight="1" x14ac:dyDescent="0.25">
      <c r="A207" s="105" t="s">
        <v>428</v>
      </c>
      <c r="B207" s="15">
        <v>193</v>
      </c>
      <c r="C207" s="109" t="s">
        <v>486</v>
      </c>
      <c r="D207" s="406" t="s">
        <v>208</v>
      </c>
      <c r="E207" s="370"/>
      <c r="F207" s="371"/>
      <c r="G207" s="107"/>
      <c r="H207" s="385"/>
      <c r="I207" s="5"/>
      <c r="J207" s="5"/>
      <c r="K207" s="5"/>
      <c r="L207" s="5"/>
      <c r="M207" s="5"/>
      <c r="N207" s="5"/>
      <c r="O207" s="5"/>
      <c r="P207" s="5"/>
      <c r="Q207" s="5"/>
      <c r="R207" s="5"/>
      <c r="S207" s="5"/>
      <c r="T207" s="5"/>
      <c r="U207" s="5"/>
      <c r="V207" s="5"/>
      <c r="W207" s="5"/>
      <c r="X207" s="5"/>
      <c r="Y207" s="5"/>
      <c r="Z207" s="5"/>
    </row>
    <row r="208" spans="1:26" ht="12.75" customHeight="1" x14ac:dyDescent="0.25">
      <c r="A208" s="105" t="s">
        <v>428</v>
      </c>
      <c r="B208" s="15">
        <v>194</v>
      </c>
      <c r="C208" s="109" t="s">
        <v>487</v>
      </c>
      <c r="D208" s="406" t="s">
        <v>208</v>
      </c>
      <c r="E208" s="370"/>
      <c r="F208" s="371"/>
      <c r="G208" s="107"/>
      <c r="H208" s="385"/>
      <c r="I208" s="5"/>
      <c r="J208" s="5"/>
      <c r="K208" s="5"/>
      <c r="L208" s="5"/>
      <c r="M208" s="5"/>
      <c r="N208" s="5"/>
      <c r="O208" s="5"/>
      <c r="P208" s="5"/>
      <c r="Q208" s="5"/>
      <c r="R208" s="5"/>
      <c r="S208" s="5"/>
      <c r="T208" s="5"/>
      <c r="U208" s="5"/>
      <c r="V208" s="5"/>
      <c r="W208" s="5"/>
      <c r="X208" s="5"/>
      <c r="Y208" s="5"/>
      <c r="Z208" s="5"/>
    </row>
    <row r="209" spans="1:26" ht="12.75" customHeight="1" x14ac:dyDescent="0.25">
      <c r="A209" s="105" t="s">
        <v>428</v>
      </c>
      <c r="B209" s="15">
        <v>195</v>
      </c>
      <c r="C209" s="109" t="s">
        <v>488</v>
      </c>
      <c r="D209" s="406" t="s">
        <v>208</v>
      </c>
      <c r="E209" s="370"/>
      <c r="F209" s="371"/>
      <c r="G209" s="107"/>
      <c r="H209" s="385"/>
      <c r="I209" s="5"/>
      <c r="J209" s="5"/>
      <c r="K209" s="5"/>
      <c r="L209" s="5"/>
      <c r="M209" s="5"/>
      <c r="N209" s="5"/>
      <c r="O209" s="5"/>
      <c r="P209" s="5"/>
      <c r="Q209" s="5"/>
      <c r="R209" s="5"/>
      <c r="S209" s="5"/>
      <c r="T209" s="5"/>
      <c r="U209" s="5"/>
      <c r="V209" s="5"/>
      <c r="W209" s="5"/>
      <c r="X209" s="5"/>
      <c r="Y209" s="5"/>
      <c r="Z209" s="5"/>
    </row>
    <row r="210" spans="1:26" ht="12.75" customHeight="1" x14ac:dyDescent="0.25">
      <c r="A210" s="105" t="s">
        <v>428</v>
      </c>
      <c r="B210" s="15">
        <v>196</v>
      </c>
      <c r="C210" s="109" t="s">
        <v>489</v>
      </c>
      <c r="D210" s="406" t="s">
        <v>208</v>
      </c>
      <c r="E210" s="370"/>
      <c r="F210" s="371"/>
      <c r="G210" s="107"/>
      <c r="H210" s="385"/>
      <c r="I210" s="5"/>
      <c r="J210" s="5"/>
      <c r="K210" s="5"/>
      <c r="L210" s="5"/>
      <c r="M210" s="5"/>
      <c r="N210" s="5"/>
      <c r="O210" s="5"/>
      <c r="P210" s="5"/>
      <c r="Q210" s="5"/>
      <c r="R210" s="5"/>
      <c r="S210" s="5"/>
      <c r="T210" s="5"/>
      <c r="U210" s="5"/>
      <c r="V210" s="5"/>
      <c r="W210" s="5"/>
      <c r="X210" s="5"/>
      <c r="Y210" s="5"/>
      <c r="Z210" s="5"/>
    </row>
    <row r="211" spans="1:26" ht="12.75" customHeight="1" x14ac:dyDescent="0.25">
      <c r="A211" s="105" t="s">
        <v>428</v>
      </c>
      <c r="B211" s="15">
        <v>197</v>
      </c>
      <c r="C211" s="109" t="s">
        <v>490</v>
      </c>
      <c r="D211" s="406" t="s">
        <v>208</v>
      </c>
      <c r="E211" s="370"/>
      <c r="F211" s="371"/>
      <c r="G211" s="107"/>
      <c r="H211" s="385"/>
      <c r="I211" s="5"/>
      <c r="J211" s="5"/>
      <c r="K211" s="5"/>
      <c r="L211" s="5"/>
      <c r="M211" s="5"/>
      <c r="N211" s="5"/>
      <c r="O211" s="5"/>
      <c r="P211" s="5"/>
      <c r="Q211" s="5"/>
      <c r="R211" s="5"/>
      <c r="S211" s="5"/>
      <c r="T211" s="5"/>
      <c r="U211" s="5"/>
      <c r="V211" s="5"/>
      <c r="W211" s="5"/>
      <c r="X211" s="5"/>
      <c r="Y211" s="5"/>
      <c r="Z211" s="5"/>
    </row>
    <row r="212" spans="1:26" ht="12.75" customHeight="1" x14ac:dyDescent="0.25">
      <c r="A212" s="105" t="s">
        <v>428</v>
      </c>
      <c r="B212" s="15">
        <v>198</v>
      </c>
      <c r="C212" s="109" t="s">
        <v>491</v>
      </c>
      <c r="D212" s="406" t="s">
        <v>208</v>
      </c>
      <c r="E212" s="370"/>
      <c r="F212" s="371"/>
      <c r="G212" s="107"/>
      <c r="H212" s="385"/>
      <c r="I212" s="5"/>
      <c r="J212" s="5"/>
      <c r="K212" s="5"/>
      <c r="L212" s="5"/>
      <c r="M212" s="5"/>
      <c r="N212" s="5"/>
      <c r="O212" s="5"/>
      <c r="P212" s="5"/>
      <c r="Q212" s="5"/>
      <c r="R212" s="5"/>
      <c r="S212" s="5"/>
      <c r="T212" s="5"/>
      <c r="U212" s="5"/>
      <c r="V212" s="5"/>
      <c r="W212" s="5"/>
      <c r="X212" s="5"/>
      <c r="Y212" s="5"/>
      <c r="Z212" s="5"/>
    </row>
    <row r="213" spans="1:26" ht="12.75" customHeight="1" x14ac:dyDescent="0.25">
      <c r="A213" s="105" t="s">
        <v>428</v>
      </c>
      <c r="B213" s="15">
        <v>199</v>
      </c>
      <c r="C213" s="109" t="s">
        <v>492</v>
      </c>
      <c r="D213" s="406" t="s">
        <v>208</v>
      </c>
      <c r="E213" s="370"/>
      <c r="F213" s="371"/>
      <c r="G213" s="107"/>
      <c r="H213" s="385"/>
      <c r="I213" s="5"/>
      <c r="J213" s="5"/>
      <c r="K213" s="5"/>
      <c r="L213" s="5"/>
      <c r="M213" s="5"/>
      <c r="N213" s="5"/>
      <c r="O213" s="5"/>
      <c r="P213" s="5"/>
      <c r="Q213" s="5"/>
      <c r="R213" s="5"/>
      <c r="S213" s="5"/>
      <c r="T213" s="5"/>
      <c r="U213" s="5"/>
      <c r="V213" s="5"/>
      <c r="W213" s="5"/>
      <c r="X213" s="5"/>
      <c r="Y213" s="5"/>
      <c r="Z213" s="5"/>
    </row>
    <row r="214" spans="1:26" ht="12.75" customHeight="1" x14ac:dyDescent="0.25">
      <c r="A214" s="105" t="s">
        <v>428</v>
      </c>
      <c r="B214" s="15">
        <v>200</v>
      </c>
      <c r="C214" s="109" t="s">
        <v>493</v>
      </c>
      <c r="D214" s="406" t="s">
        <v>203</v>
      </c>
      <c r="E214" s="370"/>
      <c r="F214" s="371"/>
      <c r="G214" s="107" t="s">
        <v>494</v>
      </c>
      <c r="H214" s="385"/>
      <c r="I214" s="5"/>
      <c r="J214" s="5"/>
      <c r="K214" s="5"/>
      <c r="L214" s="5"/>
      <c r="M214" s="5"/>
      <c r="N214" s="5"/>
      <c r="O214" s="5"/>
      <c r="P214" s="5"/>
      <c r="Q214" s="5"/>
      <c r="R214" s="5"/>
      <c r="S214" s="5"/>
      <c r="T214" s="5"/>
      <c r="U214" s="5"/>
      <c r="V214" s="5"/>
      <c r="W214" s="5"/>
      <c r="X214" s="5"/>
      <c r="Y214" s="5"/>
      <c r="Z214" s="5"/>
    </row>
    <row r="215" spans="1:26" ht="12.75" customHeight="1" x14ac:dyDescent="0.25">
      <c r="A215" s="105" t="s">
        <v>428</v>
      </c>
      <c r="B215" s="15">
        <v>201</v>
      </c>
      <c r="C215" s="109" t="s">
        <v>495</v>
      </c>
      <c r="D215" s="406" t="s">
        <v>208</v>
      </c>
      <c r="E215" s="370"/>
      <c r="F215" s="371"/>
      <c r="G215" s="107"/>
      <c r="H215" s="385"/>
      <c r="I215" s="5"/>
      <c r="J215" s="5"/>
      <c r="K215" s="5"/>
      <c r="L215" s="5"/>
      <c r="M215" s="5"/>
      <c r="N215" s="5"/>
      <c r="O215" s="5"/>
      <c r="P215" s="5"/>
      <c r="Q215" s="5"/>
      <c r="R215" s="5"/>
      <c r="S215" s="5"/>
      <c r="T215" s="5"/>
      <c r="U215" s="5"/>
      <c r="V215" s="5"/>
      <c r="W215" s="5"/>
      <c r="X215" s="5"/>
      <c r="Y215" s="5"/>
      <c r="Z215" s="5"/>
    </row>
    <row r="216" spans="1:26" ht="12.75" customHeight="1" x14ac:dyDescent="0.25">
      <c r="A216" s="105" t="s">
        <v>428</v>
      </c>
      <c r="B216" s="15">
        <v>202</v>
      </c>
      <c r="C216" s="109" t="s">
        <v>496</v>
      </c>
      <c r="D216" s="406" t="s">
        <v>208</v>
      </c>
      <c r="E216" s="370"/>
      <c r="F216" s="371"/>
      <c r="G216" s="107"/>
      <c r="H216" s="385"/>
      <c r="I216" s="5"/>
      <c r="J216" s="5"/>
      <c r="K216" s="5"/>
      <c r="L216" s="5"/>
      <c r="M216" s="5"/>
      <c r="N216" s="5"/>
      <c r="O216" s="5"/>
      <c r="P216" s="5"/>
      <c r="Q216" s="5"/>
      <c r="R216" s="5"/>
      <c r="S216" s="5"/>
      <c r="T216" s="5"/>
      <c r="U216" s="5"/>
      <c r="V216" s="5"/>
      <c r="W216" s="5"/>
      <c r="X216" s="5"/>
      <c r="Y216" s="5"/>
      <c r="Z216" s="5"/>
    </row>
    <row r="217" spans="1:26" ht="12.75" customHeight="1" x14ac:dyDescent="0.25">
      <c r="A217" s="105" t="s">
        <v>428</v>
      </c>
      <c r="B217" s="15">
        <v>203</v>
      </c>
      <c r="C217" s="109" t="s">
        <v>497</v>
      </c>
      <c r="D217" s="406" t="s">
        <v>208</v>
      </c>
      <c r="E217" s="370"/>
      <c r="F217" s="371"/>
      <c r="G217" s="107"/>
      <c r="H217" s="385"/>
      <c r="I217" s="5"/>
      <c r="J217" s="5"/>
      <c r="K217" s="5"/>
      <c r="L217" s="5"/>
      <c r="M217" s="5"/>
      <c r="N217" s="5"/>
      <c r="O217" s="5"/>
      <c r="P217" s="5"/>
      <c r="Q217" s="5"/>
      <c r="R217" s="5"/>
      <c r="S217" s="5"/>
      <c r="T217" s="5"/>
      <c r="U217" s="5"/>
      <c r="V217" s="5"/>
      <c r="W217" s="5"/>
      <c r="X217" s="5"/>
      <c r="Y217" s="5"/>
      <c r="Z217" s="5"/>
    </row>
    <row r="218" spans="1:26" ht="12.75" customHeight="1" x14ac:dyDescent="0.25">
      <c r="A218" s="105" t="s">
        <v>428</v>
      </c>
      <c r="B218" s="15">
        <v>204</v>
      </c>
      <c r="C218" s="109" t="s">
        <v>498</v>
      </c>
      <c r="D218" s="406" t="s">
        <v>208</v>
      </c>
      <c r="E218" s="370"/>
      <c r="F218" s="371"/>
      <c r="G218" s="107"/>
      <c r="H218" s="385"/>
      <c r="I218" s="5"/>
      <c r="J218" s="5"/>
      <c r="K218" s="5"/>
      <c r="L218" s="5"/>
      <c r="M218" s="5"/>
      <c r="N218" s="5"/>
      <c r="O218" s="5"/>
      <c r="P218" s="5"/>
      <c r="Q218" s="5"/>
      <c r="R218" s="5"/>
      <c r="S218" s="5"/>
      <c r="T218" s="5"/>
      <c r="U218" s="5"/>
      <c r="V218" s="5"/>
      <c r="W218" s="5"/>
      <c r="X218" s="5"/>
      <c r="Y218" s="5"/>
      <c r="Z218" s="5"/>
    </row>
    <row r="219" spans="1:26" ht="12.75" customHeight="1" x14ac:dyDescent="0.25">
      <c r="A219" s="105" t="s">
        <v>428</v>
      </c>
      <c r="B219" s="15">
        <v>205</v>
      </c>
      <c r="C219" s="109" t="s">
        <v>499</v>
      </c>
      <c r="D219" s="406" t="s">
        <v>203</v>
      </c>
      <c r="E219" s="370"/>
      <c r="F219" s="371"/>
      <c r="G219" s="107" t="s">
        <v>481</v>
      </c>
      <c r="H219" s="385"/>
      <c r="I219" s="5"/>
      <c r="J219" s="5"/>
      <c r="K219" s="5"/>
      <c r="L219" s="5"/>
      <c r="M219" s="5"/>
      <c r="N219" s="5"/>
      <c r="O219" s="5"/>
      <c r="P219" s="5"/>
      <c r="Q219" s="5"/>
      <c r="R219" s="5"/>
      <c r="S219" s="5"/>
      <c r="T219" s="5"/>
      <c r="U219" s="5"/>
      <c r="V219" s="5"/>
      <c r="W219" s="5"/>
      <c r="X219" s="5"/>
      <c r="Y219" s="5"/>
      <c r="Z219" s="5"/>
    </row>
    <row r="220" spans="1:26" ht="12.75" customHeight="1" x14ac:dyDescent="0.25">
      <c r="A220" s="105" t="s">
        <v>428</v>
      </c>
      <c r="B220" s="15">
        <v>206</v>
      </c>
      <c r="C220" s="109" t="s">
        <v>500</v>
      </c>
      <c r="D220" s="406" t="s">
        <v>208</v>
      </c>
      <c r="E220" s="370"/>
      <c r="F220" s="371"/>
      <c r="G220" s="107"/>
      <c r="H220" s="385"/>
      <c r="I220" s="5"/>
      <c r="J220" s="5"/>
      <c r="K220" s="5"/>
      <c r="L220" s="5"/>
      <c r="M220" s="5"/>
      <c r="N220" s="5"/>
      <c r="O220" s="5"/>
      <c r="P220" s="5"/>
      <c r="Q220" s="5"/>
      <c r="R220" s="5"/>
      <c r="S220" s="5"/>
      <c r="T220" s="5"/>
      <c r="U220" s="5"/>
      <c r="V220" s="5"/>
      <c r="W220" s="5"/>
      <c r="X220" s="5"/>
      <c r="Y220" s="5"/>
      <c r="Z220" s="5"/>
    </row>
    <row r="221" spans="1:26" ht="12.75" customHeight="1" x14ac:dyDescent="0.25">
      <c r="A221" s="105" t="s">
        <v>428</v>
      </c>
      <c r="B221" s="15">
        <v>207</v>
      </c>
      <c r="C221" s="109" t="s">
        <v>501</v>
      </c>
      <c r="D221" s="406" t="s">
        <v>208</v>
      </c>
      <c r="E221" s="370"/>
      <c r="F221" s="371"/>
      <c r="G221" s="107"/>
      <c r="H221" s="385"/>
      <c r="I221" s="5"/>
      <c r="J221" s="5"/>
      <c r="K221" s="5"/>
      <c r="L221" s="5"/>
      <c r="M221" s="5"/>
      <c r="N221" s="5"/>
      <c r="O221" s="5"/>
      <c r="P221" s="5"/>
      <c r="Q221" s="5"/>
      <c r="R221" s="5"/>
      <c r="S221" s="5"/>
      <c r="T221" s="5"/>
      <c r="U221" s="5"/>
      <c r="V221" s="5"/>
      <c r="W221" s="5"/>
      <c r="X221" s="5"/>
      <c r="Y221" s="5"/>
      <c r="Z221" s="5"/>
    </row>
    <row r="222" spans="1:26" ht="12.75" customHeight="1" x14ac:dyDescent="0.25">
      <c r="A222" s="105" t="s">
        <v>428</v>
      </c>
      <c r="B222" s="15">
        <v>208</v>
      </c>
      <c r="C222" s="109" t="s">
        <v>502</v>
      </c>
      <c r="D222" s="406" t="s">
        <v>208</v>
      </c>
      <c r="E222" s="370"/>
      <c r="F222" s="371"/>
      <c r="G222" s="107"/>
      <c r="H222" s="385"/>
      <c r="I222" s="5"/>
      <c r="J222" s="5"/>
      <c r="K222" s="5"/>
      <c r="L222" s="5"/>
      <c r="M222" s="5"/>
      <c r="N222" s="5"/>
      <c r="O222" s="5"/>
      <c r="P222" s="5"/>
      <c r="Q222" s="5"/>
      <c r="R222" s="5"/>
      <c r="S222" s="5"/>
      <c r="T222" s="5"/>
      <c r="U222" s="5"/>
      <c r="V222" s="5"/>
      <c r="W222" s="5"/>
      <c r="X222" s="5"/>
      <c r="Y222" s="5"/>
      <c r="Z222" s="5"/>
    </row>
    <row r="223" spans="1:26" ht="12.75" customHeight="1" x14ac:dyDescent="0.25">
      <c r="A223" s="105" t="s">
        <v>428</v>
      </c>
      <c r="B223" s="15">
        <v>209</v>
      </c>
      <c r="C223" s="109" t="s">
        <v>503</v>
      </c>
      <c r="D223" s="406" t="s">
        <v>208</v>
      </c>
      <c r="E223" s="370"/>
      <c r="F223" s="371"/>
      <c r="G223" s="107"/>
      <c r="H223" s="385"/>
      <c r="I223" s="5"/>
      <c r="J223" s="5"/>
      <c r="K223" s="5"/>
      <c r="L223" s="5"/>
      <c r="M223" s="5"/>
      <c r="N223" s="5"/>
      <c r="O223" s="5"/>
      <c r="P223" s="5"/>
      <c r="Q223" s="5"/>
      <c r="R223" s="5"/>
      <c r="S223" s="5"/>
      <c r="T223" s="5"/>
      <c r="U223" s="5"/>
      <c r="V223" s="5"/>
      <c r="W223" s="5"/>
      <c r="X223" s="5"/>
      <c r="Y223" s="5"/>
      <c r="Z223" s="5"/>
    </row>
    <row r="224" spans="1:26" ht="12.75" customHeight="1" x14ac:dyDescent="0.25">
      <c r="A224" s="105" t="s">
        <v>428</v>
      </c>
      <c r="B224" s="15">
        <v>210</v>
      </c>
      <c r="C224" s="109" t="s">
        <v>504</v>
      </c>
      <c r="D224" s="406" t="s">
        <v>203</v>
      </c>
      <c r="E224" s="370"/>
      <c r="F224" s="371"/>
      <c r="G224" s="107" t="s">
        <v>279</v>
      </c>
      <c r="H224" s="385"/>
      <c r="I224" s="5"/>
      <c r="J224" s="5"/>
      <c r="K224" s="5"/>
      <c r="L224" s="5"/>
      <c r="M224" s="5"/>
      <c r="N224" s="5"/>
      <c r="O224" s="5"/>
      <c r="P224" s="5"/>
      <c r="Q224" s="5"/>
      <c r="R224" s="5"/>
      <c r="S224" s="5"/>
      <c r="T224" s="5"/>
      <c r="U224" s="5"/>
      <c r="V224" s="5"/>
      <c r="W224" s="5"/>
      <c r="X224" s="5"/>
      <c r="Y224" s="5"/>
      <c r="Z224" s="5"/>
    </row>
    <row r="225" spans="1:26" ht="12.75" customHeight="1" x14ac:dyDescent="0.25">
      <c r="A225" s="105" t="s">
        <v>428</v>
      </c>
      <c r="B225" s="15">
        <v>211</v>
      </c>
      <c r="C225" s="109" t="s">
        <v>505</v>
      </c>
      <c r="D225" s="406" t="s">
        <v>208</v>
      </c>
      <c r="E225" s="370"/>
      <c r="F225" s="371"/>
      <c r="G225" s="107"/>
      <c r="H225" s="385"/>
      <c r="I225" s="5"/>
      <c r="J225" s="5"/>
      <c r="K225" s="5"/>
      <c r="L225" s="5"/>
      <c r="M225" s="5"/>
      <c r="N225" s="5"/>
      <c r="O225" s="5"/>
      <c r="P225" s="5"/>
      <c r="Q225" s="5"/>
      <c r="R225" s="5"/>
      <c r="S225" s="5"/>
      <c r="T225" s="5"/>
      <c r="U225" s="5"/>
      <c r="V225" s="5"/>
      <c r="W225" s="5"/>
      <c r="X225" s="5"/>
      <c r="Y225" s="5"/>
      <c r="Z225" s="5"/>
    </row>
    <row r="226" spans="1:26" ht="12.75" customHeight="1" x14ac:dyDescent="0.25">
      <c r="A226" s="105" t="s">
        <v>428</v>
      </c>
      <c r="B226" s="15">
        <v>212</v>
      </c>
      <c r="C226" s="109" t="s">
        <v>506</v>
      </c>
      <c r="D226" s="406" t="s">
        <v>208</v>
      </c>
      <c r="E226" s="370"/>
      <c r="F226" s="371"/>
      <c r="G226" s="107"/>
      <c r="H226" s="385"/>
      <c r="I226" s="5"/>
      <c r="J226" s="5"/>
      <c r="K226" s="5"/>
      <c r="L226" s="5"/>
      <c r="M226" s="5"/>
      <c r="N226" s="5"/>
      <c r="O226" s="5"/>
      <c r="P226" s="5"/>
      <c r="Q226" s="5"/>
      <c r="R226" s="5"/>
      <c r="S226" s="5"/>
      <c r="T226" s="5"/>
      <c r="U226" s="5"/>
      <c r="V226" s="5"/>
      <c r="W226" s="5"/>
      <c r="X226" s="5"/>
      <c r="Y226" s="5"/>
      <c r="Z226" s="5"/>
    </row>
    <row r="227" spans="1:26" ht="12.75" customHeight="1" x14ac:dyDescent="0.25">
      <c r="A227" s="105" t="s">
        <v>428</v>
      </c>
      <c r="B227" s="15">
        <v>213</v>
      </c>
      <c r="C227" s="109" t="s">
        <v>507</v>
      </c>
      <c r="D227" s="406" t="s">
        <v>203</v>
      </c>
      <c r="E227" s="370"/>
      <c r="F227" s="371"/>
      <c r="G227" s="107" t="s">
        <v>508</v>
      </c>
      <c r="H227" s="385"/>
      <c r="I227" s="5"/>
      <c r="J227" s="5"/>
      <c r="K227" s="5"/>
      <c r="L227" s="5"/>
      <c r="M227" s="5"/>
      <c r="N227" s="5"/>
      <c r="O227" s="5"/>
      <c r="P227" s="5"/>
      <c r="Q227" s="5"/>
      <c r="R227" s="5"/>
      <c r="S227" s="5"/>
      <c r="T227" s="5"/>
      <c r="U227" s="5"/>
      <c r="V227" s="5"/>
      <c r="W227" s="5"/>
      <c r="X227" s="5"/>
      <c r="Y227" s="5"/>
      <c r="Z227" s="5"/>
    </row>
    <row r="228" spans="1:26" ht="12.75" customHeight="1" x14ac:dyDescent="0.25">
      <c r="A228" s="105" t="s">
        <v>428</v>
      </c>
      <c r="B228" s="15">
        <v>214</v>
      </c>
      <c r="C228" s="109" t="s">
        <v>509</v>
      </c>
      <c r="D228" s="406" t="s">
        <v>203</v>
      </c>
      <c r="E228" s="370"/>
      <c r="F228" s="371"/>
      <c r="G228" s="107" t="s">
        <v>510</v>
      </c>
      <c r="H228" s="385"/>
      <c r="I228" s="5"/>
      <c r="J228" s="5"/>
      <c r="K228" s="5"/>
      <c r="L228" s="5"/>
      <c r="M228" s="5"/>
      <c r="N228" s="5"/>
      <c r="O228" s="5"/>
      <c r="P228" s="5"/>
      <c r="Q228" s="5"/>
      <c r="R228" s="5"/>
      <c r="S228" s="5"/>
      <c r="T228" s="5"/>
      <c r="U228" s="5"/>
      <c r="V228" s="5"/>
      <c r="W228" s="5"/>
      <c r="X228" s="5"/>
      <c r="Y228" s="5"/>
      <c r="Z228" s="5"/>
    </row>
    <row r="229" spans="1:26" ht="12.75" customHeight="1" x14ac:dyDescent="0.25">
      <c r="A229" s="105" t="s">
        <v>428</v>
      </c>
      <c r="B229" s="15">
        <v>215</v>
      </c>
      <c r="C229" s="109" t="s">
        <v>511</v>
      </c>
      <c r="D229" s="406" t="s">
        <v>208</v>
      </c>
      <c r="E229" s="370"/>
      <c r="F229" s="371"/>
      <c r="G229" s="107"/>
      <c r="H229" s="385"/>
      <c r="I229" s="5"/>
      <c r="J229" s="5"/>
      <c r="K229" s="5"/>
      <c r="L229" s="5"/>
      <c r="M229" s="5"/>
      <c r="N229" s="5"/>
      <c r="O229" s="5"/>
      <c r="P229" s="5"/>
      <c r="Q229" s="5"/>
      <c r="R229" s="5"/>
      <c r="S229" s="5"/>
      <c r="T229" s="5"/>
      <c r="U229" s="5"/>
      <c r="V229" s="5"/>
      <c r="W229" s="5"/>
      <c r="X229" s="5"/>
      <c r="Y229" s="5"/>
      <c r="Z229" s="5"/>
    </row>
    <row r="230" spans="1:26" ht="12.75" customHeight="1" x14ac:dyDescent="0.25">
      <c r="A230" s="105" t="s">
        <v>428</v>
      </c>
      <c r="B230" s="15">
        <v>216</v>
      </c>
      <c r="C230" s="109" t="s">
        <v>512</v>
      </c>
      <c r="D230" s="406" t="s">
        <v>203</v>
      </c>
      <c r="E230" s="370"/>
      <c r="F230" s="371"/>
      <c r="G230" s="107" t="s">
        <v>279</v>
      </c>
      <c r="H230" s="385"/>
      <c r="I230" s="5"/>
      <c r="J230" s="5"/>
      <c r="K230" s="5"/>
      <c r="L230" s="5"/>
      <c r="M230" s="5"/>
      <c r="N230" s="5"/>
      <c r="O230" s="5"/>
      <c r="P230" s="5"/>
      <c r="Q230" s="5"/>
      <c r="R230" s="5"/>
      <c r="S230" s="5"/>
      <c r="T230" s="5"/>
      <c r="U230" s="5"/>
      <c r="V230" s="5"/>
      <c r="W230" s="5"/>
      <c r="X230" s="5"/>
      <c r="Y230" s="5"/>
      <c r="Z230" s="5"/>
    </row>
    <row r="231" spans="1:26" ht="12.75" customHeight="1" x14ac:dyDescent="0.25">
      <c r="A231" s="105" t="s">
        <v>428</v>
      </c>
      <c r="B231" s="15">
        <v>217</v>
      </c>
      <c r="C231" s="109" t="s">
        <v>513</v>
      </c>
      <c r="D231" s="406" t="s">
        <v>208</v>
      </c>
      <c r="E231" s="370"/>
      <c r="F231" s="371"/>
      <c r="G231" s="107"/>
      <c r="H231" s="385"/>
      <c r="I231" s="5"/>
      <c r="J231" s="5"/>
      <c r="K231" s="5"/>
      <c r="L231" s="5"/>
      <c r="M231" s="5"/>
      <c r="N231" s="5"/>
      <c r="O231" s="5"/>
      <c r="P231" s="5"/>
      <c r="Q231" s="5"/>
      <c r="R231" s="5"/>
      <c r="S231" s="5"/>
      <c r="T231" s="5"/>
      <c r="U231" s="5"/>
      <c r="V231" s="5"/>
      <c r="W231" s="5"/>
      <c r="X231" s="5"/>
      <c r="Y231" s="5"/>
      <c r="Z231" s="5"/>
    </row>
    <row r="232" spans="1:26" ht="12.75" customHeight="1" x14ac:dyDescent="0.25">
      <c r="A232" s="105" t="s">
        <v>428</v>
      </c>
      <c r="B232" s="15">
        <v>218</v>
      </c>
      <c r="C232" s="109" t="s">
        <v>514</v>
      </c>
      <c r="D232" s="406" t="s">
        <v>208</v>
      </c>
      <c r="E232" s="370"/>
      <c r="F232" s="371"/>
      <c r="G232" s="107"/>
      <c r="H232" s="385"/>
      <c r="I232" s="5"/>
      <c r="J232" s="5"/>
      <c r="K232" s="5"/>
      <c r="L232" s="5"/>
      <c r="M232" s="5"/>
      <c r="N232" s="5"/>
      <c r="O232" s="5"/>
      <c r="P232" s="5"/>
      <c r="Q232" s="5"/>
      <c r="R232" s="5"/>
      <c r="S232" s="5"/>
      <c r="T232" s="5"/>
      <c r="U232" s="5"/>
      <c r="V232" s="5"/>
      <c r="W232" s="5"/>
      <c r="X232" s="5"/>
      <c r="Y232" s="5"/>
      <c r="Z232" s="5"/>
    </row>
    <row r="233" spans="1:26" ht="12.75" customHeight="1" x14ac:dyDescent="0.25">
      <c r="A233" s="105" t="s">
        <v>428</v>
      </c>
      <c r="B233" s="15">
        <v>219</v>
      </c>
      <c r="C233" s="109" t="s">
        <v>515</v>
      </c>
      <c r="D233" s="406" t="s">
        <v>208</v>
      </c>
      <c r="E233" s="370"/>
      <c r="F233" s="371"/>
      <c r="G233" s="107"/>
      <c r="H233" s="385"/>
      <c r="I233" s="5"/>
      <c r="J233" s="5"/>
      <c r="K233" s="5"/>
      <c r="L233" s="5"/>
      <c r="M233" s="5"/>
      <c r="N233" s="5"/>
      <c r="O233" s="5"/>
      <c r="P233" s="5"/>
      <c r="Q233" s="5"/>
      <c r="R233" s="5"/>
      <c r="S233" s="5"/>
      <c r="T233" s="5"/>
      <c r="U233" s="5"/>
      <c r="V233" s="5"/>
      <c r="W233" s="5"/>
      <c r="X233" s="5"/>
      <c r="Y233" s="5"/>
      <c r="Z233" s="5"/>
    </row>
    <row r="234" spans="1:26" ht="12.75" customHeight="1" x14ac:dyDescent="0.25">
      <c r="A234" s="105" t="s">
        <v>428</v>
      </c>
      <c r="B234" s="15">
        <v>220</v>
      </c>
      <c r="C234" s="109" t="s">
        <v>516</v>
      </c>
      <c r="D234" s="406" t="s">
        <v>208</v>
      </c>
      <c r="E234" s="370"/>
      <c r="F234" s="371"/>
      <c r="G234" s="107"/>
      <c r="H234" s="385"/>
      <c r="I234" s="5"/>
      <c r="J234" s="5"/>
      <c r="K234" s="5"/>
      <c r="L234" s="5"/>
      <c r="M234" s="5"/>
      <c r="N234" s="5"/>
      <c r="O234" s="5"/>
      <c r="P234" s="5"/>
      <c r="Q234" s="5"/>
      <c r="R234" s="5"/>
      <c r="S234" s="5"/>
      <c r="T234" s="5"/>
      <c r="U234" s="5"/>
      <c r="V234" s="5"/>
      <c r="W234" s="5"/>
      <c r="X234" s="5"/>
      <c r="Y234" s="5"/>
      <c r="Z234" s="5"/>
    </row>
    <row r="235" spans="1:26" ht="12.75" customHeight="1" x14ac:dyDescent="0.25">
      <c r="A235" s="105" t="s">
        <v>428</v>
      </c>
      <c r="B235" s="15">
        <v>221</v>
      </c>
      <c r="C235" s="109" t="s">
        <v>517</v>
      </c>
      <c r="D235" s="406" t="s">
        <v>208</v>
      </c>
      <c r="E235" s="370"/>
      <c r="F235" s="371"/>
      <c r="G235" s="107"/>
      <c r="H235" s="385"/>
      <c r="I235" s="5"/>
      <c r="J235" s="5"/>
      <c r="K235" s="5"/>
      <c r="L235" s="5"/>
      <c r="M235" s="5"/>
      <c r="N235" s="5"/>
      <c r="O235" s="5"/>
      <c r="P235" s="5"/>
      <c r="Q235" s="5"/>
      <c r="R235" s="5"/>
      <c r="S235" s="5"/>
      <c r="T235" s="5"/>
      <c r="U235" s="5"/>
      <c r="V235" s="5"/>
      <c r="W235" s="5"/>
      <c r="X235" s="5"/>
      <c r="Y235" s="5"/>
      <c r="Z235" s="5"/>
    </row>
    <row r="236" spans="1:26" ht="12.75" customHeight="1" x14ac:dyDescent="0.25">
      <c r="A236" s="105" t="s">
        <v>428</v>
      </c>
      <c r="B236" s="15">
        <v>222</v>
      </c>
      <c r="C236" s="109" t="s">
        <v>518</v>
      </c>
      <c r="D236" s="406" t="s">
        <v>208</v>
      </c>
      <c r="E236" s="370"/>
      <c r="F236" s="371"/>
      <c r="G236" s="107"/>
      <c r="H236" s="385"/>
      <c r="I236" s="5"/>
      <c r="J236" s="5"/>
      <c r="K236" s="5"/>
      <c r="L236" s="5"/>
      <c r="M236" s="5"/>
      <c r="N236" s="5"/>
      <c r="O236" s="5"/>
      <c r="P236" s="5"/>
      <c r="Q236" s="5"/>
      <c r="R236" s="5"/>
      <c r="S236" s="5"/>
      <c r="T236" s="5"/>
      <c r="U236" s="5"/>
      <c r="V236" s="5"/>
      <c r="W236" s="5"/>
      <c r="X236" s="5"/>
      <c r="Y236" s="5"/>
      <c r="Z236" s="5"/>
    </row>
    <row r="237" spans="1:26" ht="12.75" customHeight="1" x14ac:dyDescent="0.25">
      <c r="A237" s="105" t="s">
        <v>428</v>
      </c>
      <c r="B237" s="15">
        <v>223</v>
      </c>
      <c r="C237" s="109" t="s">
        <v>519</v>
      </c>
      <c r="D237" s="406" t="s">
        <v>208</v>
      </c>
      <c r="E237" s="370"/>
      <c r="F237" s="371"/>
      <c r="G237" s="107"/>
      <c r="H237" s="385"/>
      <c r="I237" s="5"/>
      <c r="J237" s="5"/>
      <c r="K237" s="5"/>
      <c r="L237" s="5"/>
      <c r="M237" s="5"/>
      <c r="N237" s="5"/>
      <c r="O237" s="5"/>
      <c r="P237" s="5"/>
      <c r="Q237" s="5"/>
      <c r="R237" s="5"/>
      <c r="S237" s="5"/>
      <c r="T237" s="5"/>
      <c r="U237" s="5"/>
      <c r="V237" s="5"/>
      <c r="W237" s="5"/>
      <c r="X237" s="5"/>
      <c r="Y237" s="5"/>
      <c r="Z237" s="5"/>
    </row>
    <row r="238" spans="1:26" ht="26.25" customHeight="1" x14ac:dyDescent="0.25">
      <c r="A238" s="110" t="s">
        <v>520</v>
      </c>
      <c r="B238" s="15">
        <v>224</v>
      </c>
      <c r="C238" s="106" t="s">
        <v>521</v>
      </c>
      <c r="D238" s="406" t="s">
        <v>203</v>
      </c>
      <c r="E238" s="370"/>
      <c r="F238" s="371"/>
      <c r="G238" s="111" t="s">
        <v>522</v>
      </c>
      <c r="H238" s="385"/>
      <c r="I238" s="5"/>
      <c r="J238" s="5"/>
      <c r="K238" s="5"/>
      <c r="L238" s="5"/>
      <c r="M238" s="5"/>
      <c r="N238" s="5"/>
      <c r="O238" s="5"/>
      <c r="P238" s="5"/>
      <c r="Q238" s="5"/>
      <c r="R238" s="5"/>
      <c r="S238" s="5"/>
      <c r="T238" s="5"/>
      <c r="U238" s="5"/>
      <c r="V238" s="5"/>
      <c r="W238" s="5"/>
      <c r="X238" s="5"/>
      <c r="Y238" s="5"/>
      <c r="Z238" s="5"/>
    </row>
    <row r="239" spans="1:26" ht="12.75" customHeight="1" x14ac:dyDescent="0.25">
      <c r="A239" s="110" t="s">
        <v>520</v>
      </c>
      <c r="B239" s="15">
        <v>225</v>
      </c>
      <c r="C239" s="109" t="s">
        <v>523</v>
      </c>
      <c r="D239" s="406" t="s">
        <v>208</v>
      </c>
      <c r="E239" s="370"/>
      <c r="F239" s="371"/>
      <c r="G239" s="107"/>
      <c r="H239" s="385"/>
      <c r="I239" s="5"/>
      <c r="J239" s="5"/>
      <c r="K239" s="5"/>
      <c r="L239" s="5"/>
      <c r="M239" s="5"/>
      <c r="N239" s="5"/>
      <c r="O239" s="5"/>
      <c r="P239" s="5"/>
      <c r="Q239" s="5"/>
      <c r="R239" s="5"/>
      <c r="S239" s="5"/>
      <c r="T239" s="5"/>
      <c r="U239" s="5"/>
      <c r="V239" s="5"/>
      <c r="W239" s="5"/>
      <c r="X239" s="5"/>
      <c r="Y239" s="5"/>
      <c r="Z239" s="5"/>
    </row>
    <row r="240" spans="1:26" ht="12.75" customHeight="1" x14ac:dyDescent="0.25">
      <c r="A240" s="110" t="s">
        <v>520</v>
      </c>
      <c r="B240" s="15">
        <v>226</v>
      </c>
      <c r="C240" s="109" t="s">
        <v>524</v>
      </c>
      <c r="D240" s="406" t="s">
        <v>208</v>
      </c>
      <c r="E240" s="370"/>
      <c r="F240" s="371"/>
      <c r="G240" s="107"/>
      <c r="H240" s="385"/>
      <c r="I240" s="5"/>
      <c r="J240" s="5"/>
      <c r="K240" s="5"/>
      <c r="L240" s="5"/>
      <c r="M240" s="5"/>
      <c r="N240" s="5"/>
      <c r="O240" s="5"/>
      <c r="P240" s="5"/>
      <c r="Q240" s="5"/>
      <c r="R240" s="5"/>
      <c r="S240" s="5"/>
      <c r="T240" s="5"/>
      <c r="U240" s="5"/>
      <c r="V240" s="5"/>
      <c r="W240" s="5"/>
      <c r="X240" s="5"/>
      <c r="Y240" s="5"/>
      <c r="Z240" s="5"/>
    </row>
    <row r="241" spans="1:26" ht="12.75" customHeight="1" x14ac:dyDescent="0.25">
      <c r="A241" s="110" t="s">
        <v>520</v>
      </c>
      <c r="B241" s="15">
        <v>227</v>
      </c>
      <c r="C241" s="109" t="s">
        <v>525</v>
      </c>
      <c r="D241" s="406" t="s">
        <v>203</v>
      </c>
      <c r="E241" s="370"/>
      <c r="F241" s="371"/>
      <c r="G241" s="107" t="s">
        <v>526</v>
      </c>
      <c r="H241" s="385"/>
      <c r="I241" s="5"/>
      <c r="J241" s="5"/>
      <c r="K241" s="5"/>
      <c r="L241" s="5"/>
      <c r="M241" s="5"/>
      <c r="N241" s="5"/>
      <c r="O241" s="5"/>
      <c r="P241" s="5"/>
      <c r="Q241" s="5"/>
      <c r="R241" s="5"/>
      <c r="S241" s="5"/>
      <c r="T241" s="5"/>
      <c r="U241" s="5"/>
      <c r="V241" s="5"/>
      <c r="W241" s="5"/>
      <c r="X241" s="5"/>
      <c r="Y241" s="5"/>
      <c r="Z241" s="5"/>
    </row>
    <row r="242" spans="1:26" ht="12.75" customHeight="1" x14ac:dyDescent="0.25">
      <c r="A242" s="110" t="s">
        <v>520</v>
      </c>
      <c r="B242" s="15">
        <v>228</v>
      </c>
      <c r="C242" s="109" t="s">
        <v>527</v>
      </c>
      <c r="D242" s="406" t="s">
        <v>203</v>
      </c>
      <c r="E242" s="370"/>
      <c r="F242" s="371"/>
      <c r="G242" s="107" t="s">
        <v>526</v>
      </c>
      <c r="H242" s="385"/>
      <c r="I242" s="5"/>
      <c r="J242" s="5"/>
      <c r="K242" s="5"/>
      <c r="L242" s="5"/>
      <c r="M242" s="5"/>
      <c r="N242" s="5"/>
      <c r="O242" s="5"/>
      <c r="P242" s="5"/>
      <c r="Q242" s="5"/>
      <c r="R242" s="5"/>
      <c r="S242" s="5"/>
      <c r="T242" s="5"/>
      <c r="U242" s="5"/>
      <c r="V242" s="5"/>
      <c r="W242" s="5"/>
      <c r="X242" s="5"/>
      <c r="Y242" s="5"/>
      <c r="Z242" s="5"/>
    </row>
    <row r="243" spans="1:26" ht="12.75" customHeight="1" x14ac:dyDescent="0.25">
      <c r="A243" s="110" t="s">
        <v>520</v>
      </c>
      <c r="B243" s="15">
        <v>229</v>
      </c>
      <c r="C243" s="109" t="s">
        <v>528</v>
      </c>
      <c r="D243" s="406" t="s">
        <v>203</v>
      </c>
      <c r="E243" s="370"/>
      <c r="F243" s="371"/>
      <c r="G243" s="107" t="s">
        <v>529</v>
      </c>
      <c r="H243" s="385"/>
      <c r="I243" s="5"/>
      <c r="J243" s="5"/>
      <c r="K243" s="5"/>
      <c r="L243" s="5"/>
      <c r="M243" s="5"/>
      <c r="N243" s="5"/>
      <c r="O243" s="5"/>
      <c r="P243" s="5"/>
      <c r="Q243" s="5"/>
      <c r="R243" s="5"/>
      <c r="S243" s="5"/>
      <c r="T243" s="5"/>
      <c r="U243" s="5"/>
      <c r="V243" s="5"/>
      <c r="W243" s="5"/>
      <c r="X243" s="5"/>
      <c r="Y243" s="5"/>
      <c r="Z243" s="5"/>
    </row>
    <row r="244" spans="1:26" ht="12.75" customHeight="1" x14ac:dyDescent="0.25">
      <c r="A244" s="110" t="s">
        <v>520</v>
      </c>
      <c r="B244" s="15">
        <v>230</v>
      </c>
      <c r="C244" s="109" t="s">
        <v>530</v>
      </c>
      <c r="D244" s="406" t="s">
        <v>208</v>
      </c>
      <c r="E244" s="370"/>
      <c r="F244" s="371"/>
      <c r="G244" s="107"/>
      <c r="H244" s="385"/>
      <c r="I244" s="5"/>
      <c r="J244" s="5"/>
      <c r="K244" s="5"/>
      <c r="L244" s="5"/>
      <c r="M244" s="5"/>
      <c r="N244" s="5"/>
      <c r="O244" s="5"/>
      <c r="P244" s="5"/>
      <c r="Q244" s="5"/>
      <c r="R244" s="5"/>
      <c r="S244" s="5"/>
      <c r="T244" s="5"/>
      <c r="U244" s="5"/>
      <c r="V244" s="5"/>
      <c r="W244" s="5"/>
      <c r="X244" s="5"/>
      <c r="Y244" s="5"/>
      <c r="Z244" s="5"/>
    </row>
    <row r="245" spans="1:26" ht="12.75" customHeight="1" x14ac:dyDescent="0.25">
      <c r="A245" s="110" t="s">
        <v>520</v>
      </c>
      <c r="B245" s="15">
        <v>231</v>
      </c>
      <c r="C245" s="109" t="s">
        <v>531</v>
      </c>
      <c r="D245" s="406" t="s">
        <v>203</v>
      </c>
      <c r="E245" s="370"/>
      <c r="F245" s="371"/>
      <c r="G245" s="107" t="s">
        <v>532</v>
      </c>
      <c r="H245" s="385"/>
      <c r="I245" s="5"/>
      <c r="J245" s="5"/>
      <c r="K245" s="5"/>
      <c r="L245" s="5"/>
      <c r="M245" s="5"/>
      <c r="N245" s="5"/>
      <c r="O245" s="5"/>
      <c r="P245" s="5"/>
      <c r="Q245" s="5"/>
      <c r="R245" s="5"/>
      <c r="S245" s="5"/>
      <c r="T245" s="5"/>
      <c r="U245" s="5"/>
      <c r="V245" s="5"/>
      <c r="W245" s="5"/>
      <c r="X245" s="5"/>
      <c r="Y245" s="5"/>
      <c r="Z245" s="5"/>
    </row>
    <row r="246" spans="1:26" ht="12.75" customHeight="1" x14ac:dyDescent="0.25">
      <c r="A246" s="110" t="s">
        <v>520</v>
      </c>
      <c r="B246" s="15">
        <v>232</v>
      </c>
      <c r="C246" s="109" t="s">
        <v>533</v>
      </c>
      <c r="D246" s="406" t="s">
        <v>208</v>
      </c>
      <c r="E246" s="370"/>
      <c r="F246" s="371"/>
      <c r="G246" s="107"/>
      <c r="H246" s="385"/>
      <c r="I246" s="5"/>
      <c r="J246" s="5"/>
      <c r="K246" s="5"/>
      <c r="L246" s="5"/>
      <c r="M246" s="5"/>
      <c r="N246" s="5"/>
      <c r="O246" s="5"/>
      <c r="P246" s="5"/>
      <c r="Q246" s="5"/>
      <c r="R246" s="5"/>
      <c r="S246" s="5"/>
      <c r="T246" s="5"/>
      <c r="U246" s="5"/>
      <c r="V246" s="5"/>
      <c r="W246" s="5"/>
      <c r="X246" s="5"/>
      <c r="Y246" s="5"/>
      <c r="Z246" s="5"/>
    </row>
    <row r="247" spans="1:26" ht="12.75" customHeight="1" x14ac:dyDescent="0.25">
      <c r="A247" s="110" t="s">
        <v>520</v>
      </c>
      <c r="B247" s="15">
        <v>233</v>
      </c>
      <c r="C247" s="109" t="s">
        <v>534</v>
      </c>
      <c r="D247" s="406" t="s">
        <v>203</v>
      </c>
      <c r="E247" s="370"/>
      <c r="F247" s="371"/>
      <c r="G247" s="107" t="s">
        <v>535</v>
      </c>
      <c r="H247" s="385"/>
      <c r="I247" s="5"/>
      <c r="J247" s="5"/>
      <c r="K247" s="5"/>
      <c r="L247" s="5"/>
      <c r="M247" s="5"/>
      <c r="N247" s="5"/>
      <c r="O247" s="5"/>
      <c r="P247" s="5"/>
      <c r="Q247" s="5"/>
      <c r="R247" s="5"/>
      <c r="S247" s="5"/>
      <c r="T247" s="5"/>
      <c r="U247" s="5"/>
      <c r="V247" s="5"/>
      <c r="W247" s="5"/>
      <c r="X247" s="5"/>
      <c r="Y247" s="5"/>
      <c r="Z247" s="5"/>
    </row>
    <row r="248" spans="1:26" ht="12.75" customHeight="1" x14ac:dyDescent="0.25">
      <c r="A248" s="110" t="s">
        <v>520</v>
      </c>
      <c r="B248" s="15">
        <v>234</v>
      </c>
      <c r="C248" s="109" t="s">
        <v>536</v>
      </c>
      <c r="D248" s="406" t="s">
        <v>208</v>
      </c>
      <c r="E248" s="370"/>
      <c r="F248" s="371"/>
      <c r="G248" s="107"/>
      <c r="H248" s="385"/>
      <c r="I248" s="5"/>
      <c r="J248" s="5"/>
      <c r="K248" s="5"/>
      <c r="L248" s="5"/>
      <c r="M248" s="5"/>
      <c r="N248" s="5"/>
      <c r="O248" s="5"/>
      <c r="P248" s="5"/>
      <c r="Q248" s="5"/>
      <c r="R248" s="5"/>
      <c r="S248" s="5"/>
      <c r="T248" s="5"/>
      <c r="U248" s="5"/>
      <c r="V248" s="5"/>
      <c r="W248" s="5"/>
      <c r="X248" s="5"/>
      <c r="Y248" s="5"/>
      <c r="Z248" s="5"/>
    </row>
    <row r="249" spans="1:26" ht="12.75" customHeight="1" x14ac:dyDescent="0.25">
      <c r="A249" s="110" t="s">
        <v>520</v>
      </c>
      <c r="B249" s="15">
        <v>235</v>
      </c>
      <c r="C249" s="109" t="s">
        <v>537</v>
      </c>
      <c r="D249" s="406" t="s">
        <v>208</v>
      </c>
      <c r="E249" s="370"/>
      <c r="F249" s="371"/>
      <c r="G249" s="107"/>
      <c r="H249" s="385"/>
      <c r="I249" s="5"/>
      <c r="J249" s="5"/>
      <c r="K249" s="5"/>
      <c r="L249" s="5"/>
      <c r="M249" s="5"/>
      <c r="N249" s="5"/>
      <c r="O249" s="5"/>
      <c r="P249" s="5"/>
      <c r="Q249" s="5"/>
      <c r="R249" s="5"/>
      <c r="S249" s="5"/>
      <c r="T249" s="5"/>
      <c r="U249" s="5"/>
      <c r="V249" s="5"/>
      <c r="W249" s="5"/>
      <c r="X249" s="5"/>
      <c r="Y249" s="5"/>
      <c r="Z249" s="5"/>
    </row>
    <row r="250" spans="1:26" ht="12.75" customHeight="1" x14ac:dyDescent="0.25">
      <c r="A250" s="110" t="s">
        <v>520</v>
      </c>
      <c r="B250" s="15">
        <v>236</v>
      </c>
      <c r="C250" s="109" t="s">
        <v>538</v>
      </c>
      <c r="D250" s="406" t="s">
        <v>208</v>
      </c>
      <c r="E250" s="370"/>
      <c r="F250" s="371"/>
      <c r="G250" s="107"/>
      <c r="H250" s="385"/>
      <c r="I250" s="5"/>
      <c r="J250" s="5"/>
      <c r="K250" s="5"/>
      <c r="L250" s="5"/>
      <c r="M250" s="5"/>
      <c r="N250" s="5"/>
      <c r="O250" s="5"/>
      <c r="P250" s="5"/>
      <c r="Q250" s="5"/>
      <c r="R250" s="5"/>
      <c r="S250" s="5"/>
      <c r="T250" s="5"/>
      <c r="U250" s="5"/>
      <c r="V250" s="5"/>
      <c r="W250" s="5"/>
      <c r="X250" s="5"/>
      <c r="Y250" s="5"/>
      <c r="Z250" s="5"/>
    </row>
    <row r="251" spans="1:26" ht="15.75" customHeight="1" x14ac:dyDescent="0.25">
      <c r="A251" s="110" t="s">
        <v>520</v>
      </c>
      <c r="B251" s="15">
        <v>237</v>
      </c>
      <c r="C251" s="109" t="s">
        <v>539</v>
      </c>
      <c r="D251" s="406" t="s">
        <v>203</v>
      </c>
      <c r="E251" s="370"/>
      <c r="F251" s="371"/>
      <c r="G251" s="107" t="s">
        <v>540</v>
      </c>
      <c r="H251" s="385"/>
      <c r="I251" s="5"/>
      <c r="J251" s="5"/>
      <c r="K251" s="5"/>
      <c r="L251" s="5"/>
      <c r="M251" s="5"/>
      <c r="N251" s="5"/>
      <c r="O251" s="5"/>
      <c r="P251" s="5"/>
      <c r="Q251" s="5"/>
      <c r="R251" s="5"/>
      <c r="S251" s="5"/>
      <c r="T251" s="5"/>
      <c r="U251" s="5"/>
      <c r="V251" s="5"/>
      <c r="W251" s="5"/>
      <c r="X251" s="5"/>
      <c r="Y251" s="5"/>
      <c r="Z251" s="5"/>
    </row>
    <row r="252" spans="1:26" ht="12.75" customHeight="1" x14ac:dyDescent="0.25">
      <c r="A252" s="110" t="s">
        <v>520</v>
      </c>
      <c r="B252" s="15">
        <v>238</v>
      </c>
      <c r="C252" s="109" t="s">
        <v>541</v>
      </c>
      <c r="D252" s="406" t="s">
        <v>208</v>
      </c>
      <c r="E252" s="370"/>
      <c r="F252" s="371"/>
      <c r="G252" s="107"/>
      <c r="H252" s="385"/>
      <c r="I252" s="5"/>
      <c r="J252" s="5"/>
      <c r="K252" s="5"/>
      <c r="L252" s="5"/>
      <c r="M252" s="5"/>
      <c r="N252" s="5"/>
      <c r="O252" s="5"/>
      <c r="P252" s="5"/>
      <c r="Q252" s="5"/>
      <c r="R252" s="5"/>
      <c r="S252" s="5"/>
      <c r="T252" s="5"/>
      <c r="U252" s="5"/>
      <c r="V252" s="5"/>
      <c r="W252" s="5"/>
      <c r="X252" s="5"/>
      <c r="Y252" s="5"/>
      <c r="Z252" s="5"/>
    </row>
    <row r="253" spans="1:26" ht="12.75" customHeight="1" x14ac:dyDescent="0.25">
      <c r="A253" s="110" t="s">
        <v>520</v>
      </c>
      <c r="B253" s="15">
        <v>239</v>
      </c>
      <c r="C253" s="109" t="s">
        <v>542</v>
      </c>
      <c r="D253" s="406" t="s">
        <v>208</v>
      </c>
      <c r="E253" s="370"/>
      <c r="F253" s="371"/>
      <c r="G253" s="107"/>
      <c r="H253" s="385"/>
      <c r="I253" s="5"/>
      <c r="J253" s="5"/>
      <c r="K253" s="5"/>
      <c r="L253" s="5"/>
      <c r="M253" s="5"/>
      <c r="N253" s="5"/>
      <c r="O253" s="5"/>
      <c r="P253" s="5"/>
      <c r="Q253" s="5"/>
      <c r="R253" s="5"/>
      <c r="S253" s="5"/>
      <c r="T253" s="5"/>
      <c r="U253" s="5"/>
      <c r="V253" s="5"/>
      <c r="W253" s="5"/>
      <c r="X253" s="5"/>
      <c r="Y253" s="5"/>
      <c r="Z253" s="5"/>
    </row>
    <row r="254" spans="1:26" ht="12.75" customHeight="1" x14ac:dyDescent="0.25">
      <c r="A254" s="110" t="s">
        <v>520</v>
      </c>
      <c r="B254" s="15">
        <v>240</v>
      </c>
      <c r="C254" s="109" t="s">
        <v>543</v>
      </c>
      <c r="D254" s="406" t="s">
        <v>208</v>
      </c>
      <c r="E254" s="370"/>
      <c r="F254" s="371"/>
      <c r="G254" s="107"/>
      <c r="H254" s="385"/>
      <c r="I254" s="5"/>
      <c r="J254" s="5"/>
      <c r="K254" s="5"/>
      <c r="L254" s="5"/>
      <c r="M254" s="5"/>
      <c r="N254" s="5"/>
      <c r="O254" s="5"/>
      <c r="P254" s="5"/>
      <c r="Q254" s="5"/>
      <c r="R254" s="5"/>
      <c r="S254" s="5"/>
      <c r="T254" s="5"/>
      <c r="U254" s="5"/>
      <c r="V254" s="5"/>
      <c r="W254" s="5"/>
      <c r="X254" s="5"/>
      <c r="Y254" s="5"/>
      <c r="Z254" s="5"/>
    </row>
    <row r="255" spans="1:26" ht="15.75" customHeight="1" x14ac:dyDescent="0.25">
      <c r="A255" s="110" t="s">
        <v>520</v>
      </c>
      <c r="B255" s="15">
        <v>241</v>
      </c>
      <c r="C255" s="109" t="s">
        <v>544</v>
      </c>
      <c r="D255" s="406" t="s">
        <v>203</v>
      </c>
      <c r="E255" s="370"/>
      <c r="F255" s="371"/>
      <c r="G255" s="107" t="s">
        <v>545</v>
      </c>
      <c r="H255" s="385"/>
      <c r="I255" s="5"/>
      <c r="J255" s="5"/>
      <c r="K255" s="5"/>
      <c r="L255" s="5"/>
      <c r="M255" s="5"/>
      <c r="N255" s="5"/>
      <c r="O255" s="5"/>
      <c r="P255" s="5"/>
      <c r="Q255" s="5"/>
      <c r="R255" s="5"/>
      <c r="S255" s="5"/>
      <c r="T255" s="5"/>
      <c r="U255" s="5"/>
      <c r="V255" s="5"/>
      <c r="W255" s="5"/>
      <c r="X255" s="5"/>
      <c r="Y255" s="5"/>
      <c r="Z255" s="5"/>
    </row>
    <row r="256" spans="1:26" ht="15.75" customHeight="1" x14ac:dyDescent="0.25">
      <c r="A256" s="110" t="s">
        <v>520</v>
      </c>
      <c r="B256" s="15">
        <v>242</v>
      </c>
      <c r="C256" s="109" t="s">
        <v>546</v>
      </c>
      <c r="D256" s="406" t="s">
        <v>208</v>
      </c>
      <c r="E256" s="370"/>
      <c r="F256" s="371"/>
      <c r="G256" s="107"/>
      <c r="H256" s="385"/>
      <c r="I256" s="5"/>
      <c r="J256" s="5"/>
      <c r="K256" s="5"/>
      <c r="L256" s="5"/>
      <c r="M256" s="5"/>
      <c r="N256" s="5"/>
      <c r="O256" s="5"/>
      <c r="P256" s="5"/>
      <c r="Q256" s="5"/>
      <c r="R256" s="5"/>
      <c r="S256" s="5"/>
      <c r="T256" s="5"/>
      <c r="U256" s="5"/>
      <c r="V256" s="5"/>
      <c r="W256" s="5"/>
      <c r="X256" s="5"/>
      <c r="Y256" s="5"/>
      <c r="Z256" s="5"/>
    </row>
    <row r="257" spans="1:26" ht="12.75" customHeight="1" x14ac:dyDescent="0.25">
      <c r="A257" s="110" t="s">
        <v>520</v>
      </c>
      <c r="B257" s="15">
        <v>243</v>
      </c>
      <c r="C257" s="109" t="s">
        <v>547</v>
      </c>
      <c r="D257" s="406" t="s">
        <v>208</v>
      </c>
      <c r="E257" s="370"/>
      <c r="F257" s="371"/>
      <c r="G257" s="107"/>
      <c r="H257" s="385"/>
      <c r="I257" s="5"/>
      <c r="J257" s="5"/>
      <c r="K257" s="5"/>
      <c r="L257" s="5"/>
      <c r="M257" s="5"/>
      <c r="N257" s="5"/>
      <c r="O257" s="5"/>
      <c r="P257" s="5"/>
      <c r="Q257" s="5"/>
      <c r="R257" s="5"/>
      <c r="S257" s="5"/>
      <c r="T257" s="5"/>
      <c r="U257" s="5"/>
      <c r="V257" s="5"/>
      <c r="W257" s="5"/>
      <c r="X257" s="5"/>
      <c r="Y257" s="5"/>
      <c r="Z257" s="5"/>
    </row>
    <row r="258" spans="1:26" ht="12.75" customHeight="1" x14ac:dyDescent="0.25">
      <c r="A258" s="110" t="s">
        <v>520</v>
      </c>
      <c r="B258" s="15">
        <v>244</v>
      </c>
      <c r="C258" s="109" t="s">
        <v>548</v>
      </c>
      <c r="D258" s="406" t="s">
        <v>208</v>
      </c>
      <c r="E258" s="370"/>
      <c r="F258" s="371"/>
      <c r="G258" s="107"/>
      <c r="H258" s="385"/>
      <c r="I258" s="5"/>
      <c r="J258" s="5"/>
      <c r="K258" s="5"/>
      <c r="L258" s="5"/>
      <c r="M258" s="5"/>
      <c r="N258" s="5"/>
      <c r="O258" s="5"/>
      <c r="P258" s="5"/>
      <c r="Q258" s="5"/>
      <c r="R258" s="5"/>
      <c r="S258" s="5"/>
      <c r="T258" s="5"/>
      <c r="U258" s="5"/>
      <c r="V258" s="5"/>
      <c r="W258" s="5"/>
      <c r="X258" s="5"/>
      <c r="Y258" s="5"/>
      <c r="Z258" s="5"/>
    </row>
    <row r="259" spans="1:26" ht="12.75" customHeight="1" x14ac:dyDescent="0.25">
      <c r="A259" s="110" t="s">
        <v>520</v>
      </c>
      <c r="B259" s="15">
        <v>245</v>
      </c>
      <c r="C259" s="109" t="s">
        <v>549</v>
      </c>
      <c r="D259" s="406" t="s">
        <v>203</v>
      </c>
      <c r="E259" s="370"/>
      <c r="F259" s="371"/>
      <c r="G259" s="107" t="s">
        <v>550</v>
      </c>
      <c r="H259" s="385"/>
      <c r="I259" s="5"/>
      <c r="J259" s="5"/>
      <c r="K259" s="5"/>
      <c r="L259" s="5"/>
      <c r="M259" s="5"/>
      <c r="N259" s="5"/>
      <c r="O259" s="5"/>
      <c r="P259" s="5"/>
      <c r="Q259" s="5"/>
      <c r="R259" s="5"/>
      <c r="S259" s="5"/>
      <c r="T259" s="5"/>
      <c r="U259" s="5"/>
      <c r="V259" s="5"/>
      <c r="W259" s="5"/>
      <c r="X259" s="5"/>
      <c r="Y259" s="5"/>
      <c r="Z259" s="5"/>
    </row>
    <row r="260" spans="1:26" ht="12.75" customHeight="1" x14ac:dyDescent="0.25">
      <c r="A260" s="110" t="s">
        <v>520</v>
      </c>
      <c r="B260" s="15">
        <v>246</v>
      </c>
      <c r="C260" s="109" t="s">
        <v>551</v>
      </c>
      <c r="D260" s="406" t="s">
        <v>208</v>
      </c>
      <c r="E260" s="370"/>
      <c r="F260" s="371"/>
      <c r="G260" s="107"/>
      <c r="H260" s="385"/>
      <c r="I260" s="5"/>
      <c r="J260" s="5"/>
      <c r="K260" s="5"/>
      <c r="L260" s="5"/>
      <c r="M260" s="5"/>
      <c r="N260" s="5"/>
      <c r="O260" s="5"/>
      <c r="P260" s="5"/>
      <c r="Q260" s="5"/>
      <c r="R260" s="5"/>
      <c r="S260" s="5"/>
      <c r="T260" s="5"/>
      <c r="U260" s="5"/>
      <c r="V260" s="5"/>
      <c r="W260" s="5"/>
      <c r="X260" s="5"/>
      <c r="Y260" s="5"/>
      <c r="Z260" s="5"/>
    </row>
    <row r="261" spans="1:26" ht="12.75" customHeight="1" x14ac:dyDescent="0.25">
      <c r="A261" s="110" t="s">
        <v>520</v>
      </c>
      <c r="B261" s="15">
        <v>247</v>
      </c>
      <c r="C261" s="109" t="s">
        <v>552</v>
      </c>
      <c r="D261" s="406" t="s">
        <v>208</v>
      </c>
      <c r="E261" s="370"/>
      <c r="F261" s="371"/>
      <c r="G261" s="107"/>
      <c r="H261" s="385"/>
      <c r="I261" s="5"/>
      <c r="J261" s="5"/>
      <c r="K261" s="5"/>
      <c r="L261" s="5"/>
      <c r="M261" s="5"/>
      <c r="N261" s="5"/>
      <c r="O261" s="5"/>
      <c r="P261" s="5"/>
      <c r="Q261" s="5"/>
      <c r="R261" s="5"/>
      <c r="S261" s="5"/>
      <c r="T261" s="5"/>
      <c r="U261" s="5"/>
      <c r="V261" s="5"/>
      <c r="W261" s="5"/>
      <c r="X261" s="5"/>
      <c r="Y261" s="5"/>
      <c r="Z261" s="5"/>
    </row>
    <row r="262" spans="1:26" ht="12.75" customHeight="1" x14ac:dyDescent="0.25">
      <c r="A262" s="110" t="s">
        <v>520</v>
      </c>
      <c r="B262" s="15">
        <v>248</v>
      </c>
      <c r="C262" s="109" t="s">
        <v>553</v>
      </c>
      <c r="D262" s="406" t="s">
        <v>208</v>
      </c>
      <c r="E262" s="370"/>
      <c r="F262" s="371"/>
      <c r="G262" s="107"/>
      <c r="H262" s="385"/>
      <c r="I262" s="5"/>
      <c r="J262" s="5"/>
      <c r="K262" s="5"/>
      <c r="L262" s="5"/>
      <c r="M262" s="5"/>
      <c r="N262" s="5"/>
      <c r="O262" s="5"/>
      <c r="P262" s="5"/>
      <c r="Q262" s="5"/>
      <c r="R262" s="5"/>
      <c r="S262" s="5"/>
      <c r="T262" s="5"/>
      <c r="U262" s="5"/>
      <c r="V262" s="5"/>
      <c r="W262" s="5"/>
      <c r="X262" s="5"/>
      <c r="Y262" s="5"/>
      <c r="Z262" s="5"/>
    </row>
    <row r="263" spans="1:26" ht="12.75" customHeight="1" x14ac:dyDescent="0.25">
      <c r="A263" s="110" t="s">
        <v>520</v>
      </c>
      <c r="B263" s="15">
        <v>249</v>
      </c>
      <c r="C263" s="109" t="s">
        <v>554</v>
      </c>
      <c r="D263" s="406" t="s">
        <v>247</v>
      </c>
      <c r="E263" s="370"/>
      <c r="F263" s="371"/>
      <c r="G263" s="107"/>
      <c r="H263" s="385"/>
      <c r="I263" s="5"/>
      <c r="J263" s="5"/>
      <c r="K263" s="5"/>
      <c r="L263" s="5"/>
      <c r="M263" s="5"/>
      <c r="N263" s="5"/>
      <c r="O263" s="5"/>
      <c r="P263" s="5"/>
      <c r="Q263" s="5"/>
      <c r="R263" s="5"/>
      <c r="S263" s="5"/>
      <c r="T263" s="5"/>
      <c r="U263" s="5"/>
      <c r="V263" s="5"/>
      <c r="W263" s="5"/>
      <c r="X263" s="5"/>
      <c r="Y263" s="5"/>
      <c r="Z263" s="5"/>
    </row>
    <row r="264" spans="1:26" ht="12.75" customHeight="1" x14ac:dyDescent="0.25">
      <c r="A264" s="110" t="s">
        <v>520</v>
      </c>
      <c r="B264" s="15">
        <v>250</v>
      </c>
      <c r="C264" s="109" t="s">
        <v>555</v>
      </c>
      <c r="D264" s="406" t="s">
        <v>203</v>
      </c>
      <c r="E264" s="370"/>
      <c r="F264" s="371"/>
      <c r="G264" s="107"/>
      <c r="H264" s="385"/>
      <c r="I264" s="5"/>
      <c r="J264" s="5"/>
      <c r="K264" s="5"/>
      <c r="L264" s="5"/>
      <c r="M264" s="5"/>
      <c r="N264" s="5"/>
      <c r="O264" s="5"/>
      <c r="P264" s="5"/>
      <c r="Q264" s="5"/>
      <c r="R264" s="5"/>
      <c r="S264" s="5"/>
      <c r="T264" s="5"/>
      <c r="U264" s="5"/>
      <c r="V264" s="5"/>
      <c r="W264" s="5"/>
      <c r="X264" s="5"/>
      <c r="Y264" s="5"/>
      <c r="Z264" s="5"/>
    </row>
    <row r="265" spans="1:26" ht="12.75" customHeight="1" x14ac:dyDescent="0.25">
      <c r="A265" s="110" t="s">
        <v>520</v>
      </c>
      <c r="B265" s="15">
        <v>251</v>
      </c>
      <c r="C265" s="109" t="s">
        <v>556</v>
      </c>
      <c r="D265" s="406" t="s">
        <v>208</v>
      </c>
      <c r="E265" s="370"/>
      <c r="F265" s="371"/>
      <c r="G265" s="107"/>
      <c r="H265" s="385"/>
      <c r="I265" s="5"/>
      <c r="J265" s="5"/>
      <c r="K265" s="5"/>
      <c r="L265" s="5"/>
      <c r="M265" s="5"/>
      <c r="N265" s="5"/>
      <c r="O265" s="5"/>
      <c r="P265" s="5"/>
      <c r="Q265" s="5"/>
      <c r="R265" s="5"/>
      <c r="S265" s="5"/>
      <c r="T265" s="5"/>
      <c r="U265" s="5"/>
      <c r="V265" s="5"/>
      <c r="W265" s="5"/>
      <c r="X265" s="5"/>
      <c r="Y265" s="5"/>
      <c r="Z265" s="5"/>
    </row>
    <row r="266" spans="1:26" ht="12.75" customHeight="1" x14ac:dyDescent="0.25">
      <c r="A266" s="110" t="s">
        <v>520</v>
      </c>
      <c r="B266" s="15">
        <v>252</v>
      </c>
      <c r="C266" s="109" t="s">
        <v>557</v>
      </c>
      <c r="D266" s="406" t="s">
        <v>208</v>
      </c>
      <c r="E266" s="370"/>
      <c r="F266" s="371"/>
      <c r="G266" s="107"/>
      <c r="H266" s="385"/>
      <c r="I266" s="5"/>
      <c r="J266" s="5"/>
      <c r="K266" s="5"/>
      <c r="L266" s="5"/>
      <c r="M266" s="5"/>
      <c r="N266" s="5"/>
      <c r="O266" s="5"/>
      <c r="P266" s="5"/>
      <c r="Q266" s="5"/>
      <c r="R266" s="5"/>
      <c r="S266" s="5"/>
      <c r="T266" s="5"/>
      <c r="U266" s="5"/>
      <c r="V266" s="5"/>
      <c r="W266" s="5"/>
      <c r="X266" s="5"/>
      <c r="Y266" s="5"/>
      <c r="Z266" s="5"/>
    </row>
    <row r="267" spans="1:26" ht="12.75" customHeight="1" x14ac:dyDescent="0.25">
      <c r="A267" s="110" t="s">
        <v>520</v>
      </c>
      <c r="B267" s="15">
        <v>253</v>
      </c>
      <c r="C267" s="109" t="s">
        <v>558</v>
      </c>
      <c r="D267" s="406" t="s">
        <v>208</v>
      </c>
      <c r="E267" s="370"/>
      <c r="F267" s="371"/>
      <c r="G267" s="107"/>
      <c r="H267" s="385"/>
      <c r="I267" s="5"/>
      <c r="J267" s="5"/>
      <c r="K267" s="5"/>
      <c r="L267" s="5"/>
      <c r="M267" s="5"/>
      <c r="N267" s="5"/>
      <c r="O267" s="5"/>
      <c r="P267" s="5"/>
      <c r="Q267" s="5"/>
      <c r="R267" s="5"/>
      <c r="S267" s="5"/>
      <c r="T267" s="5"/>
      <c r="U267" s="5"/>
      <c r="V267" s="5"/>
      <c r="W267" s="5"/>
      <c r="X267" s="5"/>
      <c r="Y267" s="5"/>
      <c r="Z267" s="5"/>
    </row>
    <row r="268" spans="1:26" ht="15.75" customHeight="1" x14ac:dyDescent="0.25">
      <c r="A268" s="110" t="s">
        <v>520</v>
      </c>
      <c r="B268" s="15">
        <v>254</v>
      </c>
      <c r="C268" s="109" t="s">
        <v>559</v>
      </c>
      <c r="D268" s="406" t="s">
        <v>208</v>
      </c>
      <c r="E268" s="370"/>
      <c r="F268" s="371"/>
      <c r="G268" s="107"/>
      <c r="H268" s="385"/>
    </row>
    <row r="269" spans="1:26" ht="15.75" customHeight="1" x14ac:dyDescent="0.25">
      <c r="A269" s="110" t="s">
        <v>520</v>
      </c>
      <c r="B269" s="15">
        <v>255</v>
      </c>
      <c r="C269" s="109" t="s">
        <v>560</v>
      </c>
      <c r="D269" s="406" t="s">
        <v>203</v>
      </c>
      <c r="E269" s="370"/>
      <c r="F269" s="371"/>
      <c r="G269" s="107" t="s">
        <v>526</v>
      </c>
      <c r="H269" s="385"/>
    </row>
    <row r="270" spans="1:26" ht="15.75" customHeight="1" x14ac:dyDescent="0.25">
      <c r="A270" s="110" t="s">
        <v>520</v>
      </c>
      <c r="B270" s="15">
        <v>256</v>
      </c>
      <c r="C270" s="109" t="s">
        <v>561</v>
      </c>
      <c r="D270" s="406" t="s">
        <v>208</v>
      </c>
      <c r="E270" s="370"/>
      <c r="F270" s="371"/>
      <c r="G270" s="107"/>
      <c r="H270" s="385"/>
    </row>
    <row r="271" spans="1:26" ht="15.75" customHeight="1" x14ac:dyDescent="0.25">
      <c r="A271" s="110" t="s">
        <v>520</v>
      </c>
      <c r="B271" s="15">
        <v>257</v>
      </c>
      <c r="C271" s="109" t="s">
        <v>562</v>
      </c>
      <c r="D271" s="406" t="s">
        <v>203</v>
      </c>
      <c r="E271" s="370"/>
      <c r="F271" s="371"/>
      <c r="G271" s="107" t="s">
        <v>563</v>
      </c>
      <c r="H271" s="385"/>
    </row>
    <row r="272" spans="1:26" ht="15.75" customHeight="1" x14ac:dyDescent="0.25">
      <c r="A272" s="110" t="s">
        <v>520</v>
      </c>
      <c r="B272" s="15">
        <v>258</v>
      </c>
      <c r="C272" s="109" t="s">
        <v>564</v>
      </c>
      <c r="D272" s="406" t="s">
        <v>203</v>
      </c>
      <c r="E272" s="370"/>
      <c r="F272" s="371"/>
      <c r="G272" s="107" t="s">
        <v>565</v>
      </c>
      <c r="H272" s="385"/>
    </row>
    <row r="273" spans="1:8" ht="15.75" customHeight="1" x14ac:dyDescent="0.25">
      <c r="A273" s="110" t="s">
        <v>520</v>
      </c>
      <c r="B273" s="15">
        <v>259</v>
      </c>
      <c r="C273" s="109" t="s">
        <v>566</v>
      </c>
      <c r="D273" s="406" t="s">
        <v>208</v>
      </c>
      <c r="E273" s="370"/>
      <c r="F273" s="371"/>
      <c r="G273" s="107"/>
      <c r="H273" s="385"/>
    </row>
    <row r="274" spans="1:8" ht="15.75" customHeight="1" x14ac:dyDescent="0.25">
      <c r="A274" s="110" t="s">
        <v>520</v>
      </c>
      <c r="B274" s="15">
        <v>260</v>
      </c>
      <c r="C274" s="109" t="s">
        <v>567</v>
      </c>
      <c r="D274" s="406" t="s">
        <v>208</v>
      </c>
      <c r="E274" s="370"/>
      <c r="F274" s="371"/>
      <c r="G274" s="107"/>
      <c r="H274" s="385"/>
    </row>
    <row r="275" spans="1:8" ht="15.75" customHeight="1" x14ac:dyDescent="0.25">
      <c r="A275" s="110" t="s">
        <v>520</v>
      </c>
      <c r="B275" s="15">
        <v>261</v>
      </c>
      <c r="C275" s="109" t="s">
        <v>568</v>
      </c>
      <c r="D275" s="406" t="s">
        <v>208</v>
      </c>
      <c r="E275" s="370"/>
      <c r="F275" s="371"/>
      <c r="G275" s="107"/>
      <c r="H275" s="385"/>
    </row>
    <row r="276" spans="1:8" ht="15.75" customHeight="1" x14ac:dyDescent="0.25">
      <c r="A276" s="110" t="s">
        <v>520</v>
      </c>
      <c r="B276" s="15">
        <v>262</v>
      </c>
      <c r="C276" s="109" t="s">
        <v>569</v>
      </c>
      <c r="D276" s="406" t="s">
        <v>208</v>
      </c>
      <c r="E276" s="370"/>
      <c r="F276" s="371"/>
      <c r="G276" s="107"/>
      <c r="H276" s="385"/>
    </row>
    <row r="277" spans="1:8" ht="15.75" customHeight="1" x14ac:dyDescent="0.25">
      <c r="A277" s="110" t="s">
        <v>520</v>
      </c>
      <c r="B277" s="15">
        <v>263</v>
      </c>
      <c r="C277" s="109" t="s">
        <v>570</v>
      </c>
      <c r="D277" s="406" t="s">
        <v>208</v>
      </c>
      <c r="E277" s="370"/>
      <c r="F277" s="371"/>
      <c r="G277" s="107"/>
      <c r="H277" s="385"/>
    </row>
    <row r="278" spans="1:8" ht="15.75" customHeight="1" x14ac:dyDescent="0.25">
      <c r="A278" s="110" t="s">
        <v>520</v>
      </c>
      <c r="B278" s="15">
        <v>264</v>
      </c>
      <c r="C278" s="109" t="s">
        <v>571</v>
      </c>
      <c r="D278" s="406" t="s">
        <v>208</v>
      </c>
      <c r="E278" s="370"/>
      <c r="F278" s="371"/>
      <c r="G278" s="107"/>
      <c r="H278" s="385"/>
    </row>
    <row r="279" spans="1:8" ht="15.75" customHeight="1" x14ac:dyDescent="0.25">
      <c r="A279" s="110" t="s">
        <v>520</v>
      </c>
      <c r="B279" s="15">
        <v>265</v>
      </c>
      <c r="C279" s="109" t="s">
        <v>572</v>
      </c>
      <c r="D279" s="406" t="s">
        <v>247</v>
      </c>
      <c r="E279" s="370"/>
      <c r="F279" s="371"/>
      <c r="G279" s="107"/>
      <c r="H279" s="385"/>
    </row>
    <row r="280" spans="1:8" ht="15.75" customHeight="1" x14ac:dyDescent="0.25">
      <c r="A280" s="110" t="s">
        <v>520</v>
      </c>
      <c r="B280" s="15">
        <v>266</v>
      </c>
      <c r="C280" s="109" t="s">
        <v>573</v>
      </c>
      <c r="D280" s="406" t="s">
        <v>203</v>
      </c>
      <c r="E280" s="370"/>
      <c r="F280" s="371"/>
      <c r="G280" s="107" t="s">
        <v>574</v>
      </c>
      <c r="H280" s="385"/>
    </row>
    <row r="281" spans="1:8" ht="15.75" customHeight="1" x14ac:dyDescent="0.25">
      <c r="A281" s="110" t="s">
        <v>520</v>
      </c>
      <c r="B281" s="15">
        <v>267</v>
      </c>
      <c r="C281" s="109" t="s">
        <v>575</v>
      </c>
      <c r="D281" s="406" t="s">
        <v>203</v>
      </c>
      <c r="E281" s="370"/>
      <c r="F281" s="371"/>
      <c r="G281" s="107" t="s">
        <v>576</v>
      </c>
      <c r="H281" s="385"/>
    </row>
    <row r="282" spans="1:8" ht="15.75" customHeight="1" x14ac:dyDescent="0.25">
      <c r="A282" s="110" t="s">
        <v>520</v>
      </c>
      <c r="B282" s="15">
        <v>268</v>
      </c>
      <c r="C282" s="109" t="s">
        <v>577</v>
      </c>
      <c r="D282" s="406" t="s">
        <v>208</v>
      </c>
      <c r="E282" s="370"/>
      <c r="F282" s="371"/>
      <c r="G282" s="107"/>
      <c r="H282" s="385"/>
    </row>
    <row r="283" spans="1:8" ht="15.75" customHeight="1" x14ac:dyDescent="0.25">
      <c r="A283" s="110" t="s">
        <v>520</v>
      </c>
      <c r="B283" s="15">
        <v>269</v>
      </c>
      <c r="C283" s="109" t="s">
        <v>578</v>
      </c>
      <c r="D283" s="406" t="s">
        <v>208</v>
      </c>
      <c r="E283" s="370"/>
      <c r="F283" s="371"/>
      <c r="G283" s="107"/>
      <c r="H283" s="385"/>
    </row>
    <row r="284" spans="1:8" ht="15.75" customHeight="1" x14ac:dyDescent="0.25">
      <c r="A284" s="110" t="s">
        <v>520</v>
      </c>
      <c r="B284" s="15">
        <v>270</v>
      </c>
      <c r="C284" s="109" t="s">
        <v>579</v>
      </c>
      <c r="D284" s="406" t="s">
        <v>208</v>
      </c>
      <c r="E284" s="370"/>
      <c r="F284" s="371"/>
      <c r="G284" s="107"/>
      <c r="H284" s="385"/>
    </row>
    <row r="285" spans="1:8" ht="15.75" customHeight="1" x14ac:dyDescent="0.25">
      <c r="A285" s="110" t="s">
        <v>520</v>
      </c>
      <c r="B285" s="15">
        <v>271</v>
      </c>
      <c r="C285" s="109" t="s">
        <v>580</v>
      </c>
      <c r="D285" s="406" t="s">
        <v>208</v>
      </c>
      <c r="E285" s="370"/>
      <c r="F285" s="371"/>
      <c r="G285" s="107"/>
      <c r="H285" s="385"/>
    </row>
    <row r="286" spans="1:8" ht="15.75" customHeight="1" x14ac:dyDescent="0.25">
      <c r="A286" s="110" t="s">
        <v>520</v>
      </c>
      <c r="B286" s="15">
        <v>272</v>
      </c>
      <c r="C286" s="109" t="s">
        <v>581</v>
      </c>
      <c r="D286" s="406" t="s">
        <v>208</v>
      </c>
      <c r="E286" s="370"/>
      <c r="F286" s="371"/>
      <c r="G286" s="107"/>
      <c r="H286" s="385"/>
    </row>
    <row r="287" spans="1:8" ht="30" customHeight="1" x14ac:dyDescent="0.25">
      <c r="A287" s="110" t="s">
        <v>582</v>
      </c>
      <c r="B287" s="15">
        <v>273</v>
      </c>
      <c r="C287" s="106" t="s">
        <v>583</v>
      </c>
      <c r="D287" s="406" t="s">
        <v>208</v>
      </c>
      <c r="E287" s="370"/>
      <c r="F287" s="371"/>
      <c r="G287" s="107"/>
      <c r="H287" s="385"/>
    </row>
    <row r="288" spans="1:8" ht="15.75" customHeight="1" x14ac:dyDescent="0.25">
      <c r="A288" s="110" t="s">
        <v>582</v>
      </c>
      <c r="B288" s="15">
        <v>274</v>
      </c>
      <c r="C288" s="109" t="s">
        <v>584</v>
      </c>
      <c r="D288" s="406" t="s">
        <v>208</v>
      </c>
      <c r="E288" s="370"/>
      <c r="F288" s="371"/>
      <c r="G288" s="107"/>
      <c r="H288" s="385"/>
    </row>
    <row r="289" spans="1:8" ht="15.75" customHeight="1" x14ac:dyDescent="0.25">
      <c r="A289" s="110" t="s">
        <v>582</v>
      </c>
      <c r="B289" s="15">
        <v>275</v>
      </c>
      <c r="C289" s="109" t="s">
        <v>585</v>
      </c>
      <c r="D289" s="406" t="s">
        <v>203</v>
      </c>
      <c r="E289" s="370"/>
      <c r="F289" s="371"/>
      <c r="G289" s="107" t="s">
        <v>586</v>
      </c>
      <c r="H289" s="385"/>
    </row>
    <row r="290" spans="1:8" ht="15.75" customHeight="1" x14ac:dyDescent="0.25">
      <c r="A290" s="110" t="s">
        <v>582</v>
      </c>
      <c r="B290" s="15">
        <v>276</v>
      </c>
      <c r="C290" s="109" t="s">
        <v>587</v>
      </c>
      <c r="D290" s="406" t="s">
        <v>203</v>
      </c>
      <c r="E290" s="370"/>
      <c r="F290" s="371"/>
      <c r="G290" s="107" t="s">
        <v>588</v>
      </c>
      <c r="H290" s="385"/>
    </row>
    <row r="291" spans="1:8" ht="15.75" customHeight="1" x14ac:dyDescent="0.25">
      <c r="A291" s="110" t="s">
        <v>582</v>
      </c>
      <c r="B291" s="15">
        <v>277</v>
      </c>
      <c r="C291" s="109" t="s">
        <v>589</v>
      </c>
      <c r="D291" s="406" t="s">
        <v>247</v>
      </c>
      <c r="E291" s="370"/>
      <c r="F291" s="371"/>
      <c r="G291" s="107"/>
      <c r="H291" s="385"/>
    </row>
    <row r="292" spans="1:8" ht="15.75" customHeight="1" x14ac:dyDescent="0.25">
      <c r="A292" s="110" t="s">
        <v>582</v>
      </c>
      <c r="B292" s="15">
        <v>278</v>
      </c>
      <c r="C292" s="109" t="s">
        <v>590</v>
      </c>
      <c r="D292" s="406" t="s">
        <v>208</v>
      </c>
      <c r="E292" s="370"/>
      <c r="F292" s="371"/>
      <c r="G292" s="107"/>
      <c r="H292" s="385"/>
    </row>
    <row r="293" spans="1:8" ht="15.75" customHeight="1" x14ac:dyDescent="0.25">
      <c r="A293" s="110" t="s">
        <v>582</v>
      </c>
      <c r="B293" s="15">
        <v>279</v>
      </c>
      <c r="C293" s="109" t="s">
        <v>591</v>
      </c>
      <c r="D293" s="406" t="s">
        <v>208</v>
      </c>
      <c r="E293" s="370"/>
      <c r="F293" s="371"/>
      <c r="G293" s="107"/>
      <c r="H293" s="385"/>
    </row>
    <row r="294" spans="1:8" ht="15.75" customHeight="1" x14ac:dyDescent="0.25">
      <c r="A294" s="110" t="s">
        <v>582</v>
      </c>
      <c r="B294" s="15">
        <v>280</v>
      </c>
      <c r="C294" s="109" t="s">
        <v>592</v>
      </c>
      <c r="D294" s="406" t="s">
        <v>203</v>
      </c>
      <c r="E294" s="370"/>
      <c r="F294" s="371"/>
      <c r="G294" s="107" t="s">
        <v>593</v>
      </c>
      <c r="H294" s="385"/>
    </row>
    <row r="295" spans="1:8" ht="15.75" customHeight="1" x14ac:dyDescent="0.25">
      <c r="A295" s="110" t="s">
        <v>582</v>
      </c>
      <c r="B295" s="15">
        <v>281</v>
      </c>
      <c r="C295" s="109" t="s">
        <v>594</v>
      </c>
      <c r="D295" s="406" t="s">
        <v>203</v>
      </c>
      <c r="E295" s="370"/>
      <c r="F295" s="371"/>
      <c r="G295" s="107" t="s">
        <v>279</v>
      </c>
      <c r="H295" s="385"/>
    </row>
    <row r="296" spans="1:8" ht="15.75" customHeight="1" x14ac:dyDescent="0.25">
      <c r="A296" s="110" t="s">
        <v>582</v>
      </c>
      <c r="B296" s="15">
        <v>282</v>
      </c>
      <c r="C296" s="109" t="s">
        <v>595</v>
      </c>
      <c r="D296" s="406" t="s">
        <v>203</v>
      </c>
      <c r="E296" s="370"/>
      <c r="F296" s="371"/>
      <c r="G296" s="107" t="s">
        <v>596</v>
      </c>
      <c r="H296" s="385"/>
    </row>
    <row r="297" spans="1:8" ht="15.75" customHeight="1" x14ac:dyDescent="0.25">
      <c r="A297" s="110" t="s">
        <v>582</v>
      </c>
      <c r="B297" s="15">
        <v>283</v>
      </c>
      <c r="C297" s="109" t="s">
        <v>597</v>
      </c>
      <c r="D297" s="406" t="s">
        <v>203</v>
      </c>
      <c r="E297" s="370"/>
      <c r="F297" s="371"/>
      <c r="G297" s="107" t="s">
        <v>279</v>
      </c>
      <c r="H297" s="385"/>
    </row>
    <row r="298" spans="1:8" ht="15.75" customHeight="1" x14ac:dyDescent="0.25">
      <c r="A298" s="110" t="s">
        <v>582</v>
      </c>
      <c r="B298" s="15">
        <v>284</v>
      </c>
      <c r="C298" s="109" t="s">
        <v>598</v>
      </c>
      <c r="D298" s="406" t="s">
        <v>208</v>
      </c>
      <c r="E298" s="370"/>
      <c r="F298" s="371"/>
      <c r="G298" s="107"/>
      <c r="H298" s="385"/>
    </row>
    <row r="299" spans="1:8" ht="15.75" customHeight="1" x14ac:dyDescent="0.25">
      <c r="A299" s="110" t="s">
        <v>582</v>
      </c>
      <c r="B299" s="15">
        <v>285</v>
      </c>
      <c r="C299" s="109" t="s">
        <v>599</v>
      </c>
      <c r="D299" s="406" t="s">
        <v>247</v>
      </c>
      <c r="E299" s="370"/>
      <c r="F299" s="371"/>
      <c r="G299" s="107"/>
      <c r="H299" s="385"/>
    </row>
    <row r="300" spans="1:8" ht="15.75" customHeight="1" x14ac:dyDescent="0.25">
      <c r="A300" s="110" t="s">
        <v>582</v>
      </c>
      <c r="B300" s="15">
        <v>286</v>
      </c>
      <c r="C300" s="109" t="s">
        <v>600</v>
      </c>
      <c r="D300" s="406" t="s">
        <v>203</v>
      </c>
      <c r="E300" s="370"/>
      <c r="F300" s="371"/>
      <c r="G300" s="83" t="s">
        <v>601</v>
      </c>
      <c r="H300" s="385"/>
    </row>
    <row r="301" spans="1:8" ht="15.75" customHeight="1" x14ac:dyDescent="0.25">
      <c r="A301" s="110" t="s">
        <v>582</v>
      </c>
      <c r="B301" s="15">
        <v>287</v>
      </c>
      <c r="C301" s="109" t="s">
        <v>602</v>
      </c>
      <c r="D301" s="406" t="s">
        <v>203</v>
      </c>
      <c r="E301" s="370"/>
      <c r="F301" s="371"/>
      <c r="G301" s="83" t="s">
        <v>603</v>
      </c>
      <c r="H301" s="385"/>
    </row>
    <row r="302" spans="1:8" ht="15.75" customHeight="1" x14ac:dyDescent="0.25">
      <c r="A302" s="110" t="s">
        <v>582</v>
      </c>
      <c r="B302" s="15">
        <v>288</v>
      </c>
      <c r="C302" s="109" t="s">
        <v>604</v>
      </c>
      <c r="D302" s="406" t="s">
        <v>247</v>
      </c>
      <c r="E302" s="370"/>
      <c r="F302" s="371"/>
      <c r="G302" s="107"/>
      <c r="H302" s="385"/>
    </row>
    <row r="303" spans="1:8" ht="15.75" customHeight="1" x14ac:dyDescent="0.25">
      <c r="A303" s="110" t="s">
        <v>582</v>
      </c>
      <c r="B303" s="15">
        <v>289</v>
      </c>
      <c r="C303" s="109" t="s">
        <v>605</v>
      </c>
      <c r="D303" s="406" t="s">
        <v>208</v>
      </c>
      <c r="E303" s="370"/>
      <c r="F303" s="371"/>
      <c r="G303" s="107"/>
      <c r="H303" s="385"/>
    </row>
    <row r="304" spans="1:8" ht="15.75" customHeight="1" x14ac:dyDescent="0.25">
      <c r="A304" s="110" t="s">
        <v>582</v>
      </c>
      <c r="B304" s="15">
        <v>290</v>
      </c>
      <c r="C304" s="109" t="s">
        <v>606</v>
      </c>
      <c r="D304" s="406" t="s">
        <v>203</v>
      </c>
      <c r="E304" s="370"/>
      <c r="F304" s="371"/>
      <c r="G304" s="107" t="s">
        <v>607</v>
      </c>
      <c r="H304" s="385"/>
    </row>
    <row r="305" spans="1:8" ht="15.75" customHeight="1" x14ac:dyDescent="0.25">
      <c r="A305" s="110" t="s">
        <v>582</v>
      </c>
      <c r="B305" s="15">
        <v>291</v>
      </c>
      <c r="C305" s="109" t="s">
        <v>608</v>
      </c>
      <c r="D305" s="406" t="s">
        <v>203</v>
      </c>
      <c r="E305" s="370"/>
      <c r="F305" s="371"/>
      <c r="G305" s="107" t="s">
        <v>609</v>
      </c>
      <c r="H305" s="385"/>
    </row>
    <row r="306" spans="1:8" ht="15.75" customHeight="1" x14ac:dyDescent="0.25">
      <c r="A306" s="110" t="s">
        <v>582</v>
      </c>
      <c r="B306" s="15">
        <v>292</v>
      </c>
      <c r="C306" s="109" t="s">
        <v>610</v>
      </c>
      <c r="D306" s="406" t="s">
        <v>208</v>
      </c>
      <c r="E306" s="370"/>
      <c r="F306" s="371"/>
      <c r="G306" s="107"/>
      <c r="H306" s="385"/>
    </row>
    <row r="307" spans="1:8" ht="15.75" customHeight="1" x14ac:dyDescent="0.25">
      <c r="A307" s="110" t="s">
        <v>582</v>
      </c>
      <c r="B307" s="15">
        <v>293</v>
      </c>
      <c r="C307" s="109" t="s">
        <v>611</v>
      </c>
      <c r="D307" s="406" t="s">
        <v>208</v>
      </c>
      <c r="E307" s="370"/>
      <c r="F307" s="371"/>
      <c r="G307" s="107"/>
      <c r="H307" s="385"/>
    </row>
    <row r="308" spans="1:8" ht="15.75" customHeight="1" x14ac:dyDescent="0.25">
      <c r="A308" s="110" t="s">
        <v>582</v>
      </c>
      <c r="B308" s="15">
        <v>294</v>
      </c>
      <c r="C308" s="109" t="s">
        <v>612</v>
      </c>
      <c r="D308" s="406" t="s">
        <v>203</v>
      </c>
      <c r="E308" s="370"/>
      <c r="F308" s="371"/>
      <c r="G308" s="107" t="s">
        <v>613</v>
      </c>
      <c r="H308" s="385"/>
    </row>
    <row r="309" spans="1:8" ht="15.75" customHeight="1" x14ac:dyDescent="0.25">
      <c r="A309" s="110" t="s">
        <v>582</v>
      </c>
      <c r="B309" s="15">
        <v>295</v>
      </c>
      <c r="C309" s="109" t="s">
        <v>614</v>
      </c>
      <c r="D309" s="406" t="s">
        <v>203</v>
      </c>
      <c r="E309" s="370"/>
      <c r="F309" s="371"/>
      <c r="G309" s="107" t="s">
        <v>615</v>
      </c>
      <c r="H309" s="385"/>
    </row>
    <row r="310" spans="1:8" ht="15.75" customHeight="1" x14ac:dyDescent="0.25">
      <c r="A310" s="110" t="s">
        <v>582</v>
      </c>
      <c r="B310" s="15">
        <v>296</v>
      </c>
      <c r="C310" s="109" t="s">
        <v>616</v>
      </c>
      <c r="D310" s="406" t="s">
        <v>208</v>
      </c>
      <c r="E310" s="370"/>
      <c r="F310" s="371"/>
      <c r="G310" s="107"/>
      <c r="H310" s="385"/>
    </row>
    <row r="311" spans="1:8" ht="15.75" customHeight="1" x14ac:dyDescent="0.25">
      <c r="A311" s="110" t="s">
        <v>582</v>
      </c>
      <c r="B311" s="15">
        <v>297</v>
      </c>
      <c r="C311" s="109" t="s">
        <v>617</v>
      </c>
      <c r="D311" s="406" t="s">
        <v>203</v>
      </c>
      <c r="E311" s="370"/>
      <c r="F311" s="371"/>
      <c r="G311" s="107" t="s">
        <v>618</v>
      </c>
      <c r="H311" s="385"/>
    </row>
    <row r="312" spans="1:8" ht="15.75" customHeight="1" x14ac:dyDescent="0.25">
      <c r="A312" s="110" t="s">
        <v>582</v>
      </c>
      <c r="B312" s="15">
        <v>298</v>
      </c>
      <c r="C312" s="109" t="s">
        <v>619</v>
      </c>
      <c r="D312" s="406" t="s">
        <v>208</v>
      </c>
      <c r="E312" s="370"/>
      <c r="F312" s="371"/>
      <c r="G312" s="107"/>
      <c r="H312" s="385"/>
    </row>
    <row r="313" spans="1:8" ht="15.75" customHeight="1" x14ac:dyDescent="0.25">
      <c r="A313" s="110" t="s">
        <v>582</v>
      </c>
      <c r="B313" s="15">
        <v>299</v>
      </c>
      <c r="C313" s="109" t="s">
        <v>620</v>
      </c>
      <c r="D313" s="406" t="s">
        <v>247</v>
      </c>
      <c r="E313" s="370"/>
      <c r="F313" s="371"/>
      <c r="G313" s="107"/>
      <c r="H313" s="385"/>
    </row>
    <row r="314" spans="1:8" ht="15.75" customHeight="1" x14ac:dyDescent="0.25">
      <c r="A314" s="110" t="s">
        <v>582</v>
      </c>
      <c r="B314" s="15">
        <v>300</v>
      </c>
      <c r="C314" s="109" t="s">
        <v>621</v>
      </c>
      <c r="D314" s="406" t="s">
        <v>203</v>
      </c>
      <c r="E314" s="370"/>
      <c r="F314" s="371"/>
      <c r="G314" s="107" t="s">
        <v>622</v>
      </c>
      <c r="H314" s="385"/>
    </row>
    <row r="315" spans="1:8" ht="15.75" customHeight="1" x14ac:dyDescent="0.25">
      <c r="A315" s="110" t="s">
        <v>582</v>
      </c>
      <c r="B315" s="15">
        <v>301</v>
      </c>
      <c r="C315" s="109" t="s">
        <v>623</v>
      </c>
      <c r="D315" s="406" t="s">
        <v>203</v>
      </c>
      <c r="E315" s="370"/>
      <c r="F315" s="371"/>
      <c r="G315" s="107" t="s">
        <v>624</v>
      </c>
      <c r="H315" s="385"/>
    </row>
    <row r="316" spans="1:8" ht="15.75" customHeight="1" x14ac:dyDescent="0.25">
      <c r="A316" s="110" t="s">
        <v>582</v>
      </c>
      <c r="B316" s="15">
        <v>302</v>
      </c>
      <c r="C316" s="109" t="s">
        <v>625</v>
      </c>
      <c r="D316" s="406" t="s">
        <v>247</v>
      </c>
      <c r="E316" s="370"/>
      <c r="F316" s="371"/>
      <c r="G316" s="107"/>
      <c r="H316" s="385"/>
    </row>
    <row r="317" spans="1:8" ht="15.75" customHeight="1" x14ac:dyDescent="0.25">
      <c r="A317" s="110" t="s">
        <v>582</v>
      </c>
      <c r="B317" s="15">
        <v>303</v>
      </c>
      <c r="C317" s="109" t="s">
        <v>626</v>
      </c>
      <c r="D317" s="406" t="s">
        <v>208</v>
      </c>
      <c r="E317" s="370"/>
      <c r="F317" s="371"/>
      <c r="G317" s="107"/>
      <c r="H317" s="385"/>
    </row>
    <row r="318" spans="1:8" ht="15.75" customHeight="1" x14ac:dyDescent="0.25">
      <c r="A318" s="110" t="s">
        <v>582</v>
      </c>
      <c r="B318" s="15">
        <v>304</v>
      </c>
      <c r="C318" s="109" t="s">
        <v>627</v>
      </c>
      <c r="D318" s="406" t="s">
        <v>208</v>
      </c>
      <c r="E318" s="370"/>
      <c r="F318" s="371"/>
      <c r="G318" s="107"/>
      <c r="H318" s="385"/>
    </row>
    <row r="319" spans="1:8" ht="15.75" customHeight="1" x14ac:dyDescent="0.25">
      <c r="A319" s="110" t="s">
        <v>582</v>
      </c>
      <c r="B319" s="15">
        <v>305</v>
      </c>
      <c r="C319" s="109" t="s">
        <v>628</v>
      </c>
      <c r="D319" s="406" t="s">
        <v>203</v>
      </c>
      <c r="E319" s="370"/>
      <c r="F319" s="371"/>
      <c r="G319" s="107" t="s">
        <v>629</v>
      </c>
      <c r="H319" s="385"/>
    </row>
    <row r="320" spans="1:8" ht="31.5" customHeight="1" x14ac:dyDescent="0.25">
      <c r="A320" s="110" t="s">
        <v>630</v>
      </c>
      <c r="B320" s="15">
        <v>306</v>
      </c>
      <c r="C320" s="109" t="s">
        <v>631</v>
      </c>
      <c r="D320" s="406" t="s">
        <v>208</v>
      </c>
      <c r="E320" s="370"/>
      <c r="F320" s="371"/>
      <c r="G320" s="107"/>
      <c r="H320" s="385"/>
    </row>
    <row r="321" spans="1:8" ht="15.75" customHeight="1" x14ac:dyDescent="0.25">
      <c r="A321" s="110" t="s">
        <v>630</v>
      </c>
      <c r="B321" s="15">
        <v>307</v>
      </c>
      <c r="C321" s="109" t="s">
        <v>632</v>
      </c>
      <c r="D321" s="406" t="s">
        <v>203</v>
      </c>
      <c r="E321" s="370"/>
      <c r="F321" s="371"/>
      <c r="G321" s="107" t="s">
        <v>633</v>
      </c>
      <c r="H321" s="385"/>
    </row>
    <row r="322" spans="1:8" ht="15.75" customHeight="1" x14ac:dyDescent="0.25">
      <c r="A322" s="110" t="s">
        <v>630</v>
      </c>
      <c r="B322" s="15">
        <v>308</v>
      </c>
      <c r="C322" s="109" t="s">
        <v>634</v>
      </c>
      <c r="D322" s="406" t="s">
        <v>203</v>
      </c>
      <c r="E322" s="370"/>
      <c r="F322" s="371"/>
      <c r="G322" s="107" t="s">
        <v>635</v>
      </c>
      <c r="H322" s="385"/>
    </row>
    <row r="323" spans="1:8" ht="15.75" customHeight="1" x14ac:dyDescent="0.25">
      <c r="A323" s="110" t="s">
        <v>630</v>
      </c>
      <c r="B323" s="15">
        <v>309</v>
      </c>
      <c r="C323" s="109" t="s">
        <v>636</v>
      </c>
      <c r="D323" s="406" t="s">
        <v>208</v>
      </c>
      <c r="E323" s="370"/>
      <c r="F323" s="371"/>
      <c r="G323" s="107"/>
      <c r="H323" s="385"/>
    </row>
    <row r="324" spans="1:8" ht="15.75" customHeight="1" x14ac:dyDescent="0.25">
      <c r="A324" s="110" t="s">
        <v>630</v>
      </c>
      <c r="B324" s="15">
        <v>310</v>
      </c>
      <c r="C324" s="109" t="s">
        <v>637</v>
      </c>
      <c r="D324" s="406" t="s">
        <v>208</v>
      </c>
      <c r="E324" s="370"/>
      <c r="F324" s="371"/>
      <c r="G324" s="107"/>
      <c r="H324" s="385"/>
    </row>
    <row r="325" spans="1:8" ht="15.75" customHeight="1" x14ac:dyDescent="0.25">
      <c r="A325" s="110" t="s">
        <v>630</v>
      </c>
      <c r="B325" s="15">
        <v>311</v>
      </c>
      <c r="C325" s="109" t="s">
        <v>638</v>
      </c>
      <c r="D325" s="406" t="s">
        <v>208</v>
      </c>
      <c r="E325" s="370"/>
      <c r="F325" s="371"/>
      <c r="G325" s="107"/>
      <c r="H325" s="385"/>
    </row>
    <row r="326" spans="1:8" ht="15.75" customHeight="1" x14ac:dyDescent="0.25">
      <c r="A326" s="110" t="s">
        <v>630</v>
      </c>
      <c r="B326" s="15">
        <v>312</v>
      </c>
      <c r="C326" s="109" t="s">
        <v>639</v>
      </c>
      <c r="D326" s="406" t="s">
        <v>203</v>
      </c>
      <c r="E326" s="370"/>
      <c r="F326" s="371"/>
      <c r="G326" s="107" t="s">
        <v>640</v>
      </c>
      <c r="H326" s="385"/>
    </row>
    <row r="327" spans="1:8" ht="15.75" customHeight="1" x14ac:dyDescent="0.25">
      <c r="A327" s="110" t="s">
        <v>630</v>
      </c>
      <c r="B327" s="15">
        <v>313</v>
      </c>
      <c r="C327" s="109" t="s">
        <v>641</v>
      </c>
      <c r="D327" s="406" t="s">
        <v>203</v>
      </c>
      <c r="E327" s="370"/>
      <c r="F327" s="371"/>
      <c r="G327" s="107" t="s">
        <v>642</v>
      </c>
      <c r="H327" s="385"/>
    </row>
    <row r="328" spans="1:8" ht="15.75" customHeight="1" x14ac:dyDescent="0.25">
      <c r="A328" s="110" t="s">
        <v>630</v>
      </c>
      <c r="B328" s="15">
        <v>314</v>
      </c>
      <c r="C328" s="109" t="s">
        <v>643</v>
      </c>
      <c r="D328" s="406" t="s">
        <v>208</v>
      </c>
      <c r="E328" s="370"/>
      <c r="F328" s="371"/>
      <c r="G328" s="107"/>
      <c r="H328" s="385"/>
    </row>
    <row r="329" spans="1:8" ht="15.75" customHeight="1" x14ac:dyDescent="0.25">
      <c r="A329" s="110" t="s">
        <v>630</v>
      </c>
      <c r="B329" s="15">
        <v>315</v>
      </c>
      <c r="C329" s="109" t="s">
        <v>644</v>
      </c>
      <c r="D329" s="406" t="s">
        <v>203</v>
      </c>
      <c r="E329" s="370"/>
      <c r="F329" s="371"/>
      <c r="G329" s="107" t="s">
        <v>645</v>
      </c>
      <c r="H329" s="385"/>
    </row>
    <row r="330" spans="1:8" ht="15.75" customHeight="1" x14ac:dyDescent="0.25">
      <c r="A330" s="110" t="s">
        <v>630</v>
      </c>
      <c r="B330" s="15">
        <v>316</v>
      </c>
      <c r="C330" s="109" t="s">
        <v>646</v>
      </c>
      <c r="D330" s="406" t="s">
        <v>203</v>
      </c>
      <c r="E330" s="370"/>
      <c r="F330" s="371"/>
      <c r="G330" s="83" t="s">
        <v>647</v>
      </c>
      <c r="H330" s="385"/>
    </row>
    <row r="331" spans="1:8" ht="15.75" customHeight="1" x14ac:dyDescent="0.25">
      <c r="A331" s="110" t="s">
        <v>630</v>
      </c>
      <c r="B331" s="15">
        <v>317</v>
      </c>
      <c r="C331" s="109" t="s">
        <v>648</v>
      </c>
      <c r="D331" s="406" t="s">
        <v>208</v>
      </c>
      <c r="E331" s="370"/>
      <c r="F331" s="371"/>
      <c r="G331" s="107"/>
      <c r="H331" s="385"/>
    </row>
    <row r="332" spans="1:8" ht="15.75" customHeight="1" x14ac:dyDescent="0.25">
      <c r="A332" s="110" t="s">
        <v>630</v>
      </c>
      <c r="B332" s="15">
        <v>318</v>
      </c>
      <c r="C332" s="109" t="s">
        <v>649</v>
      </c>
      <c r="D332" s="406" t="s">
        <v>208</v>
      </c>
      <c r="E332" s="370"/>
      <c r="F332" s="371"/>
      <c r="G332" s="107"/>
      <c r="H332" s="385"/>
    </row>
    <row r="333" spans="1:8" ht="15.75" customHeight="1" x14ac:dyDescent="0.25">
      <c r="A333" s="110" t="s">
        <v>630</v>
      </c>
      <c r="B333" s="15">
        <v>319</v>
      </c>
      <c r="C333" s="109" t="s">
        <v>650</v>
      </c>
      <c r="D333" s="406" t="s">
        <v>203</v>
      </c>
      <c r="E333" s="370"/>
      <c r="F333" s="371"/>
      <c r="G333" s="107" t="s">
        <v>651</v>
      </c>
      <c r="H333" s="385"/>
    </row>
    <row r="334" spans="1:8" ht="15.75" customHeight="1" x14ac:dyDescent="0.25">
      <c r="A334" s="110" t="s">
        <v>630</v>
      </c>
      <c r="B334" s="15">
        <v>320</v>
      </c>
      <c r="C334" s="109" t="s">
        <v>652</v>
      </c>
      <c r="D334" s="406" t="s">
        <v>208</v>
      </c>
      <c r="E334" s="370"/>
      <c r="F334" s="371"/>
      <c r="G334" s="107"/>
      <c r="H334" s="385"/>
    </row>
    <row r="335" spans="1:8" ht="15.75" customHeight="1" x14ac:dyDescent="0.25">
      <c r="A335" s="110" t="s">
        <v>630</v>
      </c>
      <c r="B335" s="15">
        <v>321</v>
      </c>
      <c r="C335" s="109" t="s">
        <v>653</v>
      </c>
      <c r="D335" s="406" t="s">
        <v>208</v>
      </c>
      <c r="E335" s="370"/>
      <c r="F335" s="371"/>
      <c r="G335" s="107"/>
      <c r="H335" s="385"/>
    </row>
    <row r="336" spans="1:8" ht="15.75" customHeight="1" x14ac:dyDescent="0.25">
      <c r="A336" s="110" t="s">
        <v>630</v>
      </c>
      <c r="B336" s="15">
        <v>322</v>
      </c>
      <c r="C336" s="109" t="s">
        <v>654</v>
      </c>
      <c r="D336" s="406" t="s">
        <v>203</v>
      </c>
      <c r="E336" s="370"/>
      <c r="F336" s="371"/>
      <c r="G336" s="107" t="s">
        <v>535</v>
      </c>
      <c r="H336" s="385"/>
    </row>
    <row r="337" spans="1:8" ht="15.75" customHeight="1" x14ac:dyDescent="0.25">
      <c r="A337" s="110" t="s">
        <v>630</v>
      </c>
      <c r="B337" s="15">
        <v>323</v>
      </c>
      <c r="C337" s="109" t="s">
        <v>655</v>
      </c>
      <c r="D337" s="406" t="s">
        <v>203</v>
      </c>
      <c r="E337" s="370"/>
      <c r="F337" s="371"/>
      <c r="G337" s="107" t="s">
        <v>656</v>
      </c>
      <c r="H337" s="385"/>
    </row>
    <row r="338" spans="1:8" ht="15.75" customHeight="1" x14ac:dyDescent="0.25">
      <c r="A338" s="110" t="s">
        <v>630</v>
      </c>
      <c r="B338" s="15">
        <v>324</v>
      </c>
      <c r="C338" s="109" t="s">
        <v>657</v>
      </c>
      <c r="D338" s="406" t="s">
        <v>208</v>
      </c>
      <c r="E338" s="370"/>
      <c r="F338" s="371"/>
      <c r="G338" s="107"/>
      <c r="H338" s="385"/>
    </row>
    <row r="339" spans="1:8" ht="15.75" customHeight="1" x14ac:dyDescent="0.25">
      <c r="A339" s="110" t="s">
        <v>630</v>
      </c>
      <c r="B339" s="15">
        <v>325</v>
      </c>
      <c r="C339" s="109" t="s">
        <v>658</v>
      </c>
      <c r="D339" s="406" t="s">
        <v>208</v>
      </c>
      <c r="E339" s="370"/>
      <c r="F339" s="371"/>
      <c r="G339" s="107"/>
      <c r="H339" s="385"/>
    </row>
    <row r="340" spans="1:8" ht="15.75" customHeight="1" x14ac:dyDescent="0.25">
      <c r="A340" s="110" t="s">
        <v>630</v>
      </c>
      <c r="B340" s="15">
        <v>326</v>
      </c>
      <c r="C340" s="109" t="s">
        <v>659</v>
      </c>
      <c r="D340" s="406" t="s">
        <v>203</v>
      </c>
      <c r="E340" s="370"/>
      <c r="F340" s="371"/>
      <c r="G340" s="107" t="s">
        <v>660</v>
      </c>
      <c r="H340" s="385"/>
    </row>
    <row r="341" spans="1:8" ht="15.75" customHeight="1" x14ac:dyDescent="0.25">
      <c r="A341" s="110" t="s">
        <v>630</v>
      </c>
      <c r="B341" s="15">
        <v>327</v>
      </c>
      <c r="C341" s="109" t="s">
        <v>661</v>
      </c>
      <c r="D341" s="406" t="s">
        <v>203</v>
      </c>
      <c r="E341" s="370"/>
      <c r="F341" s="371"/>
      <c r="G341" s="107" t="s">
        <v>662</v>
      </c>
      <c r="H341" s="385"/>
    </row>
    <row r="342" spans="1:8" ht="15.75" customHeight="1" x14ac:dyDescent="0.25">
      <c r="A342" s="110" t="s">
        <v>630</v>
      </c>
      <c r="B342" s="15">
        <v>328</v>
      </c>
      <c r="C342" s="109" t="s">
        <v>663</v>
      </c>
      <c r="D342" s="406" t="s">
        <v>203</v>
      </c>
      <c r="E342" s="370"/>
      <c r="F342" s="371"/>
      <c r="G342" s="107" t="s">
        <v>664</v>
      </c>
      <c r="H342" s="385"/>
    </row>
    <row r="343" spans="1:8" ht="15.75" customHeight="1" x14ac:dyDescent="0.25">
      <c r="A343" s="110" t="s">
        <v>630</v>
      </c>
      <c r="B343" s="15">
        <v>329</v>
      </c>
      <c r="C343" s="109" t="s">
        <v>665</v>
      </c>
      <c r="D343" s="406" t="s">
        <v>208</v>
      </c>
      <c r="E343" s="370"/>
      <c r="F343" s="371"/>
      <c r="G343" s="107"/>
      <c r="H343" s="385"/>
    </row>
    <row r="344" spans="1:8" ht="15.75" customHeight="1" x14ac:dyDescent="0.25">
      <c r="A344" s="110" t="s">
        <v>630</v>
      </c>
      <c r="B344" s="15">
        <v>330</v>
      </c>
      <c r="C344" s="109" t="s">
        <v>666</v>
      </c>
      <c r="D344" s="406" t="s">
        <v>208</v>
      </c>
      <c r="E344" s="370"/>
      <c r="F344" s="371"/>
      <c r="G344" s="107"/>
      <c r="H344" s="385"/>
    </row>
    <row r="345" spans="1:8" ht="15.75" customHeight="1" x14ac:dyDescent="0.25">
      <c r="A345" s="110" t="s">
        <v>667</v>
      </c>
      <c r="B345" s="15">
        <v>331</v>
      </c>
      <c r="C345" s="109" t="s">
        <v>668</v>
      </c>
      <c r="D345" s="406" t="s">
        <v>208</v>
      </c>
      <c r="E345" s="370"/>
      <c r="F345" s="371"/>
      <c r="G345" s="107"/>
      <c r="H345" s="385"/>
    </row>
    <row r="346" spans="1:8" ht="15.75" customHeight="1" x14ac:dyDescent="0.25">
      <c r="A346" s="110" t="s">
        <v>667</v>
      </c>
      <c r="B346" s="15">
        <v>332</v>
      </c>
      <c r="C346" s="109" t="s">
        <v>669</v>
      </c>
      <c r="D346" s="406" t="s">
        <v>203</v>
      </c>
      <c r="E346" s="370"/>
      <c r="F346" s="371"/>
      <c r="G346" s="107" t="s">
        <v>670</v>
      </c>
      <c r="H346" s="385"/>
    </row>
    <row r="347" spans="1:8" ht="15.75" customHeight="1" x14ac:dyDescent="0.25">
      <c r="A347" s="110" t="s">
        <v>667</v>
      </c>
      <c r="B347" s="15">
        <v>333</v>
      </c>
      <c r="C347" s="109" t="s">
        <v>671</v>
      </c>
      <c r="D347" s="406" t="s">
        <v>208</v>
      </c>
      <c r="E347" s="370"/>
      <c r="F347" s="371"/>
      <c r="G347" s="107"/>
      <c r="H347" s="385"/>
    </row>
    <row r="348" spans="1:8" ht="15.75" customHeight="1" x14ac:dyDescent="0.25">
      <c r="A348" s="110" t="s">
        <v>667</v>
      </c>
      <c r="B348" s="15">
        <v>334</v>
      </c>
      <c r="C348" s="109" t="s">
        <v>672</v>
      </c>
      <c r="D348" s="406" t="s">
        <v>208</v>
      </c>
      <c r="E348" s="370"/>
      <c r="F348" s="371"/>
      <c r="G348" s="107"/>
      <c r="H348" s="385"/>
    </row>
    <row r="349" spans="1:8" ht="15.75" customHeight="1" x14ac:dyDescent="0.25">
      <c r="A349" s="110" t="s">
        <v>667</v>
      </c>
      <c r="B349" s="15">
        <v>335</v>
      </c>
      <c r="C349" s="109" t="s">
        <v>673</v>
      </c>
      <c r="D349" s="406" t="s">
        <v>203</v>
      </c>
      <c r="E349" s="370"/>
      <c r="F349" s="371"/>
      <c r="G349" s="107" t="s">
        <v>674</v>
      </c>
      <c r="H349" s="385"/>
    </row>
    <row r="350" spans="1:8" ht="15.75" customHeight="1" x14ac:dyDescent="0.25">
      <c r="A350" s="110" t="s">
        <v>667</v>
      </c>
      <c r="B350" s="15">
        <v>336</v>
      </c>
      <c r="C350" s="109" t="s">
        <v>675</v>
      </c>
      <c r="D350" s="406" t="s">
        <v>208</v>
      </c>
      <c r="E350" s="370"/>
      <c r="F350" s="371"/>
      <c r="G350" s="107"/>
      <c r="H350" s="385"/>
    </row>
    <row r="351" spans="1:8" ht="15.75" customHeight="1" x14ac:dyDescent="0.25">
      <c r="A351" s="110" t="s">
        <v>667</v>
      </c>
      <c r="B351" s="15">
        <v>337</v>
      </c>
      <c r="C351" s="109" t="s">
        <v>676</v>
      </c>
      <c r="D351" s="406" t="s">
        <v>203</v>
      </c>
      <c r="E351" s="370"/>
      <c r="F351" s="371"/>
      <c r="G351" s="107" t="s">
        <v>677</v>
      </c>
      <c r="H351" s="385"/>
    </row>
    <row r="352" spans="1:8" ht="15.75" customHeight="1" x14ac:dyDescent="0.25">
      <c r="A352" s="110" t="s">
        <v>678</v>
      </c>
      <c r="B352" s="15">
        <v>338</v>
      </c>
      <c r="C352" s="109" t="s">
        <v>679</v>
      </c>
      <c r="D352" s="406" t="s">
        <v>208</v>
      </c>
      <c r="E352" s="370"/>
      <c r="F352" s="371"/>
      <c r="G352" s="107"/>
      <c r="H352" s="385"/>
    </row>
    <row r="353" spans="1:8" ht="15.75" customHeight="1" x14ac:dyDescent="0.25">
      <c r="A353" s="110" t="s">
        <v>678</v>
      </c>
      <c r="B353" s="15">
        <v>339</v>
      </c>
      <c r="C353" s="109" t="s">
        <v>680</v>
      </c>
      <c r="D353" s="406" t="s">
        <v>208</v>
      </c>
      <c r="E353" s="370"/>
      <c r="F353" s="371"/>
      <c r="G353" s="107"/>
      <c r="H353" s="385"/>
    </row>
    <row r="354" spans="1:8" ht="15.75" customHeight="1" x14ac:dyDescent="0.25">
      <c r="A354" s="110" t="s">
        <v>678</v>
      </c>
      <c r="B354" s="15">
        <v>340</v>
      </c>
      <c r="C354" s="109" t="s">
        <v>681</v>
      </c>
      <c r="D354" s="406" t="s">
        <v>203</v>
      </c>
      <c r="E354" s="370"/>
      <c r="F354" s="371"/>
      <c r="G354" s="107" t="s">
        <v>682</v>
      </c>
      <c r="H354" s="385"/>
    </row>
    <row r="355" spans="1:8" ht="15.75" customHeight="1" x14ac:dyDescent="0.25">
      <c r="A355" s="110" t="s">
        <v>678</v>
      </c>
      <c r="B355" s="15">
        <v>341</v>
      </c>
      <c r="C355" s="109" t="s">
        <v>683</v>
      </c>
      <c r="D355" s="406" t="s">
        <v>208</v>
      </c>
      <c r="E355" s="370"/>
      <c r="F355" s="371"/>
      <c r="G355" s="107"/>
      <c r="H355" s="385"/>
    </row>
    <row r="356" spans="1:8" ht="15.75" customHeight="1" x14ac:dyDescent="0.25">
      <c r="A356" s="110" t="s">
        <v>678</v>
      </c>
      <c r="B356" s="15">
        <v>342</v>
      </c>
      <c r="C356" s="109" t="s">
        <v>684</v>
      </c>
      <c r="D356" s="406" t="s">
        <v>203</v>
      </c>
      <c r="E356" s="370"/>
      <c r="F356" s="371"/>
      <c r="G356" s="107" t="s">
        <v>685</v>
      </c>
      <c r="H356" s="385"/>
    </row>
    <row r="357" spans="1:8" ht="15.75" customHeight="1" x14ac:dyDescent="0.25">
      <c r="A357" s="110" t="s">
        <v>678</v>
      </c>
      <c r="B357" s="15">
        <v>343</v>
      </c>
      <c r="C357" s="109" t="s">
        <v>686</v>
      </c>
      <c r="D357" s="406" t="s">
        <v>208</v>
      </c>
      <c r="E357" s="370"/>
      <c r="F357" s="371"/>
      <c r="G357" s="16"/>
      <c r="H357" s="385"/>
    </row>
    <row r="358" spans="1:8" ht="15.75" customHeight="1" x14ac:dyDescent="0.25">
      <c r="A358" s="105" t="s">
        <v>687</v>
      </c>
      <c r="B358" s="15">
        <v>344</v>
      </c>
      <c r="C358" s="109" t="s">
        <v>688</v>
      </c>
      <c r="D358" s="406" t="s">
        <v>203</v>
      </c>
      <c r="E358" s="370"/>
      <c r="F358" s="371"/>
      <c r="G358" s="107" t="s">
        <v>689</v>
      </c>
      <c r="H358" s="385"/>
    </row>
    <row r="359" spans="1:8" ht="15.75" customHeight="1" x14ac:dyDescent="0.25">
      <c r="A359" s="105" t="s">
        <v>687</v>
      </c>
      <c r="B359" s="15">
        <v>345</v>
      </c>
      <c r="C359" s="109" t="s">
        <v>690</v>
      </c>
      <c r="D359" s="406" t="s">
        <v>208</v>
      </c>
      <c r="E359" s="370"/>
      <c r="F359" s="371"/>
      <c r="G359" s="107"/>
      <c r="H359" s="385"/>
    </row>
    <row r="360" spans="1:8" ht="15.75" customHeight="1" x14ac:dyDescent="0.25">
      <c r="A360" s="105" t="s">
        <v>687</v>
      </c>
      <c r="B360" s="15">
        <v>346</v>
      </c>
      <c r="C360" s="109" t="s">
        <v>691</v>
      </c>
      <c r="D360" s="406" t="s">
        <v>247</v>
      </c>
      <c r="E360" s="370"/>
      <c r="F360" s="371"/>
      <c r="G360" s="107"/>
      <c r="H360" s="385"/>
    </row>
    <row r="361" spans="1:8" ht="15.75" customHeight="1" x14ac:dyDescent="0.25">
      <c r="A361" s="105" t="s">
        <v>687</v>
      </c>
      <c r="B361" s="15">
        <v>347</v>
      </c>
      <c r="C361" s="109" t="s">
        <v>692</v>
      </c>
      <c r="D361" s="406" t="s">
        <v>247</v>
      </c>
      <c r="E361" s="370"/>
      <c r="F361" s="371"/>
      <c r="G361" s="107"/>
      <c r="H361" s="385"/>
    </row>
    <row r="362" spans="1:8" ht="15.75" customHeight="1" x14ac:dyDescent="0.25">
      <c r="A362" s="105" t="s">
        <v>687</v>
      </c>
      <c r="B362" s="15">
        <v>348</v>
      </c>
      <c r="C362" s="109" t="s">
        <v>693</v>
      </c>
      <c r="D362" s="406" t="s">
        <v>208</v>
      </c>
      <c r="E362" s="370"/>
      <c r="F362" s="371"/>
      <c r="G362" s="107"/>
      <c r="H362" s="385"/>
    </row>
    <row r="363" spans="1:8" ht="15.75" customHeight="1" x14ac:dyDescent="0.25">
      <c r="A363" s="105" t="s">
        <v>687</v>
      </c>
      <c r="B363" s="15">
        <v>349</v>
      </c>
      <c r="C363" s="109" t="s">
        <v>694</v>
      </c>
      <c r="D363" s="406" t="s">
        <v>208</v>
      </c>
      <c r="E363" s="370"/>
      <c r="F363" s="371"/>
      <c r="G363" s="107"/>
      <c r="H363" s="385"/>
    </row>
    <row r="364" spans="1:8" ht="15.75" customHeight="1" x14ac:dyDescent="0.25">
      <c r="A364" s="105" t="s">
        <v>687</v>
      </c>
      <c r="B364" s="15">
        <v>350</v>
      </c>
      <c r="C364" s="109" t="s">
        <v>695</v>
      </c>
      <c r="D364" s="406" t="s">
        <v>247</v>
      </c>
      <c r="E364" s="370"/>
      <c r="F364" s="371"/>
      <c r="G364" s="107"/>
      <c r="H364" s="385"/>
    </row>
    <row r="365" spans="1:8" ht="15.75" customHeight="1" x14ac:dyDescent="0.25">
      <c r="A365" s="105" t="s">
        <v>687</v>
      </c>
      <c r="B365" s="15">
        <v>351</v>
      </c>
      <c r="C365" s="109" t="s">
        <v>696</v>
      </c>
      <c r="D365" s="406" t="s">
        <v>247</v>
      </c>
      <c r="E365" s="370"/>
      <c r="F365" s="371"/>
      <c r="G365" s="107"/>
      <c r="H365" s="385"/>
    </row>
    <row r="366" spans="1:8" ht="15.75" customHeight="1" x14ac:dyDescent="0.25">
      <c r="A366" s="105" t="s">
        <v>687</v>
      </c>
      <c r="B366" s="15">
        <v>352</v>
      </c>
      <c r="C366" s="109" t="s">
        <v>697</v>
      </c>
      <c r="D366" s="406" t="s">
        <v>203</v>
      </c>
      <c r="E366" s="370"/>
      <c r="F366" s="371"/>
      <c r="G366" s="107"/>
      <c r="H366" s="385"/>
    </row>
    <row r="367" spans="1:8" ht="15.75" customHeight="1" x14ac:dyDescent="0.25">
      <c r="A367" s="105" t="s">
        <v>687</v>
      </c>
      <c r="B367" s="15">
        <v>353</v>
      </c>
      <c r="C367" s="109" t="s">
        <v>698</v>
      </c>
      <c r="D367" s="406" t="s">
        <v>208</v>
      </c>
      <c r="E367" s="370"/>
      <c r="F367" s="371"/>
      <c r="G367" s="107"/>
      <c r="H367" s="385"/>
    </row>
    <row r="368" spans="1:8" ht="15.75" customHeight="1" x14ac:dyDescent="0.25">
      <c r="A368" s="105" t="s">
        <v>687</v>
      </c>
      <c r="B368" s="15">
        <v>354</v>
      </c>
      <c r="C368" s="109" t="s">
        <v>699</v>
      </c>
      <c r="D368" s="406" t="s">
        <v>247</v>
      </c>
      <c r="E368" s="370"/>
      <c r="F368" s="371"/>
      <c r="G368" s="107"/>
      <c r="H368" s="385"/>
    </row>
    <row r="369" spans="1:8" ht="15.75" customHeight="1" x14ac:dyDescent="0.25">
      <c r="A369" s="105" t="s">
        <v>687</v>
      </c>
      <c r="B369" s="15">
        <v>355</v>
      </c>
      <c r="C369" s="109" t="s">
        <v>700</v>
      </c>
      <c r="D369" s="406" t="s">
        <v>203</v>
      </c>
      <c r="E369" s="370"/>
      <c r="F369" s="371"/>
      <c r="G369" s="107" t="s">
        <v>701</v>
      </c>
      <c r="H369" s="385"/>
    </row>
    <row r="370" spans="1:8" ht="15.75" customHeight="1" x14ac:dyDescent="0.25">
      <c r="A370" s="105" t="s">
        <v>687</v>
      </c>
      <c r="B370" s="15">
        <v>356</v>
      </c>
      <c r="C370" s="109" t="s">
        <v>702</v>
      </c>
      <c r="D370" s="406" t="s">
        <v>208</v>
      </c>
      <c r="E370" s="370"/>
      <c r="F370" s="371"/>
      <c r="G370" s="107"/>
      <c r="H370" s="385"/>
    </row>
    <row r="371" spans="1:8" ht="15.75" customHeight="1" x14ac:dyDescent="0.25">
      <c r="A371" s="105" t="s">
        <v>687</v>
      </c>
      <c r="B371" s="15">
        <v>357</v>
      </c>
      <c r="C371" s="109" t="s">
        <v>703</v>
      </c>
      <c r="D371" s="406" t="s">
        <v>208</v>
      </c>
      <c r="E371" s="370"/>
      <c r="F371" s="371"/>
      <c r="G371" s="107"/>
      <c r="H371" s="385"/>
    </row>
    <row r="372" spans="1:8" ht="15.75" customHeight="1" x14ac:dyDescent="0.25">
      <c r="A372" s="105" t="s">
        <v>687</v>
      </c>
      <c r="B372" s="15">
        <v>358</v>
      </c>
      <c r="C372" s="109" t="s">
        <v>704</v>
      </c>
      <c r="D372" s="406" t="s">
        <v>203</v>
      </c>
      <c r="E372" s="370"/>
      <c r="F372" s="371"/>
      <c r="G372" s="107" t="s">
        <v>705</v>
      </c>
      <c r="H372" s="385"/>
    </row>
    <row r="373" spans="1:8" ht="15.75" customHeight="1" x14ac:dyDescent="0.25">
      <c r="A373" s="105" t="s">
        <v>687</v>
      </c>
      <c r="B373" s="15">
        <v>359</v>
      </c>
      <c r="C373" s="109" t="s">
        <v>706</v>
      </c>
      <c r="D373" s="406" t="s">
        <v>247</v>
      </c>
      <c r="E373" s="370"/>
      <c r="F373" s="371"/>
      <c r="G373" s="107"/>
      <c r="H373" s="385"/>
    </row>
    <row r="374" spans="1:8" ht="15.75" customHeight="1" x14ac:dyDescent="0.25">
      <c r="A374" s="105" t="s">
        <v>687</v>
      </c>
      <c r="B374" s="15">
        <v>360</v>
      </c>
      <c r="C374" s="109" t="s">
        <v>707</v>
      </c>
      <c r="D374" s="406" t="s">
        <v>208</v>
      </c>
      <c r="E374" s="370"/>
      <c r="F374" s="371"/>
      <c r="G374" s="107"/>
      <c r="H374" s="385"/>
    </row>
    <row r="375" spans="1:8" ht="15.75" customHeight="1" x14ac:dyDescent="0.25">
      <c r="A375" s="105" t="s">
        <v>687</v>
      </c>
      <c r="B375" s="15">
        <v>361</v>
      </c>
      <c r="C375" s="109" t="s">
        <v>708</v>
      </c>
      <c r="D375" s="406" t="s">
        <v>247</v>
      </c>
      <c r="E375" s="370"/>
      <c r="F375" s="371"/>
      <c r="G375" s="107"/>
      <c r="H375" s="385"/>
    </row>
    <row r="376" spans="1:8" ht="15.75" customHeight="1" x14ac:dyDescent="0.25">
      <c r="A376" s="105" t="s">
        <v>687</v>
      </c>
      <c r="B376" s="15">
        <v>362</v>
      </c>
      <c r="C376" s="109" t="s">
        <v>709</v>
      </c>
      <c r="D376" s="406" t="s">
        <v>208</v>
      </c>
      <c r="E376" s="370"/>
      <c r="F376" s="371"/>
      <c r="G376" s="107"/>
      <c r="H376" s="385"/>
    </row>
    <row r="377" spans="1:8" ht="15.75" customHeight="1" x14ac:dyDescent="0.25">
      <c r="A377" s="110" t="s">
        <v>710</v>
      </c>
      <c r="B377" s="15">
        <v>363</v>
      </c>
      <c r="C377" s="106" t="s">
        <v>711</v>
      </c>
      <c r="D377" s="406" t="s">
        <v>203</v>
      </c>
      <c r="E377" s="370"/>
      <c r="F377" s="371"/>
      <c r="G377" s="16" t="s">
        <v>712</v>
      </c>
      <c r="H377" s="385"/>
    </row>
    <row r="378" spans="1:8" ht="15.75" customHeight="1" x14ac:dyDescent="0.25">
      <c r="A378" s="110" t="s">
        <v>710</v>
      </c>
      <c r="B378" s="15">
        <v>364</v>
      </c>
      <c r="C378" s="109" t="s">
        <v>713</v>
      </c>
      <c r="D378" s="406" t="s">
        <v>208</v>
      </c>
      <c r="E378" s="370"/>
      <c r="F378" s="371"/>
      <c r="G378" s="16"/>
      <c r="H378" s="385"/>
    </row>
    <row r="379" spans="1:8" ht="15.75" customHeight="1" x14ac:dyDescent="0.25">
      <c r="A379" s="110" t="s">
        <v>710</v>
      </c>
      <c r="B379" s="15">
        <v>365</v>
      </c>
      <c r="C379" s="109" t="s">
        <v>714</v>
      </c>
      <c r="D379" s="406" t="s">
        <v>208</v>
      </c>
      <c r="E379" s="370"/>
      <c r="F379" s="371"/>
      <c r="G379" s="16"/>
      <c r="H379" s="385"/>
    </row>
    <row r="380" spans="1:8" ht="15.75" customHeight="1" x14ac:dyDescent="0.25">
      <c r="A380" s="110" t="s">
        <v>710</v>
      </c>
      <c r="B380" s="15">
        <v>366</v>
      </c>
      <c r="C380" s="109" t="s">
        <v>715</v>
      </c>
      <c r="D380" s="406" t="s">
        <v>247</v>
      </c>
      <c r="E380" s="370"/>
      <c r="F380" s="371"/>
      <c r="G380" s="16"/>
      <c r="H380" s="385"/>
    </row>
    <row r="381" spans="1:8" ht="15.75" customHeight="1" x14ac:dyDescent="0.25">
      <c r="A381" s="110" t="s">
        <v>710</v>
      </c>
      <c r="B381" s="15">
        <v>367</v>
      </c>
      <c r="C381" s="109" t="s">
        <v>716</v>
      </c>
      <c r="D381" s="406" t="s">
        <v>247</v>
      </c>
      <c r="E381" s="370"/>
      <c r="F381" s="371"/>
      <c r="G381" s="16"/>
      <c r="H381" s="385"/>
    </row>
    <row r="382" spans="1:8" ht="15.75" customHeight="1" x14ac:dyDescent="0.25">
      <c r="A382" s="110" t="s">
        <v>710</v>
      </c>
      <c r="B382" s="15">
        <v>368</v>
      </c>
      <c r="C382" s="109" t="s">
        <v>717</v>
      </c>
      <c r="D382" s="406" t="s">
        <v>208</v>
      </c>
      <c r="E382" s="370"/>
      <c r="F382" s="371"/>
      <c r="G382" s="16"/>
      <c r="H382" s="385"/>
    </row>
    <row r="383" spans="1:8" ht="15.75" customHeight="1" x14ac:dyDescent="0.25">
      <c r="A383" s="110" t="s">
        <v>710</v>
      </c>
      <c r="B383" s="15">
        <v>369</v>
      </c>
      <c r="C383" s="109" t="s">
        <v>718</v>
      </c>
      <c r="D383" s="406" t="s">
        <v>247</v>
      </c>
      <c r="E383" s="370"/>
      <c r="F383" s="371"/>
      <c r="G383" s="16"/>
      <c r="H383" s="385"/>
    </row>
    <row r="384" spans="1:8" ht="15.75" customHeight="1" x14ac:dyDescent="0.25">
      <c r="A384" s="110" t="s">
        <v>710</v>
      </c>
      <c r="B384" s="15">
        <v>370</v>
      </c>
      <c r="C384" s="109" t="s">
        <v>719</v>
      </c>
      <c r="D384" s="406" t="s">
        <v>247</v>
      </c>
      <c r="E384" s="370"/>
      <c r="F384" s="371"/>
      <c r="G384" s="16"/>
      <c r="H384" s="385"/>
    </row>
    <row r="385" spans="1:8" ht="15.75" customHeight="1" x14ac:dyDescent="0.25">
      <c r="A385" s="110" t="s">
        <v>720</v>
      </c>
      <c r="B385" s="15">
        <v>371</v>
      </c>
      <c r="C385" s="106" t="s">
        <v>721</v>
      </c>
      <c r="D385" s="406" t="s">
        <v>247</v>
      </c>
      <c r="E385" s="370"/>
      <c r="F385" s="371"/>
      <c r="G385" s="107"/>
      <c r="H385" s="385"/>
    </row>
    <row r="386" spans="1:8" ht="15.75" customHeight="1" x14ac:dyDescent="0.25">
      <c r="A386" s="110" t="s">
        <v>720</v>
      </c>
      <c r="B386" s="15">
        <v>372</v>
      </c>
      <c r="C386" s="109" t="s">
        <v>722</v>
      </c>
      <c r="D386" s="406" t="s">
        <v>203</v>
      </c>
      <c r="E386" s="370"/>
      <c r="F386" s="371"/>
      <c r="G386" s="107" t="s">
        <v>723</v>
      </c>
      <c r="H386" s="385"/>
    </row>
    <row r="387" spans="1:8" ht="15.75" customHeight="1" x14ac:dyDescent="0.25">
      <c r="A387" s="110" t="s">
        <v>720</v>
      </c>
      <c r="B387" s="15">
        <v>373</v>
      </c>
      <c r="C387" s="109" t="s">
        <v>724</v>
      </c>
      <c r="D387" s="406" t="s">
        <v>203</v>
      </c>
      <c r="E387" s="370"/>
      <c r="F387" s="371"/>
      <c r="G387" s="107" t="s">
        <v>725</v>
      </c>
      <c r="H387" s="385"/>
    </row>
    <row r="388" spans="1:8" ht="15.75" customHeight="1" x14ac:dyDescent="0.25">
      <c r="A388" s="110" t="s">
        <v>720</v>
      </c>
      <c r="B388" s="15">
        <v>374</v>
      </c>
      <c r="C388" s="109" t="s">
        <v>726</v>
      </c>
      <c r="D388" s="406" t="s">
        <v>208</v>
      </c>
      <c r="E388" s="370"/>
      <c r="F388" s="371"/>
      <c r="G388" s="16"/>
      <c r="H388" s="385"/>
    </row>
    <row r="389" spans="1:8" ht="15.75" customHeight="1" x14ac:dyDescent="0.25">
      <c r="A389" s="110" t="s">
        <v>720</v>
      </c>
      <c r="B389" s="15">
        <v>375</v>
      </c>
      <c r="C389" s="109" t="s">
        <v>727</v>
      </c>
      <c r="D389" s="406" t="s">
        <v>208</v>
      </c>
      <c r="E389" s="370"/>
      <c r="F389" s="371"/>
      <c r="G389" s="16"/>
      <c r="H389" s="385"/>
    </row>
    <row r="390" spans="1:8" ht="15.75" customHeight="1" x14ac:dyDescent="0.25">
      <c r="A390" s="110" t="s">
        <v>720</v>
      </c>
      <c r="B390" s="15">
        <v>376</v>
      </c>
      <c r="C390" s="109" t="s">
        <v>728</v>
      </c>
      <c r="D390" s="406" t="s">
        <v>247</v>
      </c>
      <c r="E390" s="370"/>
      <c r="F390" s="371"/>
      <c r="G390" s="16"/>
      <c r="H390" s="385"/>
    </row>
    <row r="391" spans="1:8" ht="15.75" customHeight="1" x14ac:dyDescent="0.25">
      <c r="A391" s="110" t="s">
        <v>720</v>
      </c>
      <c r="B391" s="15">
        <v>377</v>
      </c>
      <c r="C391" s="109" t="s">
        <v>729</v>
      </c>
      <c r="D391" s="406" t="s">
        <v>208</v>
      </c>
      <c r="E391" s="370"/>
      <c r="F391" s="371"/>
      <c r="G391" s="16"/>
      <c r="H391" s="385"/>
    </row>
    <row r="392" spans="1:8" ht="15.75" customHeight="1" x14ac:dyDescent="0.25">
      <c r="A392" s="110" t="s">
        <v>720</v>
      </c>
      <c r="B392" s="15">
        <v>378</v>
      </c>
      <c r="C392" s="109" t="s">
        <v>730</v>
      </c>
      <c r="D392" s="406" t="s">
        <v>208</v>
      </c>
      <c r="E392" s="370"/>
      <c r="F392" s="371"/>
      <c r="G392" s="16"/>
      <c r="H392" s="385"/>
    </row>
    <row r="393" spans="1:8" ht="15.75" customHeight="1" x14ac:dyDescent="0.25">
      <c r="A393" s="110" t="s">
        <v>720</v>
      </c>
      <c r="B393" s="15">
        <v>379</v>
      </c>
      <c r="C393" s="109" t="s">
        <v>731</v>
      </c>
      <c r="D393" s="406" t="s">
        <v>208</v>
      </c>
      <c r="E393" s="370"/>
      <c r="F393" s="371"/>
      <c r="G393" s="16"/>
      <c r="H393" s="385"/>
    </row>
    <row r="394" spans="1:8" ht="15.75" customHeight="1" x14ac:dyDescent="0.25">
      <c r="A394" s="110" t="s">
        <v>720</v>
      </c>
      <c r="B394" s="15">
        <v>380</v>
      </c>
      <c r="C394" s="109" t="s">
        <v>732</v>
      </c>
      <c r="D394" s="406" t="s">
        <v>208</v>
      </c>
      <c r="E394" s="370"/>
      <c r="F394" s="371"/>
      <c r="G394" s="16"/>
      <c r="H394" s="385"/>
    </row>
    <row r="395" spans="1:8" ht="15.75" customHeight="1" x14ac:dyDescent="0.25">
      <c r="A395" s="110" t="s">
        <v>720</v>
      </c>
      <c r="B395" s="15">
        <v>381</v>
      </c>
      <c r="C395" s="109" t="s">
        <v>733</v>
      </c>
      <c r="D395" s="406" t="s">
        <v>208</v>
      </c>
      <c r="E395" s="370"/>
      <c r="F395" s="371"/>
      <c r="G395" s="16"/>
      <c r="H395" s="385"/>
    </row>
    <row r="396" spans="1:8" ht="15.75" customHeight="1" x14ac:dyDescent="0.25">
      <c r="A396" s="105" t="s">
        <v>734</v>
      </c>
      <c r="B396" s="15">
        <v>382</v>
      </c>
      <c r="C396" s="106" t="s">
        <v>735</v>
      </c>
      <c r="D396" s="406" t="s">
        <v>208</v>
      </c>
      <c r="E396" s="370"/>
      <c r="F396" s="371"/>
      <c r="G396" s="107"/>
      <c r="H396" s="385"/>
    </row>
    <row r="397" spans="1:8" ht="15.75" customHeight="1" x14ac:dyDescent="0.25">
      <c r="A397" s="105" t="s">
        <v>734</v>
      </c>
      <c r="B397" s="15">
        <v>383</v>
      </c>
      <c r="C397" s="109" t="s">
        <v>736</v>
      </c>
      <c r="D397" s="406" t="s">
        <v>208</v>
      </c>
      <c r="E397" s="370"/>
      <c r="F397" s="371"/>
      <c r="G397" s="107"/>
      <c r="H397" s="385"/>
    </row>
    <row r="398" spans="1:8" ht="15.75" customHeight="1" x14ac:dyDescent="0.25">
      <c r="A398" s="105" t="s">
        <v>734</v>
      </c>
      <c r="B398" s="15">
        <v>384</v>
      </c>
      <c r="C398" s="109" t="s">
        <v>737</v>
      </c>
      <c r="D398" s="406" t="s">
        <v>203</v>
      </c>
      <c r="E398" s="370"/>
      <c r="F398" s="371"/>
      <c r="G398" s="107" t="s">
        <v>738</v>
      </c>
      <c r="H398" s="385"/>
    </row>
    <row r="399" spans="1:8" ht="15.75" customHeight="1" x14ac:dyDescent="0.25">
      <c r="A399" s="105" t="s">
        <v>734</v>
      </c>
      <c r="B399" s="15">
        <v>385</v>
      </c>
      <c r="C399" s="109" t="s">
        <v>739</v>
      </c>
      <c r="D399" s="406" t="s">
        <v>247</v>
      </c>
      <c r="E399" s="370"/>
      <c r="F399" s="371"/>
      <c r="G399" s="107"/>
      <c r="H399" s="385"/>
    </row>
    <row r="400" spans="1:8" ht="15.75" customHeight="1" x14ac:dyDescent="0.25">
      <c r="A400" s="105" t="s">
        <v>734</v>
      </c>
      <c r="B400" s="15">
        <v>386</v>
      </c>
      <c r="C400" s="109" t="s">
        <v>740</v>
      </c>
      <c r="D400" s="406" t="s">
        <v>247</v>
      </c>
      <c r="E400" s="370"/>
      <c r="F400" s="371"/>
      <c r="G400" s="107"/>
      <c r="H400" s="385"/>
    </row>
    <row r="401" spans="1:8" ht="15.75" customHeight="1" x14ac:dyDescent="0.25">
      <c r="A401" s="105" t="s">
        <v>734</v>
      </c>
      <c r="B401" s="15">
        <v>387</v>
      </c>
      <c r="C401" s="109" t="s">
        <v>741</v>
      </c>
      <c r="D401" s="406" t="s">
        <v>247</v>
      </c>
      <c r="E401" s="370"/>
      <c r="F401" s="371"/>
      <c r="G401" s="107"/>
      <c r="H401" s="385"/>
    </row>
    <row r="402" spans="1:8" ht="15.75" customHeight="1" x14ac:dyDescent="0.25">
      <c r="A402" s="105" t="s">
        <v>734</v>
      </c>
      <c r="B402" s="15">
        <v>388</v>
      </c>
      <c r="C402" s="109" t="s">
        <v>742</v>
      </c>
      <c r="D402" s="406" t="s">
        <v>203</v>
      </c>
      <c r="E402" s="370"/>
      <c r="F402" s="371"/>
      <c r="G402" s="107" t="s">
        <v>743</v>
      </c>
      <c r="H402" s="385"/>
    </row>
    <row r="403" spans="1:8" ht="15.75" customHeight="1" x14ac:dyDescent="0.25">
      <c r="A403" s="105" t="s">
        <v>734</v>
      </c>
      <c r="B403" s="15">
        <v>389</v>
      </c>
      <c r="C403" s="109" t="s">
        <v>744</v>
      </c>
      <c r="D403" s="406" t="s">
        <v>247</v>
      </c>
      <c r="E403" s="370"/>
      <c r="F403" s="371"/>
      <c r="G403" s="107"/>
      <c r="H403" s="385"/>
    </row>
    <row r="404" spans="1:8" ht="15.75" customHeight="1" x14ac:dyDescent="0.25">
      <c r="A404" s="105" t="s">
        <v>734</v>
      </c>
      <c r="B404" s="15">
        <v>390</v>
      </c>
      <c r="C404" s="109" t="s">
        <v>745</v>
      </c>
      <c r="D404" s="406" t="s">
        <v>203</v>
      </c>
      <c r="E404" s="370"/>
      <c r="F404" s="371"/>
      <c r="G404" s="107" t="s">
        <v>746</v>
      </c>
      <c r="H404" s="385"/>
    </row>
    <row r="405" spans="1:8" ht="15.75" customHeight="1" x14ac:dyDescent="0.25">
      <c r="A405" s="105" t="s">
        <v>734</v>
      </c>
      <c r="B405" s="15">
        <v>391</v>
      </c>
      <c r="C405" s="109" t="s">
        <v>747</v>
      </c>
      <c r="D405" s="406" t="s">
        <v>208</v>
      </c>
      <c r="E405" s="370"/>
      <c r="F405" s="371"/>
      <c r="G405" s="107"/>
      <c r="H405" s="385"/>
    </row>
    <row r="406" spans="1:8" ht="15.75" customHeight="1" x14ac:dyDescent="0.25">
      <c r="A406" s="105" t="s">
        <v>734</v>
      </c>
      <c r="B406" s="15">
        <v>392</v>
      </c>
      <c r="C406" s="109" t="s">
        <v>748</v>
      </c>
      <c r="D406" s="406" t="s">
        <v>208</v>
      </c>
      <c r="E406" s="370"/>
      <c r="F406" s="371"/>
      <c r="G406" s="107"/>
      <c r="H406" s="385"/>
    </row>
    <row r="407" spans="1:8" ht="15.75" customHeight="1" x14ac:dyDescent="0.25">
      <c r="A407" s="105" t="s">
        <v>734</v>
      </c>
      <c r="B407" s="15">
        <v>393</v>
      </c>
      <c r="C407" s="109" t="s">
        <v>749</v>
      </c>
      <c r="D407" s="406" t="s">
        <v>203</v>
      </c>
      <c r="E407" s="370"/>
      <c r="F407" s="371"/>
      <c r="G407" s="107" t="s">
        <v>750</v>
      </c>
      <c r="H407" s="385"/>
    </row>
    <row r="408" spans="1:8" ht="15.75" customHeight="1" x14ac:dyDescent="0.25">
      <c r="A408" s="105" t="s">
        <v>734</v>
      </c>
      <c r="B408" s="15">
        <v>394</v>
      </c>
      <c r="C408" s="109" t="s">
        <v>751</v>
      </c>
      <c r="D408" s="406" t="s">
        <v>208</v>
      </c>
      <c r="E408" s="370"/>
      <c r="F408" s="371"/>
      <c r="G408" s="107"/>
      <c r="H408" s="385"/>
    </row>
    <row r="409" spans="1:8" ht="15.75" customHeight="1" x14ac:dyDescent="0.25">
      <c r="A409" s="105" t="s">
        <v>734</v>
      </c>
      <c r="B409" s="15">
        <v>395</v>
      </c>
      <c r="C409" s="109" t="s">
        <v>752</v>
      </c>
      <c r="D409" s="406" t="s">
        <v>208</v>
      </c>
      <c r="E409" s="370"/>
      <c r="F409" s="371"/>
      <c r="G409" s="107"/>
      <c r="H409" s="385"/>
    </row>
    <row r="410" spans="1:8" ht="15.75" customHeight="1" x14ac:dyDescent="0.25">
      <c r="A410" s="105" t="s">
        <v>734</v>
      </c>
      <c r="B410" s="15">
        <v>396</v>
      </c>
      <c r="C410" s="109" t="s">
        <v>753</v>
      </c>
      <c r="D410" s="406" t="s">
        <v>208</v>
      </c>
      <c r="E410" s="370"/>
      <c r="F410" s="371"/>
      <c r="G410" s="107"/>
      <c r="H410" s="385"/>
    </row>
    <row r="411" spans="1:8" ht="15.75" customHeight="1" x14ac:dyDescent="0.25">
      <c r="A411" s="105" t="s">
        <v>734</v>
      </c>
      <c r="B411" s="15">
        <v>397</v>
      </c>
      <c r="C411" s="109" t="s">
        <v>754</v>
      </c>
      <c r="D411" s="406" t="s">
        <v>208</v>
      </c>
      <c r="E411" s="370"/>
      <c r="F411" s="371"/>
      <c r="G411" s="107"/>
      <c r="H411" s="385"/>
    </row>
    <row r="412" spans="1:8" ht="15.75" customHeight="1" x14ac:dyDescent="0.25">
      <c r="A412" s="105" t="s">
        <v>734</v>
      </c>
      <c r="B412" s="15">
        <v>398</v>
      </c>
      <c r="C412" s="109" t="s">
        <v>755</v>
      </c>
      <c r="D412" s="406" t="s">
        <v>203</v>
      </c>
      <c r="E412" s="370"/>
      <c r="F412" s="371"/>
      <c r="G412" s="107" t="s">
        <v>738</v>
      </c>
      <c r="H412" s="385"/>
    </row>
    <row r="413" spans="1:8" ht="15.75" customHeight="1" x14ac:dyDescent="0.25">
      <c r="A413" s="105" t="s">
        <v>756</v>
      </c>
      <c r="B413" s="15">
        <v>399</v>
      </c>
      <c r="C413" s="112" t="s">
        <v>757</v>
      </c>
      <c r="D413" s="406" t="s">
        <v>208</v>
      </c>
      <c r="E413" s="370"/>
      <c r="F413" s="371"/>
      <c r="G413" s="16"/>
      <c r="H413" s="385"/>
    </row>
    <row r="414" spans="1:8" ht="15.75" customHeight="1" x14ac:dyDescent="0.25">
      <c r="A414" s="110" t="s">
        <v>758</v>
      </c>
      <c r="B414" s="15">
        <v>400</v>
      </c>
      <c r="C414" s="109" t="s">
        <v>759</v>
      </c>
      <c r="D414" s="406" t="s">
        <v>203</v>
      </c>
      <c r="E414" s="370"/>
      <c r="F414" s="371"/>
      <c r="G414" s="113" t="s">
        <v>279</v>
      </c>
      <c r="H414" s="385"/>
    </row>
    <row r="415" spans="1:8" ht="15.75" customHeight="1" x14ac:dyDescent="0.25">
      <c r="A415" s="110" t="s">
        <v>758</v>
      </c>
      <c r="B415" s="15">
        <v>401</v>
      </c>
      <c r="C415" s="109" t="s">
        <v>760</v>
      </c>
      <c r="D415" s="406" t="s">
        <v>203</v>
      </c>
      <c r="E415" s="370"/>
      <c r="F415" s="371"/>
      <c r="G415" s="113" t="s">
        <v>656</v>
      </c>
      <c r="H415" s="385"/>
    </row>
    <row r="416" spans="1:8" ht="15.75" customHeight="1" x14ac:dyDescent="0.25">
      <c r="A416" s="110" t="s">
        <v>758</v>
      </c>
      <c r="B416" s="15">
        <v>402</v>
      </c>
      <c r="C416" s="109" t="s">
        <v>761</v>
      </c>
      <c r="D416" s="406" t="s">
        <v>203</v>
      </c>
      <c r="E416" s="370"/>
      <c r="F416" s="371"/>
      <c r="G416" s="113" t="s">
        <v>313</v>
      </c>
      <c r="H416" s="385"/>
    </row>
    <row r="417" spans="1:8" ht="15.75" customHeight="1" x14ac:dyDescent="0.25">
      <c r="A417" s="110" t="s">
        <v>758</v>
      </c>
      <c r="B417" s="15">
        <v>403</v>
      </c>
      <c r="C417" s="114" t="s">
        <v>762</v>
      </c>
      <c r="D417" s="406" t="s">
        <v>208</v>
      </c>
      <c r="E417" s="370"/>
      <c r="F417" s="371"/>
      <c r="G417" s="113"/>
      <c r="H417" s="385"/>
    </row>
    <row r="418" spans="1:8" ht="15.75" customHeight="1" x14ac:dyDescent="0.25">
      <c r="A418" s="110" t="s">
        <v>758</v>
      </c>
      <c r="B418" s="15">
        <v>404</v>
      </c>
      <c r="C418" s="109" t="s">
        <v>763</v>
      </c>
      <c r="D418" s="406" t="s">
        <v>203</v>
      </c>
      <c r="E418" s="370"/>
      <c r="F418" s="371"/>
      <c r="G418" s="113" t="s">
        <v>764</v>
      </c>
      <c r="H418" s="385"/>
    </row>
    <row r="419" spans="1:8" ht="15.75" customHeight="1" x14ac:dyDescent="0.25">
      <c r="A419" s="110" t="s">
        <v>758</v>
      </c>
      <c r="B419" s="15">
        <v>405</v>
      </c>
      <c r="C419" s="109" t="s">
        <v>765</v>
      </c>
      <c r="D419" s="406" t="s">
        <v>203</v>
      </c>
      <c r="E419" s="370"/>
      <c r="F419" s="371"/>
      <c r="G419" s="113" t="s">
        <v>766</v>
      </c>
      <c r="H419" s="385"/>
    </row>
    <row r="420" spans="1:8" ht="15.75" customHeight="1" x14ac:dyDescent="0.25">
      <c r="A420" s="110" t="s">
        <v>758</v>
      </c>
      <c r="B420" s="15">
        <v>406</v>
      </c>
      <c r="C420" s="109" t="s">
        <v>767</v>
      </c>
      <c r="D420" s="406" t="s">
        <v>203</v>
      </c>
      <c r="E420" s="370"/>
      <c r="F420" s="371"/>
      <c r="G420" s="113" t="s">
        <v>768</v>
      </c>
      <c r="H420" s="385"/>
    </row>
    <row r="421" spans="1:8" ht="15.75" customHeight="1" x14ac:dyDescent="0.25">
      <c r="A421" s="110" t="s">
        <v>758</v>
      </c>
      <c r="B421" s="15">
        <v>407</v>
      </c>
      <c r="C421" s="109" t="s">
        <v>769</v>
      </c>
      <c r="D421" s="406" t="s">
        <v>203</v>
      </c>
      <c r="E421" s="370"/>
      <c r="F421" s="371"/>
      <c r="G421" s="113" t="s">
        <v>768</v>
      </c>
      <c r="H421" s="385"/>
    </row>
    <row r="422" spans="1:8" ht="15.75" customHeight="1" x14ac:dyDescent="0.25">
      <c r="A422" s="110" t="s">
        <v>758</v>
      </c>
      <c r="B422" s="15">
        <v>408</v>
      </c>
      <c r="C422" s="114" t="s">
        <v>770</v>
      </c>
      <c r="D422" s="406" t="s">
        <v>208</v>
      </c>
      <c r="E422" s="370"/>
      <c r="F422" s="371"/>
      <c r="G422" s="113"/>
      <c r="H422" s="385"/>
    </row>
    <row r="423" spans="1:8" ht="15.75" customHeight="1" x14ac:dyDescent="0.25">
      <c r="A423" s="110" t="s">
        <v>758</v>
      </c>
      <c r="B423" s="15">
        <v>409</v>
      </c>
      <c r="C423" s="109" t="s">
        <v>771</v>
      </c>
      <c r="D423" s="406" t="s">
        <v>203</v>
      </c>
      <c r="E423" s="370"/>
      <c r="F423" s="371"/>
      <c r="G423" s="113" t="s">
        <v>772</v>
      </c>
      <c r="H423" s="385"/>
    </row>
    <row r="424" spans="1:8" ht="15.75" customHeight="1" x14ac:dyDescent="0.25">
      <c r="A424" s="110" t="s">
        <v>758</v>
      </c>
      <c r="B424" s="15">
        <v>410</v>
      </c>
      <c r="C424" s="115" t="s">
        <v>773</v>
      </c>
      <c r="D424" s="406" t="s">
        <v>203</v>
      </c>
      <c r="E424" s="370"/>
      <c r="F424" s="371"/>
      <c r="G424" s="113" t="s">
        <v>774</v>
      </c>
      <c r="H424" s="385"/>
    </row>
    <row r="425" spans="1:8" ht="15.75" customHeight="1" x14ac:dyDescent="0.25">
      <c r="A425" s="110" t="s">
        <v>758</v>
      </c>
      <c r="B425" s="15">
        <v>411</v>
      </c>
      <c r="C425" s="109" t="s">
        <v>775</v>
      </c>
      <c r="D425" s="406" t="s">
        <v>203</v>
      </c>
      <c r="E425" s="370"/>
      <c r="F425" s="371"/>
      <c r="G425" s="113" t="s">
        <v>776</v>
      </c>
      <c r="H425" s="385"/>
    </row>
    <row r="426" spans="1:8" ht="15.75" customHeight="1" x14ac:dyDescent="0.25">
      <c r="A426" s="110" t="s">
        <v>758</v>
      </c>
      <c r="B426" s="15">
        <v>412</v>
      </c>
      <c r="C426" s="109" t="s">
        <v>777</v>
      </c>
      <c r="D426" s="406" t="s">
        <v>203</v>
      </c>
      <c r="E426" s="370"/>
      <c r="F426" s="371"/>
      <c r="G426" s="113" t="s">
        <v>778</v>
      </c>
      <c r="H426" s="385"/>
    </row>
    <row r="427" spans="1:8" ht="15.75" customHeight="1" x14ac:dyDescent="0.25">
      <c r="A427" s="110" t="s">
        <v>758</v>
      </c>
      <c r="B427" s="15">
        <v>413</v>
      </c>
      <c r="C427" s="109" t="s">
        <v>779</v>
      </c>
      <c r="D427" s="406" t="s">
        <v>247</v>
      </c>
      <c r="E427" s="370"/>
      <c r="F427" s="371"/>
      <c r="G427" s="113"/>
      <c r="H427" s="385"/>
    </row>
    <row r="428" spans="1:8" ht="15.75" customHeight="1" x14ac:dyDescent="0.25">
      <c r="A428" s="110" t="s">
        <v>758</v>
      </c>
      <c r="B428" s="15">
        <v>414</v>
      </c>
      <c r="C428" s="109" t="s">
        <v>780</v>
      </c>
      <c r="D428" s="406" t="s">
        <v>203</v>
      </c>
      <c r="E428" s="370"/>
      <c r="F428" s="371"/>
      <c r="G428" s="113" t="s">
        <v>781</v>
      </c>
      <c r="H428" s="385"/>
    </row>
    <row r="429" spans="1:8" ht="15.75" customHeight="1" x14ac:dyDescent="0.25">
      <c r="A429" s="110" t="s">
        <v>758</v>
      </c>
      <c r="B429" s="15">
        <v>415</v>
      </c>
      <c r="C429" s="109" t="s">
        <v>782</v>
      </c>
      <c r="D429" s="406" t="s">
        <v>203</v>
      </c>
      <c r="E429" s="370"/>
      <c r="F429" s="371"/>
      <c r="G429" s="113" t="s">
        <v>783</v>
      </c>
      <c r="H429" s="385"/>
    </row>
    <row r="430" spans="1:8" ht="15.75" customHeight="1" x14ac:dyDescent="0.25">
      <c r="A430" s="110" t="s">
        <v>758</v>
      </c>
      <c r="B430" s="15">
        <v>416</v>
      </c>
      <c r="C430" s="109" t="s">
        <v>784</v>
      </c>
      <c r="D430" s="406" t="s">
        <v>203</v>
      </c>
      <c r="E430" s="370"/>
      <c r="F430" s="371"/>
      <c r="G430" s="113" t="s">
        <v>785</v>
      </c>
      <c r="H430" s="385"/>
    </row>
    <row r="431" spans="1:8" ht="15.75" customHeight="1" x14ac:dyDescent="0.25">
      <c r="A431" s="110" t="s">
        <v>758</v>
      </c>
      <c r="B431" s="15">
        <v>417</v>
      </c>
      <c r="C431" s="109" t="s">
        <v>786</v>
      </c>
      <c r="D431" s="406" t="s">
        <v>203</v>
      </c>
      <c r="E431" s="370"/>
      <c r="F431" s="371"/>
      <c r="G431" s="113" t="s">
        <v>772</v>
      </c>
      <c r="H431" s="385"/>
    </row>
    <row r="432" spans="1:8" ht="15.75" customHeight="1" x14ac:dyDescent="0.25">
      <c r="A432" s="110" t="s">
        <v>758</v>
      </c>
      <c r="B432" s="15">
        <v>418</v>
      </c>
      <c r="C432" s="114" t="s">
        <v>787</v>
      </c>
      <c r="D432" s="406" t="s">
        <v>208</v>
      </c>
      <c r="E432" s="370"/>
      <c r="F432" s="371"/>
      <c r="G432" s="113"/>
      <c r="H432" s="385"/>
    </row>
    <row r="433" spans="1:8" ht="15.75" customHeight="1" x14ac:dyDescent="0.25">
      <c r="A433" s="110" t="s">
        <v>758</v>
      </c>
      <c r="B433" s="15">
        <v>419</v>
      </c>
      <c r="C433" s="109" t="s">
        <v>788</v>
      </c>
      <c r="D433" s="406" t="s">
        <v>203</v>
      </c>
      <c r="E433" s="370"/>
      <c r="F433" s="371"/>
      <c r="G433" s="113" t="s">
        <v>789</v>
      </c>
      <c r="H433" s="385"/>
    </row>
    <row r="434" spans="1:8" ht="15.75" customHeight="1" x14ac:dyDescent="0.25">
      <c r="A434" s="105" t="s">
        <v>790</v>
      </c>
      <c r="B434" s="15">
        <v>420</v>
      </c>
      <c r="C434" s="106" t="s">
        <v>791</v>
      </c>
      <c r="D434" s="406" t="s">
        <v>203</v>
      </c>
      <c r="E434" s="370"/>
      <c r="F434" s="371"/>
      <c r="G434" s="116" t="s">
        <v>792</v>
      </c>
      <c r="H434" s="385"/>
    </row>
    <row r="435" spans="1:8" ht="15.75" customHeight="1" x14ac:dyDescent="0.25">
      <c r="A435" s="105" t="s">
        <v>790</v>
      </c>
      <c r="B435" s="15">
        <v>421</v>
      </c>
      <c r="C435" s="109" t="s">
        <v>793</v>
      </c>
      <c r="D435" s="406" t="s">
        <v>203</v>
      </c>
      <c r="E435" s="370"/>
      <c r="F435" s="371"/>
      <c r="G435" s="113" t="s">
        <v>794</v>
      </c>
      <c r="H435" s="385"/>
    </row>
    <row r="436" spans="1:8" ht="15.75" customHeight="1" x14ac:dyDescent="0.25">
      <c r="A436" s="105" t="s">
        <v>790</v>
      </c>
      <c r="B436" s="15">
        <v>422</v>
      </c>
      <c r="C436" s="114" t="s">
        <v>795</v>
      </c>
      <c r="D436" s="406" t="s">
        <v>208</v>
      </c>
      <c r="E436" s="370"/>
      <c r="F436" s="371"/>
      <c r="G436" s="113"/>
      <c r="H436" s="385"/>
    </row>
    <row r="437" spans="1:8" ht="15.75" customHeight="1" x14ac:dyDescent="0.25">
      <c r="A437" s="105" t="s">
        <v>790</v>
      </c>
      <c r="B437" s="15">
        <v>423</v>
      </c>
      <c r="C437" s="109" t="s">
        <v>796</v>
      </c>
      <c r="D437" s="406" t="s">
        <v>247</v>
      </c>
      <c r="E437" s="370"/>
      <c r="F437" s="371"/>
      <c r="G437" s="113"/>
      <c r="H437" s="385"/>
    </row>
    <row r="438" spans="1:8" ht="15.75" customHeight="1" x14ac:dyDescent="0.25">
      <c r="A438" s="105" t="s">
        <v>790</v>
      </c>
      <c r="B438" s="15">
        <v>424</v>
      </c>
      <c r="C438" s="109" t="s">
        <v>797</v>
      </c>
      <c r="D438" s="406" t="s">
        <v>203</v>
      </c>
      <c r="E438" s="370"/>
      <c r="F438" s="371"/>
      <c r="G438" s="113" t="s">
        <v>798</v>
      </c>
      <c r="H438" s="385"/>
    </row>
    <row r="439" spans="1:8" ht="15.75" customHeight="1" x14ac:dyDescent="0.25">
      <c r="A439" s="105" t="s">
        <v>790</v>
      </c>
      <c r="B439" s="15">
        <v>425</v>
      </c>
      <c r="C439" s="109" t="s">
        <v>799</v>
      </c>
      <c r="D439" s="406" t="s">
        <v>203</v>
      </c>
      <c r="E439" s="370"/>
      <c r="F439" s="371"/>
      <c r="G439" s="113" t="s">
        <v>800</v>
      </c>
      <c r="H439" s="385"/>
    </row>
    <row r="440" spans="1:8" ht="15.75" customHeight="1" x14ac:dyDescent="0.25">
      <c r="A440" s="105" t="s">
        <v>790</v>
      </c>
      <c r="B440" s="15">
        <v>426</v>
      </c>
      <c r="C440" s="114" t="s">
        <v>801</v>
      </c>
      <c r="D440" s="406" t="s">
        <v>208</v>
      </c>
      <c r="E440" s="370"/>
      <c r="F440" s="371"/>
      <c r="G440" s="113"/>
      <c r="H440" s="385"/>
    </row>
    <row r="441" spans="1:8" ht="15.75" customHeight="1" x14ac:dyDescent="0.25">
      <c r="A441" s="105" t="s">
        <v>790</v>
      </c>
      <c r="B441" s="15">
        <v>427</v>
      </c>
      <c r="C441" s="109" t="s">
        <v>802</v>
      </c>
      <c r="D441" s="406" t="s">
        <v>208</v>
      </c>
      <c r="E441" s="370"/>
      <c r="F441" s="371"/>
      <c r="G441" s="113"/>
      <c r="H441" s="385"/>
    </row>
    <row r="442" spans="1:8" ht="15.75" customHeight="1" x14ac:dyDescent="0.25">
      <c r="A442" s="105" t="s">
        <v>790</v>
      </c>
      <c r="B442" s="15">
        <v>428</v>
      </c>
      <c r="C442" s="109" t="s">
        <v>803</v>
      </c>
      <c r="D442" s="406" t="s">
        <v>203</v>
      </c>
      <c r="E442" s="370"/>
      <c r="F442" s="371"/>
      <c r="G442" s="113" t="s">
        <v>804</v>
      </c>
      <c r="H442" s="385"/>
    </row>
    <row r="443" spans="1:8" ht="15.75" customHeight="1" x14ac:dyDescent="0.25">
      <c r="A443" s="105" t="s">
        <v>790</v>
      </c>
      <c r="B443" s="15">
        <v>429</v>
      </c>
      <c r="C443" s="109" t="s">
        <v>805</v>
      </c>
      <c r="D443" s="406" t="s">
        <v>203</v>
      </c>
      <c r="E443" s="370"/>
      <c r="F443" s="371"/>
      <c r="G443" s="113" t="s">
        <v>806</v>
      </c>
      <c r="H443" s="385"/>
    </row>
    <row r="444" spans="1:8" ht="15.75" customHeight="1" x14ac:dyDescent="0.25">
      <c r="A444" s="105" t="s">
        <v>790</v>
      </c>
      <c r="B444" s="15">
        <v>430</v>
      </c>
      <c r="C444" s="109" t="s">
        <v>807</v>
      </c>
      <c r="D444" s="406" t="s">
        <v>203</v>
      </c>
      <c r="E444" s="370"/>
      <c r="F444" s="371"/>
      <c r="G444" s="113" t="s">
        <v>808</v>
      </c>
      <c r="H444" s="385"/>
    </row>
    <row r="445" spans="1:8" ht="15.75" customHeight="1" x14ac:dyDescent="0.25">
      <c r="A445" s="105" t="s">
        <v>790</v>
      </c>
      <c r="B445" s="15">
        <v>431</v>
      </c>
      <c r="C445" s="109" t="s">
        <v>809</v>
      </c>
      <c r="D445" s="406" t="s">
        <v>247</v>
      </c>
      <c r="E445" s="370"/>
      <c r="F445" s="371"/>
      <c r="G445" s="113"/>
      <c r="H445" s="385"/>
    </row>
    <row r="446" spans="1:8" ht="15.75" customHeight="1" x14ac:dyDescent="0.25">
      <c r="A446" s="105" t="s">
        <v>790</v>
      </c>
      <c r="B446" s="15">
        <v>432</v>
      </c>
      <c r="C446" s="109" t="s">
        <v>810</v>
      </c>
      <c r="D446" s="406" t="s">
        <v>203</v>
      </c>
      <c r="E446" s="370"/>
      <c r="F446" s="371"/>
      <c r="G446" s="117" t="s">
        <v>811</v>
      </c>
      <c r="H446" s="385"/>
    </row>
    <row r="447" spans="1:8" ht="15.75" customHeight="1" x14ac:dyDescent="0.25">
      <c r="A447" s="105" t="s">
        <v>790</v>
      </c>
      <c r="B447" s="15">
        <v>433</v>
      </c>
      <c r="C447" s="109" t="s">
        <v>812</v>
      </c>
      <c r="D447" s="406" t="s">
        <v>203</v>
      </c>
      <c r="E447" s="370"/>
      <c r="F447" s="371"/>
      <c r="G447" s="113" t="s">
        <v>813</v>
      </c>
      <c r="H447" s="385"/>
    </row>
    <row r="448" spans="1:8" ht="15.75" customHeight="1" x14ac:dyDescent="0.25">
      <c r="A448" s="105" t="s">
        <v>790</v>
      </c>
      <c r="B448" s="15">
        <v>434</v>
      </c>
      <c r="C448" s="109" t="s">
        <v>814</v>
      </c>
      <c r="D448" s="406" t="s">
        <v>203</v>
      </c>
      <c r="E448" s="370"/>
      <c r="F448" s="371"/>
      <c r="G448" s="113" t="s">
        <v>279</v>
      </c>
      <c r="H448" s="385"/>
    </row>
    <row r="449" spans="1:8" ht="15.75" customHeight="1" x14ac:dyDescent="0.25">
      <c r="A449" s="105" t="s">
        <v>790</v>
      </c>
      <c r="B449" s="15">
        <v>435</v>
      </c>
      <c r="C449" s="109" t="s">
        <v>815</v>
      </c>
      <c r="D449" s="406" t="s">
        <v>208</v>
      </c>
      <c r="E449" s="370"/>
      <c r="F449" s="371"/>
      <c r="G449" s="113"/>
      <c r="H449" s="385"/>
    </row>
    <row r="450" spans="1:8" ht="15.75" customHeight="1" x14ac:dyDescent="0.25">
      <c r="A450" s="105" t="s">
        <v>790</v>
      </c>
      <c r="B450" s="15">
        <v>436</v>
      </c>
      <c r="C450" s="109" t="s">
        <v>816</v>
      </c>
      <c r="D450" s="406" t="s">
        <v>203</v>
      </c>
      <c r="E450" s="370"/>
      <c r="F450" s="371"/>
      <c r="G450" s="113" t="s">
        <v>817</v>
      </c>
      <c r="H450" s="385"/>
    </row>
    <row r="451" spans="1:8" ht="15.75" customHeight="1" x14ac:dyDescent="0.25">
      <c r="A451" s="105" t="s">
        <v>790</v>
      </c>
      <c r="B451" s="15">
        <v>437</v>
      </c>
      <c r="C451" s="109" t="s">
        <v>818</v>
      </c>
      <c r="D451" s="406" t="s">
        <v>203</v>
      </c>
      <c r="E451" s="370"/>
      <c r="F451" s="371"/>
      <c r="G451" s="113" t="s">
        <v>819</v>
      </c>
      <c r="H451" s="385"/>
    </row>
    <row r="452" spans="1:8" ht="15.75" customHeight="1" x14ac:dyDescent="0.25">
      <c r="A452" s="105" t="s">
        <v>790</v>
      </c>
      <c r="B452" s="15">
        <v>438</v>
      </c>
      <c r="C452" s="109" t="s">
        <v>820</v>
      </c>
      <c r="D452" s="406" t="s">
        <v>208</v>
      </c>
      <c r="E452" s="370"/>
      <c r="F452" s="371"/>
      <c r="G452" s="113"/>
      <c r="H452" s="385"/>
    </row>
    <row r="453" spans="1:8" ht="15.75" customHeight="1" x14ac:dyDescent="0.25">
      <c r="A453" s="105" t="s">
        <v>790</v>
      </c>
      <c r="B453" s="15">
        <v>439</v>
      </c>
      <c r="C453" s="109" t="s">
        <v>821</v>
      </c>
      <c r="D453" s="406" t="s">
        <v>203</v>
      </c>
      <c r="E453" s="370"/>
      <c r="F453" s="371"/>
      <c r="G453" s="113" t="s">
        <v>822</v>
      </c>
      <c r="H453" s="385"/>
    </row>
    <row r="454" spans="1:8" ht="15.75" customHeight="1" x14ac:dyDescent="0.25">
      <c r="A454" s="105" t="s">
        <v>790</v>
      </c>
      <c r="B454" s="15">
        <v>440</v>
      </c>
      <c r="C454" s="109" t="s">
        <v>823</v>
      </c>
      <c r="D454" s="406" t="s">
        <v>208</v>
      </c>
      <c r="E454" s="370"/>
      <c r="F454" s="371"/>
      <c r="G454" s="113"/>
      <c r="H454" s="385"/>
    </row>
    <row r="455" spans="1:8" ht="15.75" customHeight="1" x14ac:dyDescent="0.25">
      <c r="A455" s="105" t="s">
        <v>790</v>
      </c>
      <c r="B455" s="15">
        <v>441</v>
      </c>
      <c r="C455" s="109" t="s">
        <v>824</v>
      </c>
      <c r="D455" s="406" t="s">
        <v>203</v>
      </c>
      <c r="E455" s="370"/>
      <c r="F455" s="371"/>
      <c r="G455" s="113" t="s">
        <v>825</v>
      </c>
      <c r="H455" s="385"/>
    </row>
    <row r="456" spans="1:8" ht="15.75" customHeight="1" x14ac:dyDescent="0.25">
      <c r="A456" s="105" t="s">
        <v>790</v>
      </c>
      <c r="B456" s="15">
        <v>442</v>
      </c>
      <c r="C456" s="109" t="s">
        <v>826</v>
      </c>
      <c r="D456" s="406" t="s">
        <v>203</v>
      </c>
      <c r="E456" s="370"/>
      <c r="F456" s="371"/>
      <c r="G456" s="113" t="s">
        <v>827</v>
      </c>
      <c r="H456" s="385"/>
    </row>
    <row r="457" spans="1:8" ht="15.75" customHeight="1" x14ac:dyDescent="0.25">
      <c r="A457" s="105" t="s">
        <v>790</v>
      </c>
      <c r="B457" s="15">
        <v>443</v>
      </c>
      <c r="C457" s="109" t="s">
        <v>828</v>
      </c>
      <c r="D457" s="406" t="s">
        <v>208</v>
      </c>
      <c r="E457" s="370"/>
      <c r="F457" s="371"/>
      <c r="G457" s="113"/>
      <c r="H457" s="385"/>
    </row>
    <row r="458" spans="1:8" ht="15.75" customHeight="1" x14ac:dyDescent="0.25">
      <c r="A458" s="105" t="s">
        <v>790</v>
      </c>
      <c r="B458" s="15">
        <v>444</v>
      </c>
      <c r="C458" s="109" t="s">
        <v>829</v>
      </c>
      <c r="D458" s="406" t="s">
        <v>208</v>
      </c>
      <c r="E458" s="370"/>
      <c r="F458" s="371"/>
      <c r="G458" s="113"/>
      <c r="H458" s="385"/>
    </row>
    <row r="459" spans="1:8" ht="15.75" customHeight="1" x14ac:dyDescent="0.25">
      <c r="A459" s="105" t="s">
        <v>790</v>
      </c>
      <c r="B459" s="15">
        <v>445</v>
      </c>
      <c r="C459" s="109" t="s">
        <v>830</v>
      </c>
      <c r="D459" s="406" t="s">
        <v>203</v>
      </c>
      <c r="E459" s="370"/>
      <c r="F459" s="371"/>
      <c r="G459" s="113" t="s">
        <v>831</v>
      </c>
      <c r="H459" s="385"/>
    </row>
    <row r="460" spans="1:8" ht="15.75" customHeight="1" x14ac:dyDescent="0.25">
      <c r="A460" s="105" t="s">
        <v>790</v>
      </c>
      <c r="B460" s="15">
        <v>446</v>
      </c>
      <c r="C460" s="109" t="s">
        <v>832</v>
      </c>
      <c r="D460" s="406" t="s">
        <v>203</v>
      </c>
      <c r="E460" s="370"/>
      <c r="F460" s="371"/>
      <c r="G460" s="113" t="s">
        <v>833</v>
      </c>
      <c r="H460" s="385"/>
    </row>
    <row r="461" spans="1:8" ht="15.75" customHeight="1" x14ac:dyDescent="0.25">
      <c r="A461" s="105" t="s">
        <v>790</v>
      </c>
      <c r="B461" s="15">
        <v>447</v>
      </c>
      <c r="C461" s="109" t="s">
        <v>834</v>
      </c>
      <c r="D461" s="406" t="s">
        <v>203</v>
      </c>
      <c r="E461" s="370"/>
      <c r="F461" s="371"/>
      <c r="G461" s="117" t="s">
        <v>789</v>
      </c>
      <c r="H461" s="385"/>
    </row>
    <row r="462" spans="1:8" ht="15.75" customHeight="1" x14ac:dyDescent="0.25">
      <c r="A462" s="105" t="s">
        <v>790</v>
      </c>
      <c r="B462" s="15">
        <v>448</v>
      </c>
      <c r="C462" s="109" t="s">
        <v>835</v>
      </c>
      <c r="D462" s="406" t="s">
        <v>203</v>
      </c>
      <c r="E462" s="370"/>
      <c r="F462" s="371"/>
      <c r="G462" s="113" t="s">
        <v>836</v>
      </c>
      <c r="H462" s="385"/>
    </row>
    <row r="463" spans="1:8" ht="15.75" customHeight="1" x14ac:dyDescent="0.25">
      <c r="A463" s="105" t="s">
        <v>790</v>
      </c>
      <c r="B463" s="15">
        <v>449</v>
      </c>
      <c r="C463" s="109" t="s">
        <v>837</v>
      </c>
      <c r="D463" s="406" t="s">
        <v>208</v>
      </c>
      <c r="E463" s="370"/>
      <c r="F463" s="371"/>
      <c r="G463" s="113"/>
      <c r="H463" s="385"/>
    </row>
    <row r="464" spans="1:8" ht="15.75" customHeight="1" x14ac:dyDescent="0.25">
      <c r="A464" s="105" t="s">
        <v>790</v>
      </c>
      <c r="B464" s="15">
        <v>450</v>
      </c>
      <c r="C464" s="109" t="s">
        <v>838</v>
      </c>
      <c r="D464" s="406" t="s">
        <v>203</v>
      </c>
      <c r="E464" s="370"/>
      <c r="F464" s="371"/>
      <c r="G464" s="113" t="s">
        <v>839</v>
      </c>
      <c r="H464" s="385"/>
    </row>
    <row r="465" spans="1:8" ht="15.75" customHeight="1" x14ac:dyDescent="0.25">
      <c r="A465" s="105" t="s">
        <v>790</v>
      </c>
      <c r="B465" s="15">
        <v>451</v>
      </c>
      <c r="C465" s="109" t="s">
        <v>840</v>
      </c>
      <c r="D465" s="406" t="s">
        <v>247</v>
      </c>
      <c r="E465" s="370"/>
      <c r="F465" s="371"/>
      <c r="G465" s="113"/>
      <c r="H465" s="385"/>
    </row>
    <row r="466" spans="1:8" ht="15.75" customHeight="1" x14ac:dyDescent="0.25">
      <c r="A466" s="105" t="s">
        <v>790</v>
      </c>
      <c r="B466" s="15">
        <v>452</v>
      </c>
      <c r="C466" s="109" t="s">
        <v>841</v>
      </c>
      <c r="D466" s="406" t="s">
        <v>247</v>
      </c>
      <c r="E466" s="370"/>
      <c r="F466" s="371"/>
      <c r="G466" s="113"/>
      <c r="H466" s="385"/>
    </row>
    <row r="467" spans="1:8" ht="15.75" customHeight="1" x14ac:dyDescent="0.25">
      <c r="A467" s="105" t="s">
        <v>790</v>
      </c>
      <c r="B467" s="15">
        <v>453</v>
      </c>
      <c r="C467" s="109" t="s">
        <v>842</v>
      </c>
      <c r="D467" s="406" t="s">
        <v>247</v>
      </c>
      <c r="E467" s="370"/>
      <c r="F467" s="371"/>
      <c r="G467" s="113"/>
      <c r="H467" s="385"/>
    </row>
    <row r="468" spans="1:8" ht="15.75" customHeight="1" x14ac:dyDescent="0.25">
      <c r="A468" s="105" t="s">
        <v>790</v>
      </c>
      <c r="B468" s="15">
        <v>454</v>
      </c>
      <c r="C468" s="109" t="s">
        <v>843</v>
      </c>
      <c r="D468" s="406" t="s">
        <v>203</v>
      </c>
      <c r="E468" s="370"/>
      <c r="F468" s="371"/>
      <c r="G468" s="113" t="s">
        <v>844</v>
      </c>
      <c r="H468" s="385"/>
    </row>
    <row r="469" spans="1:8" ht="15.75" customHeight="1" x14ac:dyDescent="0.25">
      <c r="A469" s="105" t="s">
        <v>790</v>
      </c>
      <c r="B469" s="15">
        <v>455</v>
      </c>
      <c r="C469" s="109" t="s">
        <v>845</v>
      </c>
      <c r="D469" s="406" t="s">
        <v>203</v>
      </c>
      <c r="E469" s="370"/>
      <c r="F469" s="371"/>
      <c r="G469" s="113" t="s">
        <v>230</v>
      </c>
      <c r="H469" s="385"/>
    </row>
    <row r="470" spans="1:8" ht="15.75" customHeight="1" x14ac:dyDescent="0.25">
      <c r="A470" s="105" t="s">
        <v>790</v>
      </c>
      <c r="B470" s="15">
        <v>456</v>
      </c>
      <c r="C470" s="109" t="s">
        <v>846</v>
      </c>
      <c r="D470" s="406" t="s">
        <v>203</v>
      </c>
      <c r="E470" s="370"/>
      <c r="F470" s="371"/>
      <c r="G470" s="113" t="s">
        <v>847</v>
      </c>
      <c r="H470" s="385"/>
    </row>
    <row r="471" spans="1:8" ht="15.75" customHeight="1" x14ac:dyDescent="0.25">
      <c r="A471" s="105" t="s">
        <v>790</v>
      </c>
      <c r="B471" s="15">
        <v>457</v>
      </c>
      <c r="C471" s="109" t="s">
        <v>848</v>
      </c>
      <c r="D471" s="406" t="s">
        <v>203</v>
      </c>
      <c r="E471" s="370"/>
      <c r="F471" s="371"/>
      <c r="G471" s="113" t="s">
        <v>849</v>
      </c>
      <c r="H471" s="385"/>
    </row>
    <row r="472" spans="1:8" ht="15.75" customHeight="1" x14ac:dyDescent="0.25">
      <c r="A472" s="105" t="s">
        <v>790</v>
      </c>
      <c r="B472" s="15">
        <v>458</v>
      </c>
      <c r="C472" s="109" t="s">
        <v>850</v>
      </c>
      <c r="D472" s="406" t="s">
        <v>208</v>
      </c>
      <c r="E472" s="370"/>
      <c r="F472" s="371"/>
      <c r="G472" s="113"/>
      <c r="H472" s="385"/>
    </row>
    <row r="473" spans="1:8" ht="15.75" customHeight="1" x14ac:dyDescent="0.25">
      <c r="A473" s="105" t="s">
        <v>790</v>
      </c>
      <c r="B473" s="15">
        <v>459</v>
      </c>
      <c r="C473" s="109" t="s">
        <v>851</v>
      </c>
      <c r="D473" s="406" t="s">
        <v>203</v>
      </c>
      <c r="E473" s="370"/>
      <c r="F473" s="371"/>
      <c r="G473" s="113" t="s">
        <v>852</v>
      </c>
      <c r="H473" s="385"/>
    </row>
    <row r="474" spans="1:8" ht="15.75" customHeight="1" x14ac:dyDescent="0.25">
      <c r="A474" s="105" t="s">
        <v>790</v>
      </c>
      <c r="B474" s="15">
        <v>460</v>
      </c>
      <c r="C474" s="109" t="s">
        <v>853</v>
      </c>
      <c r="D474" s="406" t="s">
        <v>208</v>
      </c>
      <c r="E474" s="370"/>
      <c r="F474" s="371"/>
      <c r="G474" s="113"/>
      <c r="H474" s="385"/>
    </row>
    <row r="475" spans="1:8" ht="15.75" customHeight="1" x14ac:dyDescent="0.25">
      <c r="A475" s="105" t="s">
        <v>790</v>
      </c>
      <c r="B475" s="15">
        <v>461</v>
      </c>
      <c r="C475" s="109" t="s">
        <v>854</v>
      </c>
      <c r="D475" s="406" t="s">
        <v>203</v>
      </c>
      <c r="E475" s="370"/>
      <c r="F475" s="371"/>
      <c r="G475" s="113" t="s">
        <v>855</v>
      </c>
      <c r="H475" s="385"/>
    </row>
    <row r="476" spans="1:8" ht="15.75" customHeight="1" x14ac:dyDescent="0.25">
      <c r="A476" s="105" t="s">
        <v>790</v>
      </c>
      <c r="B476" s="15">
        <v>462</v>
      </c>
      <c r="C476" s="109" t="s">
        <v>856</v>
      </c>
      <c r="D476" s="406" t="s">
        <v>203</v>
      </c>
      <c r="E476" s="370"/>
      <c r="F476" s="371"/>
      <c r="G476" s="113" t="s">
        <v>857</v>
      </c>
      <c r="H476" s="385"/>
    </row>
    <row r="477" spans="1:8" ht="15.75" customHeight="1" x14ac:dyDescent="0.25">
      <c r="A477" s="105" t="s">
        <v>790</v>
      </c>
      <c r="B477" s="15">
        <v>463</v>
      </c>
      <c r="C477" s="109" t="s">
        <v>858</v>
      </c>
      <c r="D477" s="406" t="s">
        <v>203</v>
      </c>
      <c r="E477" s="370"/>
      <c r="F477" s="371"/>
      <c r="G477" s="113" t="s">
        <v>859</v>
      </c>
      <c r="H477" s="385"/>
    </row>
    <row r="478" spans="1:8" ht="15.75" customHeight="1" x14ac:dyDescent="0.25">
      <c r="A478" s="105" t="s">
        <v>790</v>
      </c>
      <c r="B478" s="15">
        <v>464</v>
      </c>
      <c r="C478" s="109" t="s">
        <v>860</v>
      </c>
      <c r="D478" s="406" t="s">
        <v>208</v>
      </c>
      <c r="E478" s="370"/>
      <c r="F478" s="371"/>
      <c r="G478" s="113"/>
      <c r="H478" s="385"/>
    </row>
    <row r="479" spans="1:8" ht="15.75" customHeight="1" x14ac:dyDescent="0.25">
      <c r="A479" s="105" t="s">
        <v>790</v>
      </c>
      <c r="B479" s="15">
        <v>465</v>
      </c>
      <c r="C479" s="109" t="s">
        <v>861</v>
      </c>
      <c r="D479" s="406" t="s">
        <v>203</v>
      </c>
      <c r="E479" s="370"/>
      <c r="F479" s="371"/>
      <c r="G479" s="113" t="s">
        <v>862</v>
      </c>
      <c r="H479" s="385"/>
    </row>
    <row r="480" spans="1:8" ht="15.75" customHeight="1" x14ac:dyDescent="0.25">
      <c r="A480" s="105" t="s">
        <v>790</v>
      </c>
      <c r="B480" s="15">
        <v>466</v>
      </c>
      <c r="C480" s="109" t="s">
        <v>863</v>
      </c>
      <c r="D480" s="406" t="s">
        <v>247</v>
      </c>
      <c r="E480" s="370"/>
      <c r="F480" s="371"/>
      <c r="G480" s="113"/>
      <c r="H480" s="385"/>
    </row>
    <row r="481" spans="1:8" ht="15.75" customHeight="1" x14ac:dyDescent="0.25">
      <c r="A481" s="105" t="s">
        <v>790</v>
      </c>
      <c r="B481" s="15">
        <v>467</v>
      </c>
      <c r="C481" s="109" t="s">
        <v>864</v>
      </c>
      <c r="D481" s="406" t="s">
        <v>208</v>
      </c>
      <c r="E481" s="370"/>
      <c r="F481" s="371"/>
      <c r="G481" s="113"/>
      <c r="H481" s="385"/>
    </row>
    <row r="482" spans="1:8" ht="15.75" customHeight="1" x14ac:dyDescent="0.25">
      <c r="A482" s="105" t="s">
        <v>790</v>
      </c>
      <c r="B482" s="15">
        <v>468</v>
      </c>
      <c r="C482" s="109" t="s">
        <v>865</v>
      </c>
      <c r="D482" s="406" t="s">
        <v>203</v>
      </c>
      <c r="E482" s="370"/>
      <c r="F482" s="371"/>
      <c r="G482" s="117" t="s">
        <v>866</v>
      </c>
      <c r="H482" s="385"/>
    </row>
    <row r="483" spans="1:8" ht="15.75" customHeight="1" x14ac:dyDescent="0.25">
      <c r="A483" s="105" t="s">
        <v>790</v>
      </c>
      <c r="B483" s="15">
        <v>469</v>
      </c>
      <c r="C483" s="109" t="s">
        <v>867</v>
      </c>
      <c r="D483" s="406" t="s">
        <v>208</v>
      </c>
      <c r="E483" s="370"/>
      <c r="F483" s="371"/>
      <c r="G483" s="113"/>
      <c r="H483" s="385"/>
    </row>
    <row r="484" spans="1:8" ht="15.75" customHeight="1" x14ac:dyDescent="0.25">
      <c r="A484" s="105" t="s">
        <v>790</v>
      </c>
      <c r="B484" s="15">
        <v>470</v>
      </c>
      <c r="C484" s="109" t="s">
        <v>868</v>
      </c>
      <c r="D484" s="406" t="s">
        <v>203</v>
      </c>
      <c r="E484" s="370"/>
      <c r="F484" s="371"/>
      <c r="G484" s="113" t="s">
        <v>869</v>
      </c>
      <c r="H484" s="385"/>
    </row>
    <row r="485" spans="1:8" ht="15.75" customHeight="1" x14ac:dyDescent="0.25">
      <c r="A485" s="105" t="s">
        <v>790</v>
      </c>
      <c r="B485" s="15">
        <v>471</v>
      </c>
      <c r="C485" s="109" t="s">
        <v>870</v>
      </c>
      <c r="D485" s="406" t="s">
        <v>203</v>
      </c>
      <c r="E485" s="370"/>
      <c r="F485" s="371"/>
      <c r="G485" s="113" t="s">
        <v>871</v>
      </c>
      <c r="H485" s="385"/>
    </row>
    <row r="486" spans="1:8" ht="15.75" customHeight="1" x14ac:dyDescent="0.25">
      <c r="A486" s="105" t="s">
        <v>790</v>
      </c>
      <c r="B486" s="15">
        <v>472</v>
      </c>
      <c r="C486" s="109" t="s">
        <v>872</v>
      </c>
      <c r="D486" s="406" t="s">
        <v>247</v>
      </c>
      <c r="E486" s="370"/>
      <c r="F486" s="371"/>
      <c r="G486" s="113"/>
      <c r="H486" s="385"/>
    </row>
    <row r="487" spans="1:8" ht="15.75" customHeight="1" x14ac:dyDescent="0.25">
      <c r="A487" s="105" t="s">
        <v>790</v>
      </c>
      <c r="B487" s="15">
        <v>473</v>
      </c>
      <c r="C487" s="109" t="s">
        <v>873</v>
      </c>
      <c r="D487" s="406" t="s">
        <v>203</v>
      </c>
      <c r="E487" s="370"/>
      <c r="F487" s="371"/>
      <c r="G487" s="113" t="s">
        <v>874</v>
      </c>
      <c r="H487" s="385"/>
    </row>
    <row r="488" spans="1:8" ht="15.75" customHeight="1" x14ac:dyDescent="0.25">
      <c r="A488" s="105" t="s">
        <v>790</v>
      </c>
      <c r="B488" s="15">
        <v>474</v>
      </c>
      <c r="C488" s="109" t="s">
        <v>875</v>
      </c>
      <c r="D488" s="406" t="s">
        <v>203</v>
      </c>
      <c r="E488" s="370"/>
      <c r="F488" s="371"/>
      <c r="G488" s="113" t="s">
        <v>876</v>
      </c>
      <c r="H488" s="385"/>
    </row>
    <row r="489" spans="1:8" ht="15.75" customHeight="1" x14ac:dyDescent="0.25">
      <c r="A489" s="105" t="s">
        <v>790</v>
      </c>
      <c r="B489" s="15">
        <v>475</v>
      </c>
      <c r="C489" s="109" t="s">
        <v>877</v>
      </c>
      <c r="D489" s="406" t="s">
        <v>208</v>
      </c>
      <c r="E489" s="370"/>
      <c r="F489" s="371"/>
      <c r="G489" s="113"/>
      <c r="H489" s="385"/>
    </row>
    <row r="490" spans="1:8" ht="15.75" customHeight="1" x14ac:dyDescent="0.25">
      <c r="A490" s="105" t="s">
        <v>790</v>
      </c>
      <c r="B490" s="15">
        <v>476</v>
      </c>
      <c r="C490" s="109" t="s">
        <v>878</v>
      </c>
      <c r="D490" s="406" t="s">
        <v>208</v>
      </c>
      <c r="E490" s="370"/>
      <c r="F490" s="371"/>
      <c r="G490" s="113"/>
      <c r="H490" s="385"/>
    </row>
    <row r="491" spans="1:8" ht="15.75" customHeight="1" x14ac:dyDescent="0.25">
      <c r="A491" s="105" t="s">
        <v>790</v>
      </c>
      <c r="B491" s="15">
        <v>477</v>
      </c>
      <c r="C491" s="109" t="s">
        <v>879</v>
      </c>
      <c r="D491" s="406" t="s">
        <v>208</v>
      </c>
      <c r="E491" s="370"/>
      <c r="F491" s="371"/>
      <c r="G491" s="113"/>
      <c r="H491" s="385"/>
    </row>
    <row r="492" spans="1:8" ht="15.75" customHeight="1" x14ac:dyDescent="0.25">
      <c r="A492" s="105" t="s">
        <v>790</v>
      </c>
      <c r="B492" s="15">
        <v>478</v>
      </c>
      <c r="C492" s="109" t="s">
        <v>880</v>
      </c>
      <c r="D492" s="406" t="s">
        <v>203</v>
      </c>
      <c r="E492" s="370"/>
      <c r="F492" s="371"/>
      <c r="G492" s="113" t="s">
        <v>881</v>
      </c>
      <c r="H492" s="385"/>
    </row>
    <row r="493" spans="1:8" ht="15.75" customHeight="1" x14ac:dyDescent="0.25">
      <c r="A493" s="105" t="s">
        <v>790</v>
      </c>
      <c r="B493" s="15">
        <v>479</v>
      </c>
      <c r="C493" s="109" t="s">
        <v>882</v>
      </c>
      <c r="D493" s="406" t="s">
        <v>203</v>
      </c>
      <c r="E493" s="370"/>
      <c r="F493" s="371"/>
      <c r="G493" s="113" t="s">
        <v>883</v>
      </c>
      <c r="H493" s="385"/>
    </row>
    <row r="494" spans="1:8" ht="15.75" customHeight="1" x14ac:dyDescent="0.25">
      <c r="A494" s="105" t="s">
        <v>790</v>
      </c>
      <c r="B494" s="15">
        <v>480</v>
      </c>
      <c r="C494" s="109" t="s">
        <v>884</v>
      </c>
      <c r="D494" s="406" t="s">
        <v>203</v>
      </c>
      <c r="E494" s="370"/>
      <c r="F494" s="371"/>
      <c r="G494" s="113" t="s">
        <v>885</v>
      </c>
      <c r="H494" s="385"/>
    </row>
    <row r="495" spans="1:8" ht="15.75" customHeight="1" x14ac:dyDescent="0.25">
      <c r="A495" s="105" t="s">
        <v>790</v>
      </c>
      <c r="B495" s="15">
        <v>481</v>
      </c>
      <c r="C495" s="109" t="s">
        <v>886</v>
      </c>
      <c r="D495" s="406" t="s">
        <v>203</v>
      </c>
      <c r="E495" s="370"/>
      <c r="F495" s="371"/>
      <c r="G495" s="117" t="s">
        <v>887</v>
      </c>
      <c r="H495" s="385"/>
    </row>
    <row r="496" spans="1:8" ht="15.75" customHeight="1" x14ac:dyDescent="0.25">
      <c r="A496" s="105" t="s">
        <v>790</v>
      </c>
      <c r="B496" s="15">
        <v>482</v>
      </c>
      <c r="C496" s="109" t="s">
        <v>888</v>
      </c>
      <c r="D496" s="406" t="s">
        <v>208</v>
      </c>
      <c r="E496" s="370"/>
      <c r="F496" s="371"/>
      <c r="G496" s="113"/>
      <c r="H496" s="385"/>
    </row>
    <row r="497" spans="1:8" ht="15.75" customHeight="1" x14ac:dyDescent="0.25">
      <c r="A497" s="105" t="s">
        <v>790</v>
      </c>
      <c r="B497" s="15">
        <v>483</v>
      </c>
      <c r="C497" s="109" t="s">
        <v>889</v>
      </c>
      <c r="D497" s="406" t="s">
        <v>203</v>
      </c>
      <c r="E497" s="370"/>
      <c r="F497" s="371"/>
      <c r="G497" s="113" t="s">
        <v>890</v>
      </c>
      <c r="H497" s="385"/>
    </row>
    <row r="498" spans="1:8" ht="15.75" customHeight="1" x14ac:dyDescent="0.25">
      <c r="A498" s="105" t="s">
        <v>790</v>
      </c>
      <c r="B498" s="15">
        <v>484</v>
      </c>
      <c r="C498" s="115" t="s">
        <v>891</v>
      </c>
      <c r="D498" s="406" t="s">
        <v>203</v>
      </c>
      <c r="E498" s="370"/>
      <c r="F498" s="371"/>
      <c r="G498" s="113" t="s">
        <v>892</v>
      </c>
      <c r="H498" s="385"/>
    </row>
    <row r="499" spans="1:8" ht="15.75" customHeight="1" x14ac:dyDescent="0.25">
      <c r="A499" s="105" t="s">
        <v>790</v>
      </c>
      <c r="B499" s="15">
        <v>485</v>
      </c>
      <c r="C499" s="109" t="s">
        <v>893</v>
      </c>
      <c r="D499" s="406" t="s">
        <v>208</v>
      </c>
      <c r="E499" s="370"/>
      <c r="F499" s="371"/>
      <c r="G499" s="113"/>
      <c r="H499" s="385"/>
    </row>
    <row r="500" spans="1:8" ht="15.75" customHeight="1" x14ac:dyDescent="0.25">
      <c r="A500" s="105" t="s">
        <v>790</v>
      </c>
      <c r="B500" s="15">
        <v>486</v>
      </c>
      <c r="C500" s="109" t="s">
        <v>894</v>
      </c>
      <c r="D500" s="406" t="s">
        <v>203</v>
      </c>
      <c r="E500" s="370"/>
      <c r="F500" s="371"/>
      <c r="G500" s="113" t="s">
        <v>895</v>
      </c>
      <c r="H500" s="385"/>
    </row>
    <row r="501" spans="1:8" ht="15.75" customHeight="1" x14ac:dyDescent="0.25">
      <c r="A501" s="105" t="s">
        <v>790</v>
      </c>
      <c r="B501" s="15">
        <v>487</v>
      </c>
      <c r="C501" s="109" t="s">
        <v>896</v>
      </c>
      <c r="D501" s="406" t="s">
        <v>208</v>
      </c>
      <c r="E501" s="370"/>
      <c r="F501" s="371"/>
      <c r="G501" s="113"/>
      <c r="H501" s="385"/>
    </row>
    <row r="502" spans="1:8" ht="15.75" customHeight="1" x14ac:dyDescent="0.25">
      <c r="A502" s="105" t="s">
        <v>790</v>
      </c>
      <c r="B502" s="15">
        <v>488</v>
      </c>
      <c r="C502" s="109" t="s">
        <v>897</v>
      </c>
      <c r="D502" s="406" t="s">
        <v>208</v>
      </c>
      <c r="E502" s="370"/>
      <c r="F502" s="371"/>
      <c r="G502" s="113"/>
      <c r="H502" s="385"/>
    </row>
    <row r="503" spans="1:8" ht="15.75" customHeight="1" x14ac:dyDescent="0.25">
      <c r="A503" s="105" t="s">
        <v>790</v>
      </c>
      <c r="B503" s="15">
        <v>489</v>
      </c>
      <c r="C503" s="109" t="s">
        <v>898</v>
      </c>
      <c r="D503" s="406" t="s">
        <v>203</v>
      </c>
      <c r="E503" s="370"/>
      <c r="F503" s="371"/>
      <c r="G503" s="113" t="s">
        <v>899</v>
      </c>
      <c r="H503" s="385"/>
    </row>
    <row r="504" spans="1:8" ht="15.75" customHeight="1" x14ac:dyDescent="0.25">
      <c r="A504" s="105" t="s">
        <v>790</v>
      </c>
      <c r="B504" s="15">
        <v>490</v>
      </c>
      <c r="C504" s="109" t="s">
        <v>900</v>
      </c>
      <c r="D504" s="406" t="s">
        <v>203</v>
      </c>
      <c r="E504" s="370"/>
      <c r="F504" s="371"/>
      <c r="G504" s="113" t="s">
        <v>901</v>
      </c>
      <c r="H504" s="385"/>
    </row>
    <row r="505" spans="1:8" ht="15.75" customHeight="1" x14ac:dyDescent="0.25">
      <c r="A505" s="105" t="s">
        <v>790</v>
      </c>
      <c r="B505" s="15">
        <v>491</v>
      </c>
      <c r="C505" s="109" t="s">
        <v>902</v>
      </c>
      <c r="D505" s="406" t="s">
        <v>208</v>
      </c>
      <c r="E505" s="370"/>
      <c r="F505" s="371"/>
      <c r="G505" s="113"/>
      <c r="H505" s="385"/>
    </row>
    <row r="506" spans="1:8" ht="15.75" customHeight="1" x14ac:dyDescent="0.25">
      <c r="A506" s="105" t="s">
        <v>790</v>
      </c>
      <c r="B506" s="15">
        <v>492</v>
      </c>
      <c r="C506" s="109" t="s">
        <v>903</v>
      </c>
      <c r="D506" s="406" t="s">
        <v>247</v>
      </c>
      <c r="E506" s="370"/>
      <c r="F506" s="371"/>
      <c r="G506" s="113"/>
      <c r="H506" s="385"/>
    </row>
    <row r="507" spans="1:8" ht="15.75" customHeight="1" x14ac:dyDescent="0.25">
      <c r="A507" s="105" t="s">
        <v>790</v>
      </c>
      <c r="B507" s="15">
        <v>493</v>
      </c>
      <c r="C507" s="109" t="s">
        <v>904</v>
      </c>
      <c r="D507" s="406" t="s">
        <v>203</v>
      </c>
      <c r="E507" s="370"/>
      <c r="F507" s="371"/>
      <c r="G507" s="113" t="s">
        <v>905</v>
      </c>
      <c r="H507" s="385"/>
    </row>
    <row r="508" spans="1:8" ht="15.75" customHeight="1" x14ac:dyDescent="0.25">
      <c r="A508" s="105" t="s">
        <v>790</v>
      </c>
      <c r="B508" s="15">
        <v>494</v>
      </c>
      <c r="C508" s="109" t="s">
        <v>906</v>
      </c>
      <c r="D508" s="406" t="s">
        <v>247</v>
      </c>
      <c r="E508" s="370"/>
      <c r="F508" s="371"/>
      <c r="G508" s="113"/>
      <c r="H508" s="385"/>
    </row>
    <row r="509" spans="1:8" ht="15.75" customHeight="1" x14ac:dyDescent="0.25">
      <c r="A509" s="105" t="s">
        <v>790</v>
      </c>
      <c r="B509" s="15">
        <v>495</v>
      </c>
      <c r="C509" s="109" t="s">
        <v>907</v>
      </c>
      <c r="D509" s="406" t="s">
        <v>208</v>
      </c>
      <c r="E509" s="370"/>
      <c r="F509" s="371"/>
      <c r="G509" s="113"/>
      <c r="H509" s="385"/>
    </row>
    <row r="510" spans="1:8" ht="15.75" customHeight="1" x14ac:dyDescent="0.25">
      <c r="A510" s="105" t="s">
        <v>790</v>
      </c>
      <c r="B510" s="15">
        <v>496</v>
      </c>
      <c r="C510" s="109" t="s">
        <v>908</v>
      </c>
      <c r="D510" s="406" t="s">
        <v>208</v>
      </c>
      <c r="E510" s="370"/>
      <c r="F510" s="371"/>
      <c r="G510" s="113"/>
      <c r="H510" s="385"/>
    </row>
    <row r="511" spans="1:8" ht="15.75" customHeight="1" x14ac:dyDescent="0.25">
      <c r="A511" s="118" t="s">
        <v>30</v>
      </c>
      <c r="B511" s="15">
        <v>497</v>
      </c>
      <c r="C511" s="109" t="s">
        <v>909</v>
      </c>
      <c r="D511" s="406" t="s">
        <v>203</v>
      </c>
      <c r="E511" s="370"/>
      <c r="F511" s="371"/>
      <c r="G511" s="113" t="s">
        <v>910</v>
      </c>
      <c r="H511" s="385"/>
    </row>
    <row r="512" spans="1:8" ht="15.75" customHeight="1" x14ac:dyDescent="0.25">
      <c r="A512" s="118" t="s">
        <v>30</v>
      </c>
      <c r="B512" s="15">
        <v>498</v>
      </c>
      <c r="C512" s="109" t="s">
        <v>911</v>
      </c>
      <c r="D512" s="406" t="s">
        <v>247</v>
      </c>
      <c r="E512" s="370"/>
      <c r="F512" s="371"/>
      <c r="G512" s="113"/>
      <c r="H512" s="385"/>
    </row>
    <row r="513" spans="1:8" ht="15.75" customHeight="1" x14ac:dyDescent="0.25">
      <c r="A513" s="118" t="s">
        <v>30</v>
      </c>
      <c r="B513" s="15">
        <v>499</v>
      </c>
      <c r="C513" s="109" t="s">
        <v>912</v>
      </c>
      <c r="D513" s="406" t="s">
        <v>203</v>
      </c>
      <c r="E513" s="370"/>
      <c r="F513" s="371"/>
      <c r="G513" s="113" t="s">
        <v>913</v>
      </c>
      <c r="H513" s="385"/>
    </row>
    <row r="514" spans="1:8" ht="15.75" customHeight="1" x14ac:dyDescent="0.25">
      <c r="A514" s="118" t="s">
        <v>30</v>
      </c>
      <c r="B514" s="15">
        <v>500</v>
      </c>
      <c r="C514" s="109" t="s">
        <v>914</v>
      </c>
      <c r="D514" s="406" t="s">
        <v>203</v>
      </c>
      <c r="E514" s="370"/>
      <c r="F514" s="371"/>
      <c r="G514" s="113" t="s">
        <v>915</v>
      </c>
      <c r="H514" s="385"/>
    </row>
    <row r="515" spans="1:8" ht="15.75" customHeight="1" x14ac:dyDescent="0.25">
      <c r="A515" s="118" t="s">
        <v>30</v>
      </c>
      <c r="B515" s="15">
        <v>501</v>
      </c>
      <c r="C515" s="109" t="s">
        <v>916</v>
      </c>
      <c r="D515" s="406" t="s">
        <v>203</v>
      </c>
      <c r="E515" s="370"/>
      <c r="F515" s="371"/>
      <c r="G515" s="113" t="s">
        <v>917</v>
      </c>
      <c r="H515" s="385"/>
    </row>
    <row r="516" spans="1:8" ht="15.75" customHeight="1" x14ac:dyDescent="0.25">
      <c r="A516" s="118" t="s">
        <v>30</v>
      </c>
      <c r="B516" s="15">
        <v>502</v>
      </c>
      <c r="C516" s="109" t="s">
        <v>918</v>
      </c>
      <c r="D516" s="406" t="s">
        <v>203</v>
      </c>
      <c r="E516" s="370"/>
      <c r="F516" s="371"/>
      <c r="G516" s="113" t="s">
        <v>919</v>
      </c>
      <c r="H516" s="385"/>
    </row>
    <row r="517" spans="1:8" ht="15.75" customHeight="1" x14ac:dyDescent="0.25">
      <c r="A517" s="118" t="s">
        <v>30</v>
      </c>
      <c r="B517" s="15">
        <v>503</v>
      </c>
      <c r="C517" s="109" t="s">
        <v>920</v>
      </c>
      <c r="D517" s="406" t="s">
        <v>203</v>
      </c>
      <c r="E517" s="370"/>
      <c r="F517" s="371"/>
      <c r="G517" s="113" t="s">
        <v>921</v>
      </c>
      <c r="H517" s="385"/>
    </row>
    <row r="518" spans="1:8" ht="15.75" customHeight="1" x14ac:dyDescent="0.25">
      <c r="A518" s="118" t="s">
        <v>30</v>
      </c>
      <c r="B518" s="15">
        <v>504</v>
      </c>
      <c r="C518" s="109" t="s">
        <v>922</v>
      </c>
      <c r="D518" s="406" t="s">
        <v>203</v>
      </c>
      <c r="E518" s="370"/>
      <c r="F518" s="371"/>
      <c r="G518" s="113" t="s">
        <v>923</v>
      </c>
      <c r="H518" s="385"/>
    </row>
    <row r="519" spans="1:8" ht="15.75" customHeight="1" x14ac:dyDescent="0.25">
      <c r="A519" s="118" t="s">
        <v>30</v>
      </c>
      <c r="B519" s="15">
        <v>505</v>
      </c>
      <c r="C519" s="109" t="s">
        <v>924</v>
      </c>
      <c r="D519" s="406" t="s">
        <v>203</v>
      </c>
      <c r="E519" s="370"/>
      <c r="F519" s="371"/>
      <c r="G519" s="113" t="s">
        <v>219</v>
      </c>
      <c r="H519" s="385"/>
    </row>
    <row r="520" spans="1:8" ht="15.75" customHeight="1" x14ac:dyDescent="0.25">
      <c r="A520" s="118" t="s">
        <v>30</v>
      </c>
      <c r="B520" s="15">
        <v>506</v>
      </c>
      <c r="C520" s="109" t="s">
        <v>925</v>
      </c>
      <c r="D520" s="406" t="s">
        <v>203</v>
      </c>
      <c r="E520" s="370"/>
      <c r="F520" s="371"/>
      <c r="G520" s="113" t="s">
        <v>926</v>
      </c>
      <c r="H520" s="385"/>
    </row>
    <row r="521" spans="1:8" ht="15.75" customHeight="1" x14ac:dyDescent="0.25">
      <c r="A521" s="118" t="s">
        <v>30</v>
      </c>
      <c r="B521" s="15">
        <v>507</v>
      </c>
      <c r="C521" s="109" t="s">
        <v>927</v>
      </c>
      <c r="D521" s="406" t="s">
        <v>203</v>
      </c>
      <c r="E521" s="370"/>
      <c r="F521" s="371"/>
      <c r="G521" s="113" t="s">
        <v>928</v>
      </c>
      <c r="H521" s="385"/>
    </row>
    <row r="522" spans="1:8" ht="15.75" customHeight="1" x14ac:dyDescent="0.25">
      <c r="A522" s="118" t="s">
        <v>30</v>
      </c>
      <c r="B522" s="15">
        <v>508</v>
      </c>
      <c r="C522" s="109" t="s">
        <v>929</v>
      </c>
      <c r="D522" s="406" t="s">
        <v>203</v>
      </c>
      <c r="E522" s="370"/>
      <c r="F522" s="371"/>
      <c r="G522" s="113" t="s">
        <v>930</v>
      </c>
      <c r="H522" s="385"/>
    </row>
    <row r="523" spans="1:8" ht="15.75" customHeight="1" x14ac:dyDescent="0.25">
      <c r="A523" s="118" t="s">
        <v>30</v>
      </c>
      <c r="B523" s="15">
        <v>509</v>
      </c>
      <c r="C523" s="109" t="s">
        <v>931</v>
      </c>
      <c r="D523" s="406" t="s">
        <v>203</v>
      </c>
      <c r="E523" s="370"/>
      <c r="F523" s="371"/>
      <c r="G523" s="113" t="s">
        <v>932</v>
      </c>
      <c r="H523" s="385"/>
    </row>
    <row r="524" spans="1:8" ht="15.75" customHeight="1" x14ac:dyDescent="0.25">
      <c r="A524" s="118" t="s">
        <v>30</v>
      </c>
      <c r="B524" s="15">
        <v>510</v>
      </c>
      <c r="C524" s="109" t="s">
        <v>933</v>
      </c>
      <c r="D524" s="406" t="s">
        <v>203</v>
      </c>
      <c r="E524" s="370"/>
      <c r="F524" s="371"/>
      <c r="G524" s="117" t="s">
        <v>934</v>
      </c>
      <c r="H524" s="385"/>
    </row>
    <row r="525" spans="1:8" ht="15.75" customHeight="1" x14ac:dyDescent="0.25">
      <c r="A525" s="118" t="s">
        <v>30</v>
      </c>
      <c r="B525" s="15">
        <v>511</v>
      </c>
      <c r="C525" s="109" t="s">
        <v>935</v>
      </c>
      <c r="D525" s="406" t="s">
        <v>208</v>
      </c>
      <c r="E525" s="370"/>
      <c r="F525" s="371"/>
      <c r="G525" s="113"/>
      <c r="H525" s="385"/>
    </row>
    <row r="526" spans="1:8" ht="15.75" customHeight="1" x14ac:dyDescent="0.25">
      <c r="A526" s="118" t="s">
        <v>30</v>
      </c>
      <c r="B526" s="15">
        <v>512</v>
      </c>
      <c r="C526" s="109" t="s">
        <v>936</v>
      </c>
      <c r="D526" s="406" t="s">
        <v>203</v>
      </c>
      <c r="E526" s="370"/>
      <c r="F526" s="371"/>
      <c r="G526" s="113" t="s">
        <v>937</v>
      </c>
      <c r="H526" s="385"/>
    </row>
    <row r="527" spans="1:8" ht="15.75" customHeight="1" x14ac:dyDescent="0.25">
      <c r="A527" s="118" t="s">
        <v>30</v>
      </c>
      <c r="B527" s="15">
        <v>513</v>
      </c>
      <c r="C527" s="109" t="s">
        <v>938</v>
      </c>
      <c r="D527" s="406" t="s">
        <v>203</v>
      </c>
      <c r="E527" s="370"/>
      <c r="F527" s="371"/>
      <c r="G527" s="113" t="s">
        <v>939</v>
      </c>
      <c r="H527" s="385"/>
    </row>
    <row r="528" spans="1:8" ht="15.75" customHeight="1" x14ac:dyDescent="0.25">
      <c r="A528" s="118" t="s">
        <v>30</v>
      </c>
      <c r="B528" s="15">
        <v>514</v>
      </c>
      <c r="C528" s="109" t="s">
        <v>940</v>
      </c>
      <c r="D528" s="406" t="s">
        <v>203</v>
      </c>
      <c r="E528" s="370"/>
      <c r="F528" s="371"/>
      <c r="G528" s="113" t="s">
        <v>234</v>
      </c>
      <c r="H528" s="385"/>
    </row>
    <row r="529" spans="1:8" ht="15.75" customHeight="1" x14ac:dyDescent="0.25">
      <c r="A529" s="118" t="s">
        <v>30</v>
      </c>
      <c r="B529" s="15">
        <v>515</v>
      </c>
      <c r="C529" s="109" t="s">
        <v>941</v>
      </c>
      <c r="D529" s="406" t="s">
        <v>203</v>
      </c>
      <c r="E529" s="370"/>
      <c r="F529" s="371"/>
      <c r="G529" s="113" t="s">
        <v>942</v>
      </c>
      <c r="H529" s="385"/>
    </row>
    <row r="530" spans="1:8" ht="15.75" customHeight="1" x14ac:dyDescent="0.25">
      <c r="A530" s="118" t="s">
        <v>30</v>
      </c>
      <c r="B530" s="15">
        <v>516</v>
      </c>
      <c r="C530" s="109" t="s">
        <v>943</v>
      </c>
      <c r="D530" s="406" t="s">
        <v>247</v>
      </c>
      <c r="E530" s="370"/>
      <c r="F530" s="371"/>
      <c r="G530" s="113"/>
      <c r="H530" s="385"/>
    </row>
    <row r="531" spans="1:8" ht="15.75" customHeight="1" x14ac:dyDescent="0.25">
      <c r="A531" s="118" t="s">
        <v>30</v>
      </c>
      <c r="B531" s="15">
        <v>517</v>
      </c>
      <c r="C531" s="109" t="s">
        <v>944</v>
      </c>
      <c r="D531" s="406" t="s">
        <v>247</v>
      </c>
      <c r="E531" s="370"/>
      <c r="F531" s="371"/>
      <c r="G531" s="113"/>
      <c r="H531" s="385"/>
    </row>
    <row r="532" spans="1:8" ht="15.75" customHeight="1" x14ac:dyDescent="0.25">
      <c r="A532" s="118" t="s">
        <v>30</v>
      </c>
      <c r="B532" s="15">
        <v>518</v>
      </c>
      <c r="C532" s="109" t="s">
        <v>945</v>
      </c>
      <c r="D532" s="406" t="s">
        <v>203</v>
      </c>
      <c r="E532" s="370"/>
      <c r="F532" s="371"/>
      <c r="G532" s="113" t="s">
        <v>946</v>
      </c>
      <c r="H532" s="385"/>
    </row>
    <row r="533" spans="1:8" ht="15.75" customHeight="1" x14ac:dyDescent="0.25">
      <c r="A533" s="118" t="s">
        <v>30</v>
      </c>
      <c r="B533" s="15">
        <v>519</v>
      </c>
      <c r="C533" s="109" t="s">
        <v>947</v>
      </c>
      <c r="D533" s="406" t="s">
        <v>203</v>
      </c>
      <c r="E533" s="370"/>
      <c r="F533" s="371"/>
      <c r="G533" s="113" t="s">
        <v>441</v>
      </c>
      <c r="H533" s="385"/>
    </row>
    <row r="534" spans="1:8" ht="15.75" customHeight="1" x14ac:dyDescent="0.25">
      <c r="A534" s="118" t="s">
        <v>30</v>
      </c>
      <c r="B534" s="15">
        <v>520</v>
      </c>
      <c r="C534" s="109" t="s">
        <v>948</v>
      </c>
      <c r="D534" s="406" t="s">
        <v>203</v>
      </c>
      <c r="E534" s="370"/>
      <c r="F534" s="371"/>
      <c r="G534" s="113" t="s">
        <v>949</v>
      </c>
      <c r="H534" s="385"/>
    </row>
    <row r="535" spans="1:8" ht="15.75" customHeight="1" x14ac:dyDescent="0.25">
      <c r="A535" s="118" t="s">
        <v>30</v>
      </c>
      <c r="B535" s="15">
        <v>521</v>
      </c>
      <c r="C535" s="109" t="s">
        <v>950</v>
      </c>
      <c r="D535" s="406" t="s">
        <v>203</v>
      </c>
      <c r="E535" s="370"/>
      <c r="F535" s="371"/>
      <c r="G535" s="113" t="s">
        <v>951</v>
      </c>
      <c r="H535" s="385"/>
    </row>
    <row r="536" spans="1:8" ht="15.75" customHeight="1" x14ac:dyDescent="0.25">
      <c r="A536" s="118" t="s">
        <v>30</v>
      </c>
      <c r="B536" s="15">
        <v>522</v>
      </c>
      <c r="C536" s="109" t="s">
        <v>952</v>
      </c>
      <c r="D536" s="406" t="s">
        <v>203</v>
      </c>
      <c r="E536" s="370"/>
      <c r="F536" s="371"/>
      <c r="G536" s="113" t="s">
        <v>953</v>
      </c>
      <c r="H536" s="385"/>
    </row>
    <row r="537" spans="1:8" ht="15.75" customHeight="1" x14ac:dyDescent="0.25">
      <c r="A537" s="118" t="s">
        <v>30</v>
      </c>
      <c r="B537" s="15">
        <v>523</v>
      </c>
      <c r="C537" s="109" t="s">
        <v>954</v>
      </c>
      <c r="D537" s="406" t="s">
        <v>203</v>
      </c>
      <c r="E537" s="370"/>
      <c r="F537" s="371"/>
      <c r="G537" s="113" t="s">
        <v>955</v>
      </c>
      <c r="H537" s="385"/>
    </row>
    <row r="538" spans="1:8" ht="15.75" customHeight="1" x14ac:dyDescent="0.25">
      <c r="A538" s="118" t="s">
        <v>30</v>
      </c>
      <c r="B538" s="15">
        <v>524</v>
      </c>
      <c r="C538" s="109" t="s">
        <v>956</v>
      </c>
      <c r="D538" s="406" t="s">
        <v>203</v>
      </c>
      <c r="E538" s="370"/>
      <c r="F538" s="371"/>
      <c r="G538" s="113" t="s">
        <v>957</v>
      </c>
      <c r="H538" s="385"/>
    </row>
    <row r="539" spans="1:8" ht="15.75" customHeight="1" x14ac:dyDescent="0.25">
      <c r="A539" s="118" t="s">
        <v>30</v>
      </c>
      <c r="B539" s="15">
        <v>525</v>
      </c>
      <c r="C539" s="109" t="s">
        <v>958</v>
      </c>
      <c r="D539" s="406" t="s">
        <v>203</v>
      </c>
      <c r="E539" s="370"/>
      <c r="F539" s="371"/>
      <c r="G539" s="113" t="s">
        <v>219</v>
      </c>
      <c r="H539" s="385"/>
    </row>
    <row r="540" spans="1:8" ht="15.75" customHeight="1" x14ac:dyDescent="0.25">
      <c r="A540" s="118" t="s">
        <v>30</v>
      </c>
      <c r="B540" s="15">
        <v>526</v>
      </c>
      <c r="C540" s="109" t="s">
        <v>959</v>
      </c>
      <c r="D540" s="406" t="s">
        <v>203</v>
      </c>
      <c r="E540" s="370"/>
      <c r="F540" s="371"/>
      <c r="G540" s="113" t="s">
        <v>960</v>
      </c>
      <c r="H540" s="385"/>
    </row>
    <row r="541" spans="1:8" ht="15.75" customHeight="1" x14ac:dyDescent="0.25">
      <c r="A541" s="118" t="s">
        <v>30</v>
      </c>
      <c r="B541" s="15">
        <v>527</v>
      </c>
      <c r="C541" s="109" t="s">
        <v>961</v>
      </c>
      <c r="D541" s="406" t="s">
        <v>203</v>
      </c>
      <c r="E541" s="370"/>
      <c r="F541" s="371"/>
      <c r="G541" s="113" t="s">
        <v>962</v>
      </c>
      <c r="H541" s="385"/>
    </row>
    <row r="542" spans="1:8" ht="15.75" customHeight="1" x14ac:dyDescent="0.25">
      <c r="A542" s="118" t="s">
        <v>30</v>
      </c>
      <c r="B542" s="15">
        <v>528</v>
      </c>
      <c r="C542" s="109" t="s">
        <v>963</v>
      </c>
      <c r="D542" s="406" t="s">
        <v>203</v>
      </c>
      <c r="E542" s="370"/>
      <c r="F542" s="371"/>
      <c r="G542" s="113" t="s">
        <v>964</v>
      </c>
      <c r="H542" s="385"/>
    </row>
    <row r="543" spans="1:8" ht="15.75" customHeight="1" x14ac:dyDescent="0.25">
      <c r="A543" s="118" t="s">
        <v>30</v>
      </c>
      <c r="B543" s="15">
        <v>529</v>
      </c>
      <c r="C543" s="109" t="s">
        <v>965</v>
      </c>
      <c r="D543" s="406" t="s">
        <v>203</v>
      </c>
      <c r="E543" s="370"/>
      <c r="F543" s="371"/>
      <c r="G543" s="113" t="s">
        <v>966</v>
      </c>
      <c r="H543" s="385"/>
    </row>
    <row r="544" spans="1:8" ht="15.75" customHeight="1" x14ac:dyDescent="0.25">
      <c r="A544" s="118" t="s">
        <v>30</v>
      </c>
      <c r="B544" s="15">
        <v>530</v>
      </c>
      <c r="C544" s="109" t="s">
        <v>967</v>
      </c>
      <c r="D544" s="406" t="s">
        <v>203</v>
      </c>
      <c r="E544" s="370"/>
      <c r="F544" s="371"/>
      <c r="G544" s="113" t="s">
        <v>279</v>
      </c>
      <c r="H544" s="385"/>
    </row>
    <row r="545" spans="1:8" ht="15.75" customHeight="1" x14ac:dyDescent="0.25">
      <c r="A545" s="118" t="s">
        <v>30</v>
      </c>
      <c r="B545" s="15">
        <v>531</v>
      </c>
      <c r="C545" s="109" t="s">
        <v>968</v>
      </c>
      <c r="D545" s="406" t="s">
        <v>203</v>
      </c>
      <c r="E545" s="370"/>
      <c r="F545" s="371"/>
      <c r="G545" s="113" t="s">
        <v>969</v>
      </c>
      <c r="H545" s="385"/>
    </row>
    <row r="546" spans="1:8" ht="15.75" customHeight="1" x14ac:dyDescent="0.25">
      <c r="A546" s="118" t="s">
        <v>30</v>
      </c>
      <c r="B546" s="15">
        <v>532</v>
      </c>
      <c r="C546" s="109" t="s">
        <v>970</v>
      </c>
      <c r="D546" s="406" t="s">
        <v>208</v>
      </c>
      <c r="E546" s="370"/>
      <c r="F546" s="371"/>
      <c r="G546" s="113"/>
      <c r="H546" s="385"/>
    </row>
    <row r="547" spans="1:8" ht="15.75" customHeight="1" x14ac:dyDescent="0.25">
      <c r="A547" s="118" t="s">
        <v>30</v>
      </c>
      <c r="B547" s="15">
        <v>533</v>
      </c>
      <c r="C547" s="109" t="s">
        <v>971</v>
      </c>
      <c r="D547" s="406" t="s">
        <v>208</v>
      </c>
      <c r="E547" s="370"/>
      <c r="F547" s="371"/>
      <c r="G547" s="113"/>
      <c r="H547" s="385"/>
    </row>
    <row r="548" spans="1:8" ht="15.75" customHeight="1" x14ac:dyDescent="0.25">
      <c r="A548" s="118" t="s">
        <v>30</v>
      </c>
      <c r="B548" s="15">
        <v>534</v>
      </c>
      <c r="C548" s="109" t="s">
        <v>972</v>
      </c>
      <c r="D548" s="406" t="s">
        <v>208</v>
      </c>
      <c r="E548" s="370"/>
      <c r="F548" s="371"/>
      <c r="G548" s="113"/>
      <c r="H548" s="385"/>
    </row>
    <row r="549" spans="1:8" ht="15.75" customHeight="1" x14ac:dyDescent="0.25">
      <c r="A549" s="118" t="s">
        <v>30</v>
      </c>
      <c r="B549" s="15">
        <v>535</v>
      </c>
      <c r="C549" s="109" t="s">
        <v>973</v>
      </c>
      <c r="D549" s="406" t="s">
        <v>203</v>
      </c>
      <c r="E549" s="370"/>
      <c r="F549" s="371"/>
      <c r="G549" s="113" t="s">
        <v>974</v>
      </c>
      <c r="H549" s="385"/>
    </row>
    <row r="550" spans="1:8" ht="15.75" customHeight="1" x14ac:dyDescent="0.25">
      <c r="A550" s="118" t="s">
        <v>30</v>
      </c>
      <c r="B550" s="15">
        <v>536</v>
      </c>
      <c r="C550" s="109" t="s">
        <v>975</v>
      </c>
      <c r="D550" s="406" t="s">
        <v>203</v>
      </c>
      <c r="E550" s="370"/>
      <c r="F550" s="371"/>
      <c r="G550" s="113" t="s">
        <v>976</v>
      </c>
      <c r="H550" s="385"/>
    </row>
    <row r="551" spans="1:8" ht="15.75" customHeight="1" x14ac:dyDescent="0.25">
      <c r="A551" s="118" t="s">
        <v>30</v>
      </c>
      <c r="B551" s="15">
        <v>537</v>
      </c>
      <c r="C551" s="109" t="s">
        <v>977</v>
      </c>
      <c r="D551" s="406" t="s">
        <v>203</v>
      </c>
      <c r="E551" s="370"/>
      <c r="F551" s="371"/>
      <c r="G551" s="113" t="s">
        <v>978</v>
      </c>
      <c r="H551" s="385"/>
    </row>
    <row r="552" spans="1:8" ht="15.75" customHeight="1" x14ac:dyDescent="0.25">
      <c r="A552" s="118" t="s">
        <v>30</v>
      </c>
      <c r="B552" s="15">
        <v>538</v>
      </c>
      <c r="C552" s="109" t="s">
        <v>979</v>
      </c>
      <c r="D552" s="406" t="s">
        <v>203</v>
      </c>
      <c r="E552" s="370"/>
      <c r="F552" s="371"/>
      <c r="G552" s="113" t="s">
        <v>980</v>
      </c>
      <c r="H552" s="385"/>
    </row>
    <row r="553" spans="1:8" ht="15.75" customHeight="1" x14ac:dyDescent="0.25">
      <c r="A553" s="118" t="s">
        <v>30</v>
      </c>
      <c r="B553" s="15">
        <v>539</v>
      </c>
      <c r="C553" s="109" t="s">
        <v>981</v>
      </c>
      <c r="D553" s="406" t="s">
        <v>203</v>
      </c>
      <c r="E553" s="370"/>
      <c r="F553" s="371"/>
      <c r="G553" s="113" t="s">
        <v>930</v>
      </c>
      <c r="H553" s="385"/>
    </row>
    <row r="554" spans="1:8" ht="15.75" customHeight="1" x14ac:dyDescent="0.25">
      <c r="A554" s="118" t="s">
        <v>30</v>
      </c>
      <c r="B554" s="15">
        <v>540</v>
      </c>
      <c r="C554" s="109" t="s">
        <v>982</v>
      </c>
      <c r="D554" s="406" t="s">
        <v>203</v>
      </c>
      <c r="E554" s="370"/>
      <c r="F554" s="371"/>
      <c r="G554" s="113" t="s">
        <v>983</v>
      </c>
      <c r="H554" s="385"/>
    </row>
    <row r="555" spans="1:8" ht="15.75" customHeight="1" x14ac:dyDescent="0.25">
      <c r="A555" s="118" t="s">
        <v>30</v>
      </c>
      <c r="B555" s="15">
        <v>541</v>
      </c>
      <c r="C555" s="109" t="s">
        <v>984</v>
      </c>
      <c r="D555" s="406" t="s">
        <v>203</v>
      </c>
      <c r="E555" s="370"/>
      <c r="F555" s="371"/>
      <c r="G555" s="113" t="s">
        <v>985</v>
      </c>
      <c r="H555" s="385"/>
    </row>
    <row r="556" spans="1:8" ht="15.75" customHeight="1" x14ac:dyDescent="0.25">
      <c r="A556" s="118" t="s">
        <v>30</v>
      </c>
      <c r="B556" s="15">
        <v>542</v>
      </c>
      <c r="C556" s="109" t="s">
        <v>986</v>
      </c>
      <c r="D556" s="406" t="s">
        <v>203</v>
      </c>
      <c r="E556" s="370"/>
      <c r="F556" s="371"/>
      <c r="G556" s="113" t="s">
        <v>987</v>
      </c>
      <c r="H556" s="385"/>
    </row>
    <row r="557" spans="1:8" ht="15.75" customHeight="1" x14ac:dyDescent="0.25">
      <c r="A557" s="118" t="s">
        <v>30</v>
      </c>
      <c r="B557" s="15">
        <v>543</v>
      </c>
      <c r="C557" s="109" t="s">
        <v>988</v>
      </c>
      <c r="D557" s="406" t="s">
        <v>208</v>
      </c>
      <c r="E557" s="370"/>
      <c r="F557" s="371"/>
      <c r="G557" s="113"/>
      <c r="H557" s="385"/>
    </row>
    <row r="558" spans="1:8" ht="15.75" customHeight="1" x14ac:dyDescent="0.25">
      <c r="A558" s="118" t="s">
        <v>30</v>
      </c>
      <c r="B558" s="15">
        <v>544</v>
      </c>
      <c r="C558" s="109"/>
      <c r="D558" s="406" t="s">
        <v>208</v>
      </c>
      <c r="E558" s="370"/>
      <c r="F558" s="371"/>
      <c r="G558" s="113"/>
      <c r="H558" s="385"/>
    </row>
    <row r="559" spans="1:8" ht="15.75" customHeight="1" x14ac:dyDescent="0.25">
      <c r="A559" s="110" t="s">
        <v>989</v>
      </c>
      <c r="B559" s="15">
        <v>545</v>
      </c>
      <c r="C559" s="91" t="s">
        <v>990</v>
      </c>
      <c r="D559" s="406" t="s">
        <v>203</v>
      </c>
      <c r="E559" s="370"/>
      <c r="F559" s="371"/>
      <c r="G559" s="119" t="s">
        <v>991</v>
      </c>
      <c r="H559" s="385"/>
    </row>
    <row r="560" spans="1:8" ht="15.75" customHeight="1" x14ac:dyDescent="0.25">
      <c r="A560" s="118" t="s">
        <v>29</v>
      </c>
      <c r="B560" s="15">
        <v>546</v>
      </c>
      <c r="C560" s="109" t="s">
        <v>992</v>
      </c>
      <c r="D560" s="406" t="s">
        <v>203</v>
      </c>
      <c r="E560" s="370"/>
      <c r="F560" s="371"/>
      <c r="G560" s="117" t="s">
        <v>993</v>
      </c>
      <c r="H560" s="385"/>
    </row>
    <row r="561" spans="1:8" ht="15.75" customHeight="1" x14ac:dyDescent="0.25">
      <c r="A561" s="118" t="s">
        <v>29</v>
      </c>
      <c r="B561" s="15">
        <v>547</v>
      </c>
      <c r="C561" s="109" t="s">
        <v>994</v>
      </c>
      <c r="D561" s="406" t="s">
        <v>208</v>
      </c>
      <c r="E561" s="370"/>
      <c r="F561" s="371"/>
      <c r="G561" s="113"/>
      <c r="H561" s="385"/>
    </row>
    <row r="562" spans="1:8" ht="15.75" customHeight="1" x14ac:dyDescent="0.25">
      <c r="A562" s="118" t="s">
        <v>29</v>
      </c>
      <c r="B562" s="15">
        <v>548</v>
      </c>
      <c r="C562" s="109" t="s">
        <v>995</v>
      </c>
      <c r="D562" s="406" t="s">
        <v>203</v>
      </c>
      <c r="E562" s="370"/>
      <c r="F562" s="371"/>
      <c r="G562" s="113" t="s">
        <v>996</v>
      </c>
      <c r="H562" s="385"/>
    </row>
    <row r="563" spans="1:8" ht="15.75" customHeight="1" x14ac:dyDescent="0.25">
      <c r="A563" s="118" t="s">
        <v>29</v>
      </c>
      <c r="B563" s="15">
        <v>549</v>
      </c>
      <c r="C563" s="109" t="s">
        <v>997</v>
      </c>
      <c r="D563" s="406" t="s">
        <v>203</v>
      </c>
      <c r="E563" s="370"/>
      <c r="F563" s="371"/>
      <c r="G563" s="113" t="s">
        <v>998</v>
      </c>
      <c r="H563" s="385"/>
    </row>
    <row r="564" spans="1:8" ht="15.75" customHeight="1" x14ac:dyDescent="0.25">
      <c r="A564" s="118" t="s">
        <v>29</v>
      </c>
      <c r="B564" s="15">
        <v>550</v>
      </c>
      <c r="C564" s="109" t="s">
        <v>999</v>
      </c>
      <c r="D564" s="406" t="s">
        <v>203</v>
      </c>
      <c r="E564" s="370"/>
      <c r="F564" s="371"/>
      <c r="G564" s="113" t="s">
        <v>1000</v>
      </c>
      <c r="H564" s="385"/>
    </row>
    <row r="565" spans="1:8" ht="15.75" customHeight="1" x14ac:dyDescent="0.25">
      <c r="A565" s="118" t="s">
        <v>29</v>
      </c>
      <c r="B565" s="15">
        <v>551</v>
      </c>
      <c r="C565" s="109" t="s">
        <v>1001</v>
      </c>
      <c r="D565" s="406" t="s">
        <v>203</v>
      </c>
      <c r="E565" s="370"/>
      <c r="F565" s="371"/>
      <c r="G565" s="113" t="s">
        <v>1002</v>
      </c>
      <c r="H565" s="385"/>
    </row>
    <row r="566" spans="1:8" ht="15.75" customHeight="1" x14ac:dyDescent="0.25">
      <c r="A566" s="118" t="s">
        <v>29</v>
      </c>
      <c r="B566" s="15">
        <v>552</v>
      </c>
      <c r="C566" s="109" t="s">
        <v>1003</v>
      </c>
      <c r="D566" s="406" t="s">
        <v>208</v>
      </c>
      <c r="E566" s="370"/>
      <c r="F566" s="371"/>
      <c r="G566" s="113"/>
      <c r="H566" s="385"/>
    </row>
    <row r="567" spans="1:8" ht="15.75" customHeight="1" x14ac:dyDescent="0.25">
      <c r="A567" s="118" t="s">
        <v>29</v>
      </c>
      <c r="B567" s="15">
        <v>553</v>
      </c>
      <c r="C567" s="109" t="s">
        <v>1004</v>
      </c>
      <c r="D567" s="406" t="s">
        <v>203</v>
      </c>
      <c r="E567" s="370"/>
      <c r="F567" s="371"/>
      <c r="G567" s="113" t="s">
        <v>1005</v>
      </c>
      <c r="H567" s="385"/>
    </row>
    <row r="568" spans="1:8" ht="15.75" customHeight="1" x14ac:dyDescent="0.25">
      <c r="A568" s="118" t="s">
        <v>29</v>
      </c>
      <c r="B568" s="15">
        <v>554</v>
      </c>
      <c r="C568" s="109" t="s">
        <v>1006</v>
      </c>
      <c r="D568" s="406" t="s">
        <v>203</v>
      </c>
      <c r="E568" s="370"/>
      <c r="F568" s="371"/>
      <c r="G568" s="113" t="s">
        <v>1007</v>
      </c>
      <c r="H568" s="385"/>
    </row>
    <row r="569" spans="1:8" ht="15.75" customHeight="1" x14ac:dyDescent="0.25">
      <c r="A569" s="118" t="s">
        <v>29</v>
      </c>
      <c r="B569" s="15">
        <v>555</v>
      </c>
      <c r="C569" s="109" t="s">
        <v>1008</v>
      </c>
      <c r="D569" s="406" t="s">
        <v>203</v>
      </c>
      <c r="E569" s="370"/>
      <c r="F569" s="371"/>
      <c r="G569" s="113" t="s">
        <v>1009</v>
      </c>
      <c r="H569" s="385"/>
    </row>
    <row r="570" spans="1:8" ht="15.75" customHeight="1" x14ac:dyDescent="0.25">
      <c r="A570" s="118" t="s">
        <v>29</v>
      </c>
      <c r="B570" s="15">
        <v>556</v>
      </c>
      <c r="C570" s="109" t="s">
        <v>1010</v>
      </c>
      <c r="D570" s="406" t="s">
        <v>203</v>
      </c>
      <c r="E570" s="370"/>
      <c r="F570" s="371"/>
      <c r="G570" s="113" t="s">
        <v>1011</v>
      </c>
      <c r="H570" s="385"/>
    </row>
    <row r="571" spans="1:8" ht="15.75" customHeight="1" x14ac:dyDescent="0.25">
      <c r="A571" s="118" t="s">
        <v>29</v>
      </c>
      <c r="B571" s="15">
        <v>557</v>
      </c>
      <c r="C571" s="109" t="s">
        <v>1012</v>
      </c>
      <c r="D571" s="406" t="s">
        <v>203</v>
      </c>
      <c r="E571" s="370"/>
      <c r="F571" s="371"/>
      <c r="G571" s="113" t="s">
        <v>1013</v>
      </c>
      <c r="H571" s="385"/>
    </row>
    <row r="572" spans="1:8" ht="15.75" customHeight="1" x14ac:dyDescent="0.25">
      <c r="A572" s="118" t="s">
        <v>29</v>
      </c>
      <c r="B572" s="15">
        <v>558</v>
      </c>
      <c r="C572" s="109" t="s">
        <v>1014</v>
      </c>
      <c r="D572" s="406" t="s">
        <v>203</v>
      </c>
      <c r="E572" s="370"/>
      <c r="F572" s="371"/>
      <c r="G572" s="113" t="s">
        <v>1011</v>
      </c>
      <c r="H572" s="385"/>
    </row>
    <row r="573" spans="1:8" ht="15.75" customHeight="1" x14ac:dyDescent="0.25">
      <c r="A573" s="118" t="s">
        <v>29</v>
      </c>
      <c r="B573" s="15">
        <v>559</v>
      </c>
      <c r="C573" s="109" t="s">
        <v>1015</v>
      </c>
      <c r="D573" s="406" t="s">
        <v>247</v>
      </c>
      <c r="E573" s="370"/>
      <c r="F573" s="371"/>
      <c r="G573" s="113"/>
      <c r="H573" s="385"/>
    </row>
    <row r="574" spans="1:8" ht="15.75" customHeight="1" x14ac:dyDescent="0.25">
      <c r="A574" s="118" t="s">
        <v>29</v>
      </c>
      <c r="B574" s="15">
        <v>560</v>
      </c>
      <c r="C574" s="109" t="s">
        <v>1016</v>
      </c>
      <c r="D574" s="406" t="s">
        <v>247</v>
      </c>
      <c r="E574" s="370"/>
      <c r="F574" s="371"/>
      <c r="G574" s="113"/>
      <c r="H574" s="385"/>
    </row>
    <row r="575" spans="1:8" ht="15.75" customHeight="1" x14ac:dyDescent="0.25">
      <c r="A575" s="118" t="s">
        <v>29</v>
      </c>
      <c r="B575" s="15">
        <v>561</v>
      </c>
      <c r="C575" s="109" t="s">
        <v>1017</v>
      </c>
      <c r="D575" s="406" t="s">
        <v>203</v>
      </c>
      <c r="E575" s="370"/>
      <c r="F575" s="371"/>
      <c r="G575" s="113" t="s">
        <v>279</v>
      </c>
      <c r="H575" s="385"/>
    </row>
    <row r="576" spans="1:8" ht="15.75" customHeight="1" x14ac:dyDescent="0.25">
      <c r="A576" s="118" t="s">
        <v>29</v>
      </c>
      <c r="B576" s="15">
        <v>562</v>
      </c>
      <c r="C576" s="109" t="s">
        <v>1018</v>
      </c>
      <c r="D576" s="406" t="s">
        <v>203</v>
      </c>
      <c r="E576" s="370"/>
      <c r="F576" s="371"/>
      <c r="G576" s="117" t="s">
        <v>1019</v>
      </c>
      <c r="H576" s="385"/>
    </row>
    <row r="577" spans="1:8" ht="15.75" customHeight="1" x14ac:dyDescent="0.25">
      <c r="A577" s="118" t="s">
        <v>29</v>
      </c>
      <c r="B577" s="15">
        <v>563</v>
      </c>
      <c r="C577" s="109" t="s">
        <v>1020</v>
      </c>
      <c r="D577" s="406" t="s">
        <v>208</v>
      </c>
      <c r="E577" s="370"/>
      <c r="F577" s="371"/>
      <c r="G577" s="113"/>
      <c r="H577" s="385"/>
    </row>
    <row r="578" spans="1:8" ht="15.75" customHeight="1" x14ac:dyDescent="0.25">
      <c r="A578" s="118" t="s">
        <v>29</v>
      </c>
      <c r="B578" s="15">
        <v>564</v>
      </c>
      <c r="C578" s="109" t="s">
        <v>1021</v>
      </c>
      <c r="D578" s="406" t="s">
        <v>203</v>
      </c>
      <c r="E578" s="370"/>
      <c r="F578" s="371"/>
      <c r="G578" s="113" t="s">
        <v>1022</v>
      </c>
      <c r="H578" s="385"/>
    </row>
    <row r="579" spans="1:8" ht="15.75" customHeight="1" x14ac:dyDescent="0.25">
      <c r="A579" s="118" t="s">
        <v>29</v>
      </c>
      <c r="B579" s="15">
        <v>565</v>
      </c>
      <c r="C579" s="109" t="s">
        <v>1023</v>
      </c>
      <c r="D579" s="406" t="s">
        <v>208</v>
      </c>
      <c r="E579" s="370"/>
      <c r="F579" s="371"/>
      <c r="G579" s="113"/>
      <c r="H579" s="385"/>
    </row>
    <row r="580" spans="1:8" ht="15.75" customHeight="1" x14ac:dyDescent="0.25">
      <c r="A580" s="118" t="s">
        <v>29</v>
      </c>
      <c r="B580" s="15">
        <v>566</v>
      </c>
      <c r="C580" s="109" t="s">
        <v>1024</v>
      </c>
      <c r="D580" s="406" t="s">
        <v>203</v>
      </c>
      <c r="E580" s="370"/>
      <c r="F580" s="371"/>
      <c r="G580" s="113" t="s">
        <v>1025</v>
      </c>
      <c r="H580" s="385"/>
    </row>
    <row r="581" spans="1:8" ht="15.75" customHeight="1" x14ac:dyDescent="0.25">
      <c r="A581" s="118" t="s">
        <v>29</v>
      </c>
      <c r="B581" s="15">
        <v>567</v>
      </c>
      <c r="C581" s="109" t="s">
        <v>1026</v>
      </c>
      <c r="D581" s="406" t="s">
        <v>203</v>
      </c>
      <c r="E581" s="370"/>
      <c r="F581" s="371"/>
      <c r="G581" s="113" t="s">
        <v>279</v>
      </c>
      <c r="H581" s="385"/>
    </row>
    <row r="582" spans="1:8" ht="15.75" customHeight="1" x14ac:dyDescent="0.25">
      <c r="A582" s="118" t="s">
        <v>29</v>
      </c>
      <c r="B582" s="15">
        <v>568</v>
      </c>
      <c r="C582" s="109" t="s">
        <v>1027</v>
      </c>
      <c r="D582" s="406" t="s">
        <v>203</v>
      </c>
      <c r="E582" s="370"/>
      <c r="F582" s="371"/>
      <c r="G582" s="113" t="s">
        <v>313</v>
      </c>
      <c r="H582" s="385"/>
    </row>
    <row r="583" spans="1:8" ht="15.75" customHeight="1" x14ac:dyDescent="0.25">
      <c r="A583" s="118" t="s">
        <v>29</v>
      </c>
      <c r="B583" s="15">
        <v>569</v>
      </c>
      <c r="C583" s="109" t="s">
        <v>1028</v>
      </c>
      <c r="D583" s="406" t="s">
        <v>203</v>
      </c>
      <c r="E583" s="370"/>
      <c r="F583" s="371"/>
      <c r="G583" s="113" t="s">
        <v>279</v>
      </c>
      <c r="H583" s="385"/>
    </row>
    <row r="584" spans="1:8" ht="15.75" customHeight="1" x14ac:dyDescent="0.25">
      <c r="A584" s="118" t="s">
        <v>29</v>
      </c>
      <c r="B584" s="15">
        <v>570</v>
      </c>
      <c r="C584" s="109" t="s">
        <v>1029</v>
      </c>
      <c r="D584" s="406" t="s">
        <v>203</v>
      </c>
      <c r="E584" s="370"/>
      <c r="F584" s="371"/>
      <c r="G584" s="113" t="s">
        <v>1030</v>
      </c>
      <c r="H584" s="385"/>
    </row>
    <row r="585" spans="1:8" ht="15.75" customHeight="1" x14ac:dyDescent="0.25">
      <c r="A585" s="118" t="s">
        <v>29</v>
      </c>
      <c r="B585" s="15">
        <v>571</v>
      </c>
      <c r="C585" s="109" t="s">
        <v>1031</v>
      </c>
      <c r="D585" s="406" t="s">
        <v>203</v>
      </c>
      <c r="E585" s="370"/>
      <c r="F585" s="371"/>
      <c r="G585" s="113" t="s">
        <v>1032</v>
      </c>
      <c r="H585" s="385"/>
    </row>
    <row r="586" spans="1:8" ht="15.75" customHeight="1" x14ac:dyDescent="0.25">
      <c r="A586" s="118" t="s">
        <v>29</v>
      </c>
      <c r="B586" s="15">
        <v>572</v>
      </c>
      <c r="C586" s="109" t="s">
        <v>1033</v>
      </c>
      <c r="D586" s="406" t="s">
        <v>203</v>
      </c>
      <c r="E586" s="370"/>
      <c r="F586" s="371"/>
      <c r="G586" s="113" t="s">
        <v>1034</v>
      </c>
      <c r="H586" s="385"/>
    </row>
    <row r="587" spans="1:8" ht="15.75" customHeight="1" x14ac:dyDescent="0.25">
      <c r="A587" s="118" t="s">
        <v>29</v>
      </c>
      <c r="B587" s="15">
        <v>573</v>
      </c>
      <c r="C587" s="109" t="s">
        <v>1035</v>
      </c>
      <c r="D587" s="406" t="s">
        <v>203</v>
      </c>
      <c r="E587" s="370"/>
      <c r="F587" s="371"/>
      <c r="G587" s="113" t="s">
        <v>1036</v>
      </c>
      <c r="H587" s="385"/>
    </row>
    <row r="588" spans="1:8" ht="15.75" customHeight="1" x14ac:dyDescent="0.25">
      <c r="A588" s="118" t="s">
        <v>29</v>
      </c>
      <c r="B588" s="15">
        <v>574</v>
      </c>
      <c r="C588" s="109" t="s">
        <v>1037</v>
      </c>
      <c r="D588" s="406" t="s">
        <v>203</v>
      </c>
      <c r="E588" s="370"/>
      <c r="F588" s="371"/>
      <c r="G588" s="117" t="s">
        <v>1038</v>
      </c>
      <c r="H588" s="385"/>
    </row>
    <row r="589" spans="1:8" ht="15.75" customHeight="1" x14ac:dyDescent="0.25">
      <c r="A589" s="118" t="s">
        <v>29</v>
      </c>
      <c r="B589" s="15">
        <v>575</v>
      </c>
      <c r="C589" s="109" t="s">
        <v>1039</v>
      </c>
      <c r="D589" s="406" t="s">
        <v>203</v>
      </c>
      <c r="E589" s="370"/>
      <c r="F589" s="371"/>
      <c r="G589" s="113" t="s">
        <v>1040</v>
      </c>
      <c r="H589" s="385"/>
    </row>
    <row r="590" spans="1:8" ht="15.75" customHeight="1" x14ac:dyDescent="0.25">
      <c r="A590" s="118" t="s">
        <v>29</v>
      </c>
      <c r="B590" s="15">
        <v>576</v>
      </c>
      <c r="C590" s="109" t="s">
        <v>1041</v>
      </c>
      <c r="D590" s="406" t="s">
        <v>203</v>
      </c>
      <c r="E590" s="370"/>
      <c r="F590" s="371"/>
      <c r="G590" s="113" t="s">
        <v>1042</v>
      </c>
      <c r="H590" s="385"/>
    </row>
    <row r="591" spans="1:8" ht="15.75" customHeight="1" x14ac:dyDescent="0.25">
      <c r="A591" s="118" t="s">
        <v>29</v>
      </c>
      <c r="B591" s="15">
        <v>577</v>
      </c>
      <c r="C591" s="109" t="s">
        <v>1043</v>
      </c>
      <c r="D591" s="406" t="s">
        <v>203</v>
      </c>
      <c r="E591" s="370"/>
      <c r="F591" s="371"/>
      <c r="G591" s="113" t="s">
        <v>1044</v>
      </c>
      <c r="H591" s="385"/>
    </row>
    <row r="592" spans="1:8" ht="15.75" customHeight="1" x14ac:dyDescent="0.25">
      <c r="A592" s="118" t="s">
        <v>29</v>
      </c>
      <c r="B592" s="15">
        <v>578</v>
      </c>
      <c r="C592" s="109" t="s">
        <v>1045</v>
      </c>
      <c r="D592" s="406" t="s">
        <v>203</v>
      </c>
      <c r="E592" s="370"/>
      <c r="F592" s="371"/>
      <c r="G592" s="113" t="s">
        <v>1046</v>
      </c>
      <c r="H592" s="385"/>
    </row>
    <row r="593" spans="1:8" ht="15.75" customHeight="1" x14ac:dyDescent="0.25">
      <c r="A593" s="118" t="s">
        <v>29</v>
      </c>
      <c r="B593" s="15">
        <v>579</v>
      </c>
      <c r="C593" s="109" t="s">
        <v>1047</v>
      </c>
      <c r="D593" s="406" t="s">
        <v>203</v>
      </c>
      <c r="E593" s="370"/>
      <c r="F593" s="371"/>
      <c r="G593" s="113" t="s">
        <v>1048</v>
      </c>
      <c r="H593" s="385"/>
    </row>
    <row r="594" spans="1:8" ht="15.75" customHeight="1" x14ac:dyDescent="0.25">
      <c r="A594" s="118" t="s">
        <v>29</v>
      </c>
      <c r="B594" s="15">
        <v>580</v>
      </c>
      <c r="C594" s="109" t="s">
        <v>1049</v>
      </c>
      <c r="D594" s="406" t="s">
        <v>203</v>
      </c>
      <c r="E594" s="370"/>
      <c r="F594" s="371"/>
      <c r="G594" s="113" t="s">
        <v>1050</v>
      </c>
      <c r="H594" s="385"/>
    </row>
    <row r="595" spans="1:8" ht="15.75" customHeight="1" x14ac:dyDescent="0.25">
      <c r="A595" s="118" t="s">
        <v>29</v>
      </c>
      <c r="B595" s="15">
        <v>581</v>
      </c>
      <c r="C595" s="109" t="s">
        <v>1051</v>
      </c>
      <c r="D595" s="406" t="s">
        <v>203</v>
      </c>
      <c r="E595" s="370"/>
      <c r="F595" s="371"/>
      <c r="G595" s="113" t="s">
        <v>1052</v>
      </c>
      <c r="H595" s="385"/>
    </row>
    <row r="596" spans="1:8" ht="15.75" customHeight="1" x14ac:dyDescent="0.25">
      <c r="A596" s="118" t="s">
        <v>29</v>
      </c>
      <c r="B596" s="15">
        <v>582</v>
      </c>
      <c r="C596" s="109" t="s">
        <v>1053</v>
      </c>
      <c r="D596" s="406" t="s">
        <v>208</v>
      </c>
      <c r="E596" s="370"/>
      <c r="F596" s="371"/>
      <c r="G596" s="113"/>
      <c r="H596" s="385"/>
    </row>
    <row r="597" spans="1:8" ht="15.75" customHeight="1" x14ac:dyDescent="0.25">
      <c r="A597" s="118" t="s">
        <v>29</v>
      </c>
      <c r="B597" s="15">
        <v>583</v>
      </c>
      <c r="C597" s="109" t="s">
        <v>1054</v>
      </c>
      <c r="D597" s="406" t="s">
        <v>203</v>
      </c>
      <c r="E597" s="370"/>
      <c r="F597" s="371"/>
      <c r="G597" s="113" t="s">
        <v>1055</v>
      </c>
      <c r="H597" s="385"/>
    </row>
    <row r="598" spans="1:8" ht="15.75" customHeight="1" x14ac:dyDescent="0.25">
      <c r="A598" s="118" t="s">
        <v>29</v>
      </c>
      <c r="B598" s="15">
        <v>584</v>
      </c>
      <c r="C598" s="109" t="s">
        <v>1056</v>
      </c>
      <c r="D598" s="406" t="s">
        <v>208</v>
      </c>
      <c r="E598" s="370"/>
      <c r="F598" s="371"/>
      <c r="G598" s="113"/>
      <c r="H598" s="385"/>
    </row>
    <row r="599" spans="1:8" ht="15.75" customHeight="1" x14ac:dyDescent="0.25">
      <c r="A599" s="118" t="s">
        <v>29</v>
      </c>
      <c r="B599" s="15">
        <v>585</v>
      </c>
      <c r="C599" s="109" t="s">
        <v>1057</v>
      </c>
      <c r="D599" s="406" t="s">
        <v>208</v>
      </c>
      <c r="E599" s="370"/>
      <c r="F599" s="371"/>
      <c r="G599" s="113"/>
      <c r="H599" s="385"/>
    </row>
    <row r="600" spans="1:8" ht="15.75" customHeight="1" x14ac:dyDescent="0.25">
      <c r="A600" s="118" t="s">
        <v>29</v>
      </c>
      <c r="B600" s="15">
        <v>586</v>
      </c>
      <c r="C600" s="109" t="s">
        <v>1058</v>
      </c>
      <c r="D600" s="406" t="s">
        <v>203</v>
      </c>
      <c r="E600" s="370"/>
      <c r="F600" s="371"/>
      <c r="G600" s="113" t="s">
        <v>1059</v>
      </c>
      <c r="H600" s="385"/>
    </row>
    <row r="601" spans="1:8" ht="15.75" customHeight="1" x14ac:dyDescent="0.25">
      <c r="A601" s="118" t="s">
        <v>29</v>
      </c>
      <c r="B601" s="15">
        <v>587</v>
      </c>
      <c r="C601" s="109" t="s">
        <v>1060</v>
      </c>
      <c r="D601" s="406" t="s">
        <v>203</v>
      </c>
      <c r="E601" s="370"/>
      <c r="F601" s="371"/>
      <c r="G601" s="113" t="s">
        <v>313</v>
      </c>
      <c r="H601" s="385"/>
    </row>
    <row r="602" spans="1:8" ht="15.75" customHeight="1" x14ac:dyDescent="0.25">
      <c r="A602" s="118" t="s">
        <v>29</v>
      </c>
      <c r="B602" s="15">
        <v>588</v>
      </c>
      <c r="C602" s="109" t="s">
        <v>1061</v>
      </c>
      <c r="D602" s="406" t="s">
        <v>203</v>
      </c>
      <c r="E602" s="370"/>
      <c r="F602" s="371"/>
      <c r="G602" s="113" t="s">
        <v>1062</v>
      </c>
      <c r="H602" s="385"/>
    </row>
    <row r="603" spans="1:8" ht="15.75" customHeight="1" x14ac:dyDescent="0.25">
      <c r="A603" s="118" t="s">
        <v>29</v>
      </c>
      <c r="B603" s="15">
        <v>589</v>
      </c>
      <c r="C603" s="109" t="s">
        <v>1063</v>
      </c>
      <c r="D603" s="406" t="s">
        <v>203</v>
      </c>
      <c r="E603" s="370"/>
      <c r="F603" s="371"/>
      <c r="G603" s="113" t="s">
        <v>1064</v>
      </c>
      <c r="H603" s="385"/>
    </row>
    <row r="604" spans="1:8" ht="15.75" customHeight="1" x14ac:dyDescent="0.25">
      <c r="A604" s="118" t="s">
        <v>29</v>
      </c>
      <c r="B604" s="15">
        <v>590</v>
      </c>
      <c r="C604" s="109" t="s">
        <v>1065</v>
      </c>
      <c r="D604" s="406" t="s">
        <v>203</v>
      </c>
      <c r="E604" s="370"/>
      <c r="F604" s="371"/>
      <c r="G604" s="113" t="s">
        <v>1066</v>
      </c>
      <c r="H604" s="385"/>
    </row>
    <row r="605" spans="1:8" ht="15.75" customHeight="1" x14ac:dyDescent="0.25">
      <c r="A605" s="118" t="s">
        <v>29</v>
      </c>
      <c r="B605" s="15">
        <v>591</v>
      </c>
      <c r="C605" s="109" t="s">
        <v>1067</v>
      </c>
      <c r="D605" s="406" t="s">
        <v>203</v>
      </c>
      <c r="E605" s="370"/>
      <c r="F605" s="371"/>
      <c r="G605" s="113" t="s">
        <v>1068</v>
      </c>
      <c r="H605" s="385"/>
    </row>
    <row r="606" spans="1:8" ht="15.75" customHeight="1" x14ac:dyDescent="0.25">
      <c r="A606" s="118" t="s">
        <v>29</v>
      </c>
      <c r="B606" s="15">
        <v>592</v>
      </c>
      <c r="C606" s="109" t="s">
        <v>1069</v>
      </c>
      <c r="D606" s="406" t="s">
        <v>247</v>
      </c>
      <c r="E606" s="370"/>
      <c r="F606" s="371"/>
      <c r="G606" s="113"/>
      <c r="H606" s="385"/>
    </row>
    <row r="607" spans="1:8" ht="15.75" customHeight="1" x14ac:dyDescent="0.25">
      <c r="A607" s="118" t="s">
        <v>29</v>
      </c>
      <c r="B607" s="15">
        <v>593</v>
      </c>
      <c r="C607" s="109" t="s">
        <v>1070</v>
      </c>
      <c r="D607" s="406" t="s">
        <v>203</v>
      </c>
      <c r="E607" s="370"/>
      <c r="F607" s="371"/>
      <c r="G607" s="113" t="s">
        <v>219</v>
      </c>
      <c r="H607" s="385"/>
    </row>
    <row r="608" spans="1:8" ht="15.75" customHeight="1" x14ac:dyDescent="0.25">
      <c r="A608" s="118" t="s">
        <v>29</v>
      </c>
      <c r="B608" s="15">
        <v>594</v>
      </c>
      <c r="C608" s="109" t="s">
        <v>1071</v>
      </c>
      <c r="D608" s="406" t="s">
        <v>203</v>
      </c>
      <c r="E608" s="370"/>
      <c r="F608" s="371"/>
      <c r="G608" s="113" t="s">
        <v>1072</v>
      </c>
      <c r="H608" s="385"/>
    </row>
    <row r="609" spans="1:8" ht="15.75" customHeight="1" x14ac:dyDescent="0.25">
      <c r="A609" s="118" t="s">
        <v>29</v>
      </c>
      <c r="B609" s="15">
        <v>595</v>
      </c>
      <c r="C609" s="109" t="s">
        <v>1073</v>
      </c>
      <c r="D609" s="406" t="s">
        <v>208</v>
      </c>
      <c r="E609" s="370"/>
      <c r="F609" s="371"/>
      <c r="G609" s="113"/>
      <c r="H609" s="385"/>
    </row>
    <row r="610" spans="1:8" ht="15.75" customHeight="1" x14ac:dyDescent="0.25">
      <c r="A610" s="118" t="s">
        <v>29</v>
      </c>
      <c r="B610" s="15">
        <v>596</v>
      </c>
      <c r="C610" s="109" t="s">
        <v>1074</v>
      </c>
      <c r="D610" s="406" t="s">
        <v>203</v>
      </c>
      <c r="E610" s="370"/>
      <c r="F610" s="371"/>
      <c r="G610" s="113" t="s">
        <v>1075</v>
      </c>
      <c r="H610" s="385"/>
    </row>
    <row r="611" spans="1:8" ht="15.75" customHeight="1" x14ac:dyDescent="0.25">
      <c r="A611" s="118" t="s">
        <v>29</v>
      </c>
      <c r="B611" s="15">
        <v>597</v>
      </c>
      <c r="C611" s="109" t="s">
        <v>1076</v>
      </c>
      <c r="D611" s="406" t="s">
        <v>203</v>
      </c>
      <c r="E611" s="370"/>
      <c r="F611" s="371"/>
      <c r="G611" s="113" t="s">
        <v>1077</v>
      </c>
      <c r="H611" s="385"/>
    </row>
    <row r="612" spans="1:8" ht="15.75" customHeight="1" x14ac:dyDescent="0.25">
      <c r="A612" s="118" t="s">
        <v>29</v>
      </c>
      <c r="B612" s="15">
        <v>598</v>
      </c>
      <c r="C612" s="109" t="s">
        <v>1078</v>
      </c>
      <c r="D612" s="406" t="s">
        <v>203</v>
      </c>
      <c r="E612" s="370"/>
      <c r="F612" s="371"/>
      <c r="G612" s="113" t="s">
        <v>1079</v>
      </c>
      <c r="H612" s="385"/>
    </row>
    <row r="613" spans="1:8" ht="15.75" customHeight="1" x14ac:dyDescent="0.25">
      <c r="A613" s="118" t="s">
        <v>29</v>
      </c>
      <c r="B613" s="15">
        <v>599</v>
      </c>
      <c r="C613" s="109" t="s">
        <v>1080</v>
      </c>
      <c r="D613" s="406" t="s">
        <v>203</v>
      </c>
      <c r="E613" s="370"/>
      <c r="F613" s="371"/>
      <c r="G613" s="113" t="s">
        <v>1081</v>
      </c>
      <c r="H613" s="385"/>
    </row>
    <row r="614" spans="1:8" ht="15.75" customHeight="1" x14ac:dyDescent="0.25">
      <c r="A614" s="118" t="s">
        <v>1082</v>
      </c>
      <c r="B614" s="15">
        <v>600</v>
      </c>
      <c r="C614" s="109" t="s">
        <v>1083</v>
      </c>
      <c r="D614" s="406" t="s">
        <v>208</v>
      </c>
      <c r="E614" s="370"/>
      <c r="F614" s="371"/>
      <c r="G614" s="107"/>
      <c r="H614" s="385"/>
    </row>
    <row r="615" spans="1:8" ht="15.75" customHeight="1" x14ac:dyDescent="0.25">
      <c r="A615" s="118" t="s">
        <v>1082</v>
      </c>
      <c r="B615" s="15">
        <v>601</v>
      </c>
      <c r="C615" s="109" t="s">
        <v>1084</v>
      </c>
      <c r="D615" s="406" t="s">
        <v>203</v>
      </c>
      <c r="E615" s="370"/>
      <c r="F615" s="371"/>
      <c r="G615" s="107" t="s">
        <v>1085</v>
      </c>
      <c r="H615" s="385"/>
    </row>
    <row r="616" spans="1:8" ht="15.75" customHeight="1" x14ac:dyDescent="0.25">
      <c r="A616" s="118" t="s">
        <v>1082</v>
      </c>
      <c r="B616" s="15">
        <v>602</v>
      </c>
      <c r="C616" s="109" t="s">
        <v>1086</v>
      </c>
      <c r="D616" s="406" t="s">
        <v>203</v>
      </c>
      <c r="E616" s="370"/>
      <c r="F616" s="371"/>
      <c r="G616" s="107" t="s">
        <v>1087</v>
      </c>
      <c r="H616" s="385"/>
    </row>
    <row r="617" spans="1:8" ht="15.75" customHeight="1" x14ac:dyDescent="0.25">
      <c r="A617" s="118" t="s">
        <v>1082</v>
      </c>
      <c r="B617" s="15">
        <v>603</v>
      </c>
      <c r="C617" s="109" t="s">
        <v>1088</v>
      </c>
      <c r="D617" s="406" t="s">
        <v>208</v>
      </c>
      <c r="E617" s="370"/>
      <c r="F617" s="371"/>
      <c r="G617" s="107"/>
      <c r="H617" s="385"/>
    </row>
    <row r="618" spans="1:8" ht="15.75" customHeight="1" x14ac:dyDescent="0.25">
      <c r="A618" s="118" t="s">
        <v>1082</v>
      </c>
      <c r="B618" s="15">
        <v>604</v>
      </c>
      <c r="C618" s="109" t="s">
        <v>1089</v>
      </c>
      <c r="D618" s="406" t="s">
        <v>203</v>
      </c>
      <c r="E618" s="370"/>
      <c r="F618" s="371"/>
      <c r="G618" s="117" t="s">
        <v>1090</v>
      </c>
      <c r="H618" s="385"/>
    </row>
    <row r="619" spans="1:8" ht="15.75" customHeight="1" x14ac:dyDescent="0.25">
      <c r="A619" s="118" t="s">
        <v>1082</v>
      </c>
      <c r="B619" s="15">
        <v>605</v>
      </c>
      <c r="C619" s="109" t="s">
        <v>1091</v>
      </c>
      <c r="D619" s="406" t="s">
        <v>203</v>
      </c>
      <c r="E619" s="370"/>
      <c r="F619" s="371"/>
      <c r="G619" s="113" t="s">
        <v>1092</v>
      </c>
      <c r="H619" s="385"/>
    </row>
    <row r="620" spans="1:8" ht="15.75" customHeight="1" x14ac:dyDescent="0.25">
      <c r="A620" s="118" t="s">
        <v>1082</v>
      </c>
      <c r="B620" s="15">
        <v>606</v>
      </c>
      <c r="C620" s="109" t="s">
        <v>1093</v>
      </c>
      <c r="D620" s="406" t="s">
        <v>247</v>
      </c>
      <c r="E620" s="370"/>
      <c r="F620" s="371"/>
      <c r="G620" s="107"/>
      <c r="H620" s="385"/>
    </row>
    <row r="621" spans="1:8" ht="15.75" customHeight="1" x14ac:dyDescent="0.25">
      <c r="A621" s="118" t="s">
        <v>1082</v>
      </c>
      <c r="B621" s="15">
        <v>607</v>
      </c>
      <c r="C621" s="109" t="s">
        <v>1094</v>
      </c>
      <c r="D621" s="406" t="s">
        <v>247</v>
      </c>
      <c r="E621" s="370"/>
      <c r="F621" s="371"/>
      <c r="G621" s="107"/>
      <c r="H621" s="385"/>
    </row>
    <row r="622" spans="1:8" ht="15.75" customHeight="1" x14ac:dyDescent="0.25">
      <c r="A622" s="118" t="s">
        <v>1082</v>
      </c>
      <c r="B622" s="15">
        <v>608</v>
      </c>
      <c r="C622" s="109" t="s">
        <v>1095</v>
      </c>
      <c r="D622" s="406" t="s">
        <v>203</v>
      </c>
      <c r="E622" s="370"/>
      <c r="F622" s="371"/>
      <c r="G622" s="107" t="s">
        <v>1096</v>
      </c>
      <c r="H622" s="385"/>
    </row>
    <row r="623" spans="1:8" ht="15.75" customHeight="1" x14ac:dyDescent="0.25">
      <c r="A623" s="118" t="s">
        <v>1082</v>
      </c>
      <c r="B623" s="15">
        <v>609</v>
      </c>
      <c r="C623" s="109" t="s">
        <v>1097</v>
      </c>
      <c r="D623" s="406" t="s">
        <v>247</v>
      </c>
      <c r="E623" s="370"/>
      <c r="F623" s="371"/>
      <c r="G623" s="107"/>
      <c r="H623" s="385"/>
    </row>
    <row r="624" spans="1:8" ht="15.75" customHeight="1" x14ac:dyDescent="0.25">
      <c r="A624" s="118" t="s">
        <v>1082</v>
      </c>
      <c r="B624" s="15">
        <v>610</v>
      </c>
      <c r="C624" s="109" t="s">
        <v>1098</v>
      </c>
      <c r="D624" s="406" t="s">
        <v>208</v>
      </c>
      <c r="E624" s="370"/>
      <c r="F624" s="371"/>
      <c r="G624" s="107"/>
      <c r="H624" s="385"/>
    </row>
    <row r="625" spans="1:8" ht="15.75" customHeight="1" x14ac:dyDescent="0.25">
      <c r="A625" s="118" t="s">
        <v>1082</v>
      </c>
      <c r="B625" s="15">
        <v>611</v>
      </c>
      <c r="C625" s="106" t="s">
        <v>1099</v>
      </c>
      <c r="D625" s="406" t="s">
        <v>203</v>
      </c>
      <c r="E625" s="370"/>
      <c r="F625" s="371"/>
      <c r="G625" s="107" t="s">
        <v>1100</v>
      </c>
      <c r="H625" s="385"/>
    </row>
    <row r="626" spans="1:8" ht="15.75" customHeight="1" x14ac:dyDescent="0.25">
      <c r="A626" s="118" t="s">
        <v>1082</v>
      </c>
      <c r="B626" s="15">
        <v>612</v>
      </c>
      <c r="C626" s="106" t="s">
        <v>1101</v>
      </c>
      <c r="D626" s="406" t="s">
        <v>203</v>
      </c>
      <c r="E626" s="370"/>
      <c r="F626" s="371"/>
      <c r="G626" s="107" t="s">
        <v>230</v>
      </c>
      <c r="H626" s="385"/>
    </row>
    <row r="627" spans="1:8" ht="15.75" customHeight="1" x14ac:dyDescent="0.25">
      <c r="A627" s="118" t="s">
        <v>1082</v>
      </c>
      <c r="B627" s="15">
        <v>613</v>
      </c>
      <c r="C627" s="106" t="s">
        <v>1102</v>
      </c>
      <c r="D627" s="406" t="s">
        <v>203</v>
      </c>
      <c r="E627" s="370"/>
      <c r="F627" s="371"/>
      <c r="G627" s="107" t="s">
        <v>1103</v>
      </c>
      <c r="H627" s="385"/>
    </row>
    <row r="628" spans="1:8" ht="15.75" customHeight="1" x14ac:dyDescent="0.25">
      <c r="A628" s="118" t="s">
        <v>1082</v>
      </c>
      <c r="B628" s="15">
        <v>614</v>
      </c>
      <c r="C628" s="109" t="s">
        <v>1104</v>
      </c>
      <c r="D628" s="406" t="s">
        <v>208</v>
      </c>
      <c r="E628" s="370"/>
      <c r="F628" s="371"/>
      <c r="G628" s="107"/>
      <c r="H628" s="385"/>
    </row>
    <row r="629" spans="1:8" ht="15.75" customHeight="1" x14ac:dyDescent="0.25">
      <c r="A629" s="118" t="s">
        <v>1082</v>
      </c>
      <c r="B629" s="15">
        <v>615</v>
      </c>
      <c r="C629" s="109" t="s">
        <v>1105</v>
      </c>
      <c r="D629" s="406" t="s">
        <v>203</v>
      </c>
      <c r="E629" s="370"/>
      <c r="F629" s="371"/>
      <c r="G629" s="107" t="s">
        <v>1106</v>
      </c>
      <c r="H629" s="385"/>
    </row>
    <row r="630" spans="1:8" ht="15.75" customHeight="1" x14ac:dyDescent="0.25">
      <c r="A630" s="118" t="s">
        <v>1082</v>
      </c>
      <c r="B630" s="15">
        <v>616</v>
      </c>
      <c r="C630" s="115" t="s">
        <v>1107</v>
      </c>
      <c r="D630" s="406" t="s">
        <v>203</v>
      </c>
      <c r="E630" s="370"/>
      <c r="F630" s="371"/>
      <c r="G630" s="83" t="s">
        <v>1108</v>
      </c>
      <c r="H630" s="385"/>
    </row>
    <row r="631" spans="1:8" ht="15.75" customHeight="1" x14ac:dyDescent="0.25">
      <c r="A631" s="118" t="s">
        <v>1082</v>
      </c>
      <c r="B631" s="15">
        <v>617</v>
      </c>
      <c r="C631" s="109" t="s">
        <v>1109</v>
      </c>
      <c r="D631" s="406" t="s">
        <v>203</v>
      </c>
      <c r="E631" s="370"/>
      <c r="F631" s="371"/>
      <c r="G631" s="107" t="s">
        <v>1110</v>
      </c>
      <c r="H631" s="385"/>
    </row>
    <row r="632" spans="1:8" ht="15.75" customHeight="1" x14ac:dyDescent="0.25">
      <c r="A632" s="118" t="s">
        <v>1082</v>
      </c>
      <c r="B632" s="15">
        <v>618</v>
      </c>
      <c r="C632" s="109" t="s">
        <v>1111</v>
      </c>
      <c r="D632" s="406" t="s">
        <v>203</v>
      </c>
      <c r="E632" s="370"/>
      <c r="F632" s="371"/>
      <c r="G632" s="117" t="s">
        <v>1112</v>
      </c>
      <c r="H632" s="385"/>
    </row>
    <row r="633" spans="1:8" ht="15.75" customHeight="1" x14ac:dyDescent="0.25">
      <c r="A633" s="118" t="s">
        <v>1082</v>
      </c>
      <c r="B633" s="15">
        <v>619</v>
      </c>
      <c r="C633" s="109" t="s">
        <v>1113</v>
      </c>
      <c r="D633" s="406" t="s">
        <v>208</v>
      </c>
      <c r="E633" s="370"/>
      <c r="F633" s="371"/>
      <c r="G633" s="107"/>
      <c r="H633" s="385"/>
    </row>
    <row r="634" spans="1:8" ht="15.75" customHeight="1" x14ac:dyDescent="0.25">
      <c r="A634" s="118" t="s">
        <v>1082</v>
      </c>
      <c r="B634" s="15">
        <v>620</v>
      </c>
      <c r="C634" s="109" t="s">
        <v>1114</v>
      </c>
      <c r="D634" s="406" t="s">
        <v>208</v>
      </c>
      <c r="E634" s="370"/>
      <c r="F634" s="371"/>
      <c r="G634" s="107"/>
      <c r="H634" s="385"/>
    </row>
    <row r="635" spans="1:8" ht="15.75" customHeight="1" x14ac:dyDescent="0.25">
      <c r="A635" s="118" t="s">
        <v>1082</v>
      </c>
      <c r="B635" s="15">
        <v>621</v>
      </c>
      <c r="C635" s="109" t="s">
        <v>1115</v>
      </c>
      <c r="D635" s="406" t="s">
        <v>247</v>
      </c>
      <c r="E635" s="370"/>
      <c r="F635" s="371"/>
      <c r="G635" s="107"/>
      <c r="H635" s="385"/>
    </row>
    <row r="636" spans="1:8" ht="15.75" customHeight="1" x14ac:dyDescent="0.25">
      <c r="A636" s="118" t="s">
        <v>1082</v>
      </c>
      <c r="B636" s="15">
        <v>622</v>
      </c>
      <c r="C636" s="109" t="s">
        <v>1116</v>
      </c>
      <c r="D636" s="406" t="s">
        <v>203</v>
      </c>
      <c r="E636" s="370"/>
      <c r="F636" s="371"/>
      <c r="G636" s="107" t="s">
        <v>1117</v>
      </c>
      <c r="H636" s="385"/>
    </row>
    <row r="637" spans="1:8" ht="15.75" customHeight="1" x14ac:dyDescent="0.25">
      <c r="A637" s="118" t="s">
        <v>1082</v>
      </c>
      <c r="B637" s="15">
        <v>623</v>
      </c>
      <c r="C637" s="109" t="s">
        <v>1118</v>
      </c>
      <c r="D637" s="406" t="s">
        <v>203</v>
      </c>
      <c r="E637" s="370"/>
      <c r="F637" s="371"/>
      <c r="G637" s="107" t="s">
        <v>768</v>
      </c>
      <c r="H637" s="385"/>
    </row>
    <row r="638" spans="1:8" ht="15.75" customHeight="1" x14ac:dyDescent="0.25">
      <c r="A638" s="118" t="s">
        <v>1082</v>
      </c>
      <c r="B638" s="15">
        <v>624</v>
      </c>
      <c r="C638" s="109" t="s">
        <v>1119</v>
      </c>
      <c r="D638" s="406" t="s">
        <v>247</v>
      </c>
      <c r="E638" s="370"/>
      <c r="F638" s="371"/>
      <c r="G638" s="107"/>
      <c r="H638" s="385"/>
    </row>
    <row r="639" spans="1:8" ht="15.75" customHeight="1" x14ac:dyDescent="0.25">
      <c r="A639" s="118" t="s">
        <v>1082</v>
      </c>
      <c r="B639" s="15">
        <v>625</v>
      </c>
      <c r="C639" s="109" t="s">
        <v>1120</v>
      </c>
      <c r="D639" s="406" t="s">
        <v>203</v>
      </c>
      <c r="E639" s="370"/>
      <c r="F639" s="371"/>
      <c r="G639" s="107" t="s">
        <v>1121</v>
      </c>
      <c r="H639" s="385"/>
    </row>
    <row r="640" spans="1:8" ht="15.75" customHeight="1" x14ac:dyDescent="0.25">
      <c r="A640" s="118" t="s">
        <v>1082</v>
      </c>
      <c r="B640" s="15">
        <v>626</v>
      </c>
      <c r="C640" s="109" t="s">
        <v>1122</v>
      </c>
      <c r="D640" s="406" t="s">
        <v>208</v>
      </c>
      <c r="E640" s="370"/>
      <c r="F640" s="371"/>
      <c r="G640" s="107"/>
      <c r="H640" s="385"/>
    </row>
    <row r="641" spans="1:8" ht="15.75" customHeight="1" x14ac:dyDescent="0.25">
      <c r="A641" s="118" t="s">
        <v>1082</v>
      </c>
      <c r="B641" s="15">
        <v>627</v>
      </c>
      <c r="C641" s="109" t="s">
        <v>1123</v>
      </c>
      <c r="D641" s="406" t="s">
        <v>208</v>
      </c>
      <c r="E641" s="370"/>
      <c r="F641" s="371"/>
      <c r="G641" s="107"/>
      <c r="H641" s="385"/>
    </row>
    <row r="642" spans="1:8" ht="15.75" customHeight="1" x14ac:dyDescent="0.25">
      <c r="A642" s="118" t="s">
        <v>1082</v>
      </c>
      <c r="B642" s="15">
        <v>628</v>
      </c>
      <c r="C642" s="109" t="s">
        <v>1124</v>
      </c>
      <c r="D642" s="406" t="s">
        <v>203</v>
      </c>
      <c r="E642" s="370"/>
      <c r="F642" s="371"/>
      <c r="G642" s="117" t="s">
        <v>1125</v>
      </c>
      <c r="H642" s="385"/>
    </row>
    <row r="643" spans="1:8" ht="15.75" customHeight="1" x14ac:dyDescent="0.25">
      <c r="A643" s="118" t="s">
        <v>1082</v>
      </c>
      <c r="B643" s="15">
        <v>629</v>
      </c>
      <c r="C643" s="109" t="s">
        <v>1126</v>
      </c>
      <c r="D643" s="406" t="s">
        <v>203</v>
      </c>
      <c r="E643" s="370"/>
      <c r="F643" s="371"/>
      <c r="G643" s="117" t="s">
        <v>1127</v>
      </c>
      <c r="H643" s="385"/>
    </row>
    <row r="644" spans="1:8" ht="15.75" customHeight="1" x14ac:dyDescent="0.25">
      <c r="A644" s="118" t="s">
        <v>1082</v>
      </c>
      <c r="B644" s="15">
        <v>630</v>
      </c>
      <c r="C644" s="109" t="s">
        <v>1128</v>
      </c>
      <c r="D644" s="406" t="s">
        <v>203</v>
      </c>
      <c r="E644" s="370"/>
      <c r="F644" s="371"/>
      <c r="G644" s="107" t="s">
        <v>1129</v>
      </c>
      <c r="H644" s="385"/>
    </row>
    <row r="645" spans="1:8" ht="15.75" customHeight="1" x14ac:dyDescent="0.25">
      <c r="A645" s="118" t="s">
        <v>1082</v>
      </c>
      <c r="B645" s="15">
        <v>631</v>
      </c>
      <c r="C645" s="109" t="s">
        <v>1130</v>
      </c>
      <c r="D645" s="406" t="s">
        <v>203</v>
      </c>
      <c r="E645" s="370"/>
      <c r="F645" s="371"/>
      <c r="G645" s="107" t="s">
        <v>1131</v>
      </c>
      <c r="H645" s="385"/>
    </row>
    <row r="646" spans="1:8" ht="15.75" customHeight="1" x14ac:dyDescent="0.25">
      <c r="A646" s="118" t="s">
        <v>1082</v>
      </c>
      <c r="B646" s="15">
        <v>632</v>
      </c>
      <c r="C646" s="109" t="s">
        <v>1132</v>
      </c>
      <c r="D646" s="406" t="s">
        <v>203</v>
      </c>
      <c r="E646" s="370"/>
      <c r="F646" s="371"/>
      <c r="G646" s="117" t="s">
        <v>1133</v>
      </c>
      <c r="H646" s="385"/>
    </row>
    <row r="647" spans="1:8" ht="15.75" customHeight="1" x14ac:dyDescent="0.25">
      <c r="A647" s="118" t="s">
        <v>1082</v>
      </c>
      <c r="B647" s="15">
        <v>633</v>
      </c>
      <c r="C647" s="109" t="s">
        <v>1134</v>
      </c>
      <c r="D647" s="406" t="s">
        <v>203</v>
      </c>
      <c r="E647" s="370"/>
      <c r="F647" s="371"/>
      <c r="G647" s="107" t="s">
        <v>1135</v>
      </c>
      <c r="H647" s="385"/>
    </row>
    <row r="648" spans="1:8" ht="15.75" customHeight="1" x14ac:dyDescent="0.25">
      <c r="A648" s="118" t="s">
        <v>1082</v>
      </c>
      <c r="B648" s="15">
        <v>634</v>
      </c>
      <c r="C648" s="109" t="s">
        <v>1136</v>
      </c>
      <c r="D648" s="406" t="s">
        <v>203</v>
      </c>
      <c r="E648" s="370"/>
      <c r="F648" s="371"/>
      <c r="G648" s="107" t="s">
        <v>1137</v>
      </c>
      <c r="H648" s="385"/>
    </row>
    <row r="649" spans="1:8" ht="15.75" customHeight="1" x14ac:dyDescent="0.25">
      <c r="A649" s="118" t="s">
        <v>1082</v>
      </c>
      <c r="B649" s="15">
        <v>635</v>
      </c>
      <c r="C649" s="109" t="s">
        <v>1138</v>
      </c>
      <c r="D649" s="406" t="s">
        <v>203</v>
      </c>
      <c r="E649" s="370"/>
      <c r="F649" s="371"/>
      <c r="G649" s="107" t="s">
        <v>1139</v>
      </c>
      <c r="H649" s="385"/>
    </row>
    <row r="650" spans="1:8" ht="15.75" customHeight="1" x14ac:dyDescent="0.25">
      <c r="A650" s="118" t="s">
        <v>1082</v>
      </c>
      <c r="B650" s="15">
        <v>636</v>
      </c>
      <c r="C650" s="109" t="s">
        <v>1140</v>
      </c>
      <c r="D650" s="406" t="s">
        <v>203</v>
      </c>
      <c r="E650" s="370"/>
      <c r="F650" s="371"/>
      <c r="G650" s="107" t="s">
        <v>1141</v>
      </c>
      <c r="H650" s="385"/>
    </row>
    <row r="651" spans="1:8" ht="15.75" customHeight="1" x14ac:dyDescent="0.25">
      <c r="A651" s="118" t="s">
        <v>1082</v>
      </c>
      <c r="B651" s="15">
        <v>637</v>
      </c>
      <c r="C651" s="109" t="s">
        <v>1142</v>
      </c>
      <c r="D651" s="406" t="s">
        <v>203</v>
      </c>
      <c r="E651" s="370"/>
      <c r="F651" s="371"/>
      <c r="G651" s="107" t="s">
        <v>1143</v>
      </c>
      <c r="H651" s="385"/>
    </row>
    <row r="652" spans="1:8" ht="15.75" customHeight="1" x14ac:dyDescent="0.25">
      <c r="A652" s="118" t="s">
        <v>1082</v>
      </c>
      <c r="B652" s="15">
        <v>638</v>
      </c>
      <c r="C652" s="109" t="s">
        <v>1144</v>
      </c>
      <c r="D652" s="406" t="s">
        <v>203</v>
      </c>
      <c r="E652" s="370"/>
      <c r="F652" s="371"/>
      <c r="G652" s="107" t="s">
        <v>1145</v>
      </c>
      <c r="H652" s="385"/>
    </row>
    <row r="653" spans="1:8" ht="15.75" customHeight="1" x14ac:dyDescent="0.25">
      <c r="A653" s="118" t="s">
        <v>1082</v>
      </c>
      <c r="B653" s="15">
        <v>639</v>
      </c>
      <c r="C653" s="109" t="s">
        <v>1146</v>
      </c>
      <c r="D653" s="406" t="s">
        <v>203</v>
      </c>
      <c r="E653" s="370"/>
      <c r="F653" s="371"/>
      <c r="G653" s="107" t="s">
        <v>1147</v>
      </c>
      <c r="H653" s="385"/>
    </row>
    <row r="654" spans="1:8" ht="15.75" customHeight="1" x14ac:dyDescent="0.25">
      <c r="A654" s="118" t="s">
        <v>1082</v>
      </c>
      <c r="B654" s="15">
        <v>640</v>
      </c>
      <c r="C654" s="109" t="s">
        <v>1148</v>
      </c>
      <c r="D654" s="406" t="s">
        <v>208</v>
      </c>
      <c r="E654" s="370"/>
      <c r="F654" s="371"/>
      <c r="G654" s="107"/>
      <c r="H654" s="385"/>
    </row>
    <row r="655" spans="1:8" ht="15.75" customHeight="1" x14ac:dyDescent="0.25">
      <c r="A655" s="118" t="s">
        <v>1082</v>
      </c>
      <c r="B655" s="15">
        <v>641</v>
      </c>
      <c r="C655" s="109" t="s">
        <v>1149</v>
      </c>
      <c r="D655" s="406" t="s">
        <v>247</v>
      </c>
      <c r="E655" s="370"/>
      <c r="F655" s="371"/>
      <c r="G655" s="107"/>
      <c r="H655" s="385"/>
    </row>
    <row r="656" spans="1:8" ht="15.75" customHeight="1" x14ac:dyDescent="0.25">
      <c r="A656" s="118" t="s">
        <v>1082</v>
      </c>
      <c r="B656" s="15">
        <v>642</v>
      </c>
      <c r="C656" s="109" t="s">
        <v>1150</v>
      </c>
      <c r="D656" s="406" t="s">
        <v>203</v>
      </c>
      <c r="E656" s="370"/>
      <c r="F656" s="371"/>
      <c r="G656" s="83" t="s">
        <v>1151</v>
      </c>
      <c r="H656" s="385"/>
    </row>
    <row r="657" spans="1:8" ht="15.75" customHeight="1" x14ac:dyDescent="0.25">
      <c r="A657" s="118" t="s">
        <v>1082</v>
      </c>
      <c r="B657" s="15">
        <v>643</v>
      </c>
      <c r="C657" s="109" t="s">
        <v>1152</v>
      </c>
      <c r="D657" s="406" t="s">
        <v>203</v>
      </c>
      <c r="E657" s="370"/>
      <c r="F657" s="371"/>
      <c r="G657" s="83" t="s">
        <v>789</v>
      </c>
      <c r="H657" s="385"/>
    </row>
    <row r="658" spans="1:8" ht="15.75" customHeight="1" x14ac:dyDescent="0.25">
      <c r="A658" s="118" t="s">
        <v>1082</v>
      </c>
      <c r="B658" s="15">
        <v>644</v>
      </c>
      <c r="C658" s="109" t="s">
        <v>1153</v>
      </c>
      <c r="D658" s="406" t="s">
        <v>208</v>
      </c>
      <c r="E658" s="370"/>
      <c r="F658" s="371"/>
      <c r="G658" s="107"/>
      <c r="H658" s="385"/>
    </row>
    <row r="659" spans="1:8" ht="15.75" customHeight="1" x14ac:dyDescent="0.25">
      <c r="A659" s="118" t="s">
        <v>1082</v>
      </c>
      <c r="B659" s="15">
        <v>645</v>
      </c>
      <c r="C659" s="109" t="s">
        <v>1154</v>
      </c>
      <c r="D659" s="406" t="s">
        <v>208</v>
      </c>
      <c r="E659" s="370"/>
      <c r="F659" s="371"/>
      <c r="G659" s="107"/>
      <c r="H659" s="385"/>
    </row>
    <row r="660" spans="1:8" ht="15.75" customHeight="1" x14ac:dyDescent="0.25">
      <c r="A660" s="118" t="s">
        <v>1082</v>
      </c>
      <c r="B660" s="15">
        <v>646</v>
      </c>
      <c r="C660" s="109" t="s">
        <v>1155</v>
      </c>
      <c r="D660" s="406" t="s">
        <v>208</v>
      </c>
      <c r="E660" s="370"/>
      <c r="F660" s="371"/>
      <c r="G660" s="107"/>
      <c r="H660" s="385"/>
    </row>
    <row r="661" spans="1:8" ht="15.75" customHeight="1" x14ac:dyDescent="0.25">
      <c r="A661" s="118" t="s">
        <v>1082</v>
      </c>
      <c r="B661" s="15">
        <v>647</v>
      </c>
      <c r="C661" s="109" t="s">
        <v>1156</v>
      </c>
      <c r="D661" s="406" t="s">
        <v>203</v>
      </c>
      <c r="E661" s="370"/>
      <c r="F661" s="371"/>
      <c r="G661" s="107" t="s">
        <v>1157</v>
      </c>
      <c r="H661" s="385"/>
    </row>
    <row r="662" spans="1:8" ht="15.75" customHeight="1" x14ac:dyDescent="0.25">
      <c r="A662" s="118" t="s">
        <v>1082</v>
      </c>
      <c r="B662" s="15">
        <v>648</v>
      </c>
      <c r="C662" s="109" t="s">
        <v>1158</v>
      </c>
      <c r="D662" s="406" t="s">
        <v>247</v>
      </c>
      <c r="E662" s="370"/>
      <c r="F662" s="371"/>
      <c r="G662" s="107"/>
      <c r="H662" s="385"/>
    </row>
    <row r="663" spans="1:8" ht="15.75" customHeight="1" x14ac:dyDescent="0.25">
      <c r="A663" s="118" t="s">
        <v>1082</v>
      </c>
      <c r="B663" s="15">
        <v>649</v>
      </c>
      <c r="C663" s="109" t="s">
        <v>1159</v>
      </c>
      <c r="D663" s="406" t="s">
        <v>203</v>
      </c>
      <c r="E663" s="370"/>
      <c r="F663" s="371"/>
      <c r="G663" s="107" t="s">
        <v>1160</v>
      </c>
      <c r="H663" s="385"/>
    </row>
    <row r="664" spans="1:8" ht="15.75" customHeight="1" x14ac:dyDescent="0.25">
      <c r="A664" s="118" t="s">
        <v>1082</v>
      </c>
      <c r="B664" s="15">
        <v>650</v>
      </c>
      <c r="C664" s="109" t="s">
        <v>1161</v>
      </c>
      <c r="D664" s="406" t="s">
        <v>203</v>
      </c>
      <c r="E664" s="370"/>
      <c r="F664" s="371"/>
      <c r="G664" s="107" t="s">
        <v>1110</v>
      </c>
      <c r="H664" s="385"/>
    </row>
    <row r="665" spans="1:8" ht="15.75" customHeight="1" x14ac:dyDescent="0.25">
      <c r="A665" s="118" t="s">
        <v>1082</v>
      </c>
      <c r="B665" s="15">
        <v>651</v>
      </c>
      <c r="C665" s="109" t="s">
        <v>1162</v>
      </c>
      <c r="D665" s="406" t="s">
        <v>247</v>
      </c>
      <c r="E665" s="370"/>
      <c r="F665" s="371"/>
      <c r="G665" s="107"/>
      <c r="H665" s="385"/>
    </row>
    <row r="666" spans="1:8" ht="15.75" customHeight="1" x14ac:dyDescent="0.25">
      <c r="A666" s="118" t="s">
        <v>1082</v>
      </c>
      <c r="B666" s="15">
        <v>652</v>
      </c>
      <c r="C666" s="109" t="s">
        <v>1163</v>
      </c>
      <c r="D666" s="406" t="s">
        <v>203</v>
      </c>
      <c r="E666" s="370"/>
      <c r="F666" s="371"/>
      <c r="G666" s="107" t="s">
        <v>1164</v>
      </c>
      <c r="H666" s="385"/>
    </row>
    <row r="667" spans="1:8" ht="15.75" customHeight="1" x14ac:dyDescent="0.25">
      <c r="A667" s="118" t="s">
        <v>1082</v>
      </c>
      <c r="B667" s="15">
        <v>653</v>
      </c>
      <c r="C667" s="109" t="s">
        <v>1165</v>
      </c>
      <c r="D667" s="406" t="s">
        <v>208</v>
      </c>
      <c r="E667" s="370"/>
      <c r="F667" s="371"/>
      <c r="G667" s="107"/>
      <c r="H667" s="385"/>
    </row>
    <row r="668" spans="1:8" ht="15.75" customHeight="1" x14ac:dyDescent="0.25">
      <c r="A668" s="118" t="s">
        <v>1082</v>
      </c>
      <c r="B668" s="15">
        <v>654</v>
      </c>
      <c r="C668" s="109" t="s">
        <v>1166</v>
      </c>
      <c r="D668" s="406" t="s">
        <v>203</v>
      </c>
      <c r="E668" s="370"/>
      <c r="F668" s="371"/>
      <c r="G668" s="107" t="s">
        <v>1167</v>
      </c>
      <c r="H668" s="385"/>
    </row>
    <row r="669" spans="1:8" ht="15.75" customHeight="1" x14ac:dyDescent="0.25">
      <c r="A669" s="118" t="s">
        <v>1082</v>
      </c>
      <c r="B669" s="15">
        <v>655</v>
      </c>
      <c r="C669" s="109" t="s">
        <v>1168</v>
      </c>
      <c r="D669" s="406" t="s">
        <v>203</v>
      </c>
      <c r="E669" s="370"/>
      <c r="F669" s="371"/>
      <c r="G669" s="107" t="s">
        <v>1169</v>
      </c>
      <c r="H669" s="385"/>
    </row>
    <row r="670" spans="1:8" ht="15.75" customHeight="1" x14ac:dyDescent="0.25">
      <c r="A670" s="118" t="s">
        <v>1082</v>
      </c>
      <c r="B670" s="15">
        <v>656</v>
      </c>
      <c r="C670" s="109" t="s">
        <v>1170</v>
      </c>
      <c r="D670" s="406" t="s">
        <v>208</v>
      </c>
      <c r="E670" s="370"/>
      <c r="F670" s="371"/>
      <c r="G670" s="107"/>
      <c r="H670" s="385"/>
    </row>
    <row r="671" spans="1:8" ht="15.75" customHeight="1" x14ac:dyDescent="0.25">
      <c r="A671" s="118" t="s">
        <v>1082</v>
      </c>
      <c r="B671" s="15">
        <v>657</v>
      </c>
      <c r="C671" s="109" t="s">
        <v>1171</v>
      </c>
      <c r="D671" s="406" t="s">
        <v>208</v>
      </c>
      <c r="E671" s="370"/>
      <c r="F671" s="371"/>
      <c r="G671" s="107"/>
      <c r="H671" s="385"/>
    </row>
    <row r="672" spans="1:8" ht="15.75" customHeight="1" x14ac:dyDescent="0.25">
      <c r="A672" s="118" t="s">
        <v>1082</v>
      </c>
      <c r="B672" s="15">
        <v>658</v>
      </c>
      <c r="C672" s="109" t="s">
        <v>1172</v>
      </c>
      <c r="D672" s="406" t="s">
        <v>203</v>
      </c>
      <c r="E672" s="370"/>
      <c r="F672" s="371"/>
      <c r="G672" s="107" t="s">
        <v>1173</v>
      </c>
      <c r="H672" s="385"/>
    </row>
    <row r="673" spans="1:8" ht="15.75" customHeight="1" x14ac:dyDescent="0.25">
      <c r="A673" s="118" t="s">
        <v>1082</v>
      </c>
      <c r="B673" s="15">
        <v>659</v>
      </c>
      <c r="C673" s="109" t="s">
        <v>1174</v>
      </c>
      <c r="D673" s="406" t="s">
        <v>247</v>
      </c>
      <c r="E673" s="370"/>
      <c r="F673" s="371"/>
      <c r="G673" s="107"/>
      <c r="H673" s="385"/>
    </row>
    <row r="674" spans="1:8" ht="15.75" customHeight="1" x14ac:dyDescent="0.25">
      <c r="A674" s="118" t="s">
        <v>1082</v>
      </c>
      <c r="B674" s="15">
        <v>660</v>
      </c>
      <c r="C674" s="109" t="s">
        <v>1175</v>
      </c>
      <c r="D674" s="406" t="s">
        <v>208</v>
      </c>
      <c r="E674" s="370"/>
      <c r="F674" s="371"/>
      <c r="G674" s="107"/>
      <c r="H674" s="385"/>
    </row>
    <row r="675" spans="1:8" ht="15.75" customHeight="1" x14ac:dyDescent="0.25">
      <c r="A675" s="118" t="s">
        <v>1082</v>
      </c>
      <c r="B675" s="15">
        <v>661</v>
      </c>
      <c r="C675" s="109" t="s">
        <v>1176</v>
      </c>
      <c r="D675" s="406" t="s">
        <v>203</v>
      </c>
      <c r="E675" s="370"/>
      <c r="F675" s="371"/>
      <c r="G675" s="107" t="s">
        <v>1177</v>
      </c>
      <c r="H675" s="385"/>
    </row>
    <row r="676" spans="1:8" ht="15.75" customHeight="1" x14ac:dyDescent="0.25">
      <c r="A676" s="118" t="s">
        <v>1082</v>
      </c>
      <c r="B676" s="15">
        <v>662</v>
      </c>
      <c r="C676" s="109" t="s">
        <v>1178</v>
      </c>
      <c r="D676" s="406" t="s">
        <v>247</v>
      </c>
      <c r="E676" s="370"/>
      <c r="F676" s="371"/>
      <c r="G676" s="107"/>
      <c r="H676" s="385"/>
    </row>
    <row r="677" spans="1:8" ht="15.75" customHeight="1" x14ac:dyDescent="0.25">
      <c r="A677" s="118" t="s">
        <v>1082</v>
      </c>
      <c r="B677" s="15">
        <v>663</v>
      </c>
      <c r="C677" s="109" t="s">
        <v>1179</v>
      </c>
      <c r="D677" s="406" t="s">
        <v>208</v>
      </c>
      <c r="E677" s="370"/>
      <c r="F677" s="371"/>
      <c r="G677" s="107"/>
      <c r="H677" s="385"/>
    </row>
    <row r="678" spans="1:8" ht="15.75" customHeight="1" x14ac:dyDescent="0.25">
      <c r="A678" s="118" t="s">
        <v>1082</v>
      </c>
      <c r="B678" s="15">
        <v>664</v>
      </c>
      <c r="C678" s="109" t="s">
        <v>1180</v>
      </c>
      <c r="D678" s="406" t="s">
        <v>208</v>
      </c>
      <c r="E678" s="370"/>
      <c r="F678" s="371"/>
      <c r="G678" s="107"/>
      <c r="H678" s="385"/>
    </row>
    <row r="679" spans="1:8" ht="15.75" customHeight="1" x14ac:dyDescent="0.25">
      <c r="A679" s="118" t="s">
        <v>1082</v>
      </c>
      <c r="B679" s="15">
        <v>665</v>
      </c>
      <c r="C679" s="109" t="s">
        <v>1181</v>
      </c>
      <c r="D679" s="406" t="s">
        <v>247</v>
      </c>
      <c r="E679" s="370"/>
      <c r="F679" s="371"/>
      <c r="G679" s="107"/>
      <c r="H679" s="385"/>
    </row>
    <row r="680" spans="1:8" ht="15.75" customHeight="1" x14ac:dyDescent="0.25">
      <c r="A680" s="118" t="s">
        <v>1082</v>
      </c>
      <c r="B680" s="15">
        <v>666</v>
      </c>
      <c r="C680" s="109" t="s">
        <v>1182</v>
      </c>
      <c r="D680" s="406" t="s">
        <v>247</v>
      </c>
      <c r="E680" s="370"/>
      <c r="F680" s="371"/>
      <c r="G680" s="107"/>
      <c r="H680" s="385"/>
    </row>
    <row r="681" spans="1:8" ht="15.75" customHeight="1" x14ac:dyDescent="0.25">
      <c r="A681" s="118" t="s">
        <v>1082</v>
      </c>
      <c r="B681" s="15">
        <v>667</v>
      </c>
      <c r="C681" s="109" t="s">
        <v>1183</v>
      </c>
      <c r="D681" s="406" t="s">
        <v>208</v>
      </c>
      <c r="E681" s="370"/>
      <c r="F681" s="371"/>
      <c r="G681" s="107"/>
      <c r="H681" s="385"/>
    </row>
    <row r="682" spans="1:8" ht="15.75" customHeight="1" x14ac:dyDescent="0.25">
      <c r="A682" s="118" t="s">
        <v>1082</v>
      </c>
      <c r="B682" s="15">
        <v>668</v>
      </c>
      <c r="C682" s="109" t="s">
        <v>1184</v>
      </c>
      <c r="D682" s="406" t="s">
        <v>208</v>
      </c>
      <c r="E682" s="370"/>
      <c r="F682" s="371"/>
      <c r="G682" s="107"/>
      <c r="H682" s="385"/>
    </row>
    <row r="683" spans="1:8" ht="15.75" customHeight="1" x14ac:dyDescent="0.25">
      <c r="A683" s="118" t="s">
        <v>1082</v>
      </c>
      <c r="B683" s="15">
        <v>669</v>
      </c>
      <c r="C683" s="109" t="s">
        <v>1185</v>
      </c>
      <c r="D683" s="406" t="s">
        <v>203</v>
      </c>
      <c r="E683" s="370"/>
      <c r="F683" s="371"/>
      <c r="G683" s="107" t="s">
        <v>1145</v>
      </c>
      <c r="H683" s="385"/>
    </row>
    <row r="684" spans="1:8" ht="15.75" customHeight="1" x14ac:dyDescent="0.25">
      <c r="A684" s="110" t="s">
        <v>18</v>
      </c>
      <c r="B684" s="15">
        <v>670</v>
      </c>
      <c r="C684" s="109" t="s">
        <v>1186</v>
      </c>
      <c r="D684" s="406" t="s">
        <v>203</v>
      </c>
      <c r="E684" s="370"/>
      <c r="F684" s="371"/>
      <c r="G684" s="113" t="s">
        <v>1187</v>
      </c>
      <c r="H684" s="385"/>
    </row>
    <row r="685" spans="1:8" ht="15.75" customHeight="1" x14ac:dyDescent="0.25">
      <c r="A685" s="110" t="s">
        <v>18</v>
      </c>
      <c r="B685" s="15">
        <v>671</v>
      </c>
      <c r="C685" s="109" t="s">
        <v>1188</v>
      </c>
      <c r="D685" s="406" t="s">
        <v>208</v>
      </c>
      <c r="E685" s="370"/>
      <c r="F685" s="371"/>
      <c r="G685" s="113"/>
      <c r="H685" s="385"/>
    </row>
    <row r="686" spans="1:8" ht="15.75" customHeight="1" x14ac:dyDescent="0.25">
      <c r="A686" s="110" t="s">
        <v>18</v>
      </c>
      <c r="B686" s="15">
        <v>672</v>
      </c>
      <c r="C686" s="109" t="s">
        <v>1189</v>
      </c>
      <c r="D686" s="406" t="s">
        <v>203</v>
      </c>
      <c r="E686" s="370"/>
      <c r="F686" s="371"/>
      <c r="G686" s="113" t="s">
        <v>1190</v>
      </c>
      <c r="H686" s="385"/>
    </row>
    <row r="687" spans="1:8" ht="15.75" customHeight="1" x14ac:dyDescent="0.25">
      <c r="A687" s="110" t="s">
        <v>18</v>
      </c>
      <c r="B687" s="15">
        <v>673</v>
      </c>
      <c r="C687" s="109" t="s">
        <v>1191</v>
      </c>
      <c r="D687" s="406" t="s">
        <v>203</v>
      </c>
      <c r="E687" s="370"/>
      <c r="F687" s="371"/>
      <c r="G687" s="113" t="s">
        <v>1192</v>
      </c>
      <c r="H687" s="385"/>
    </row>
    <row r="688" spans="1:8" ht="15.75" customHeight="1" x14ac:dyDescent="0.25">
      <c r="A688" s="110" t="s">
        <v>18</v>
      </c>
      <c r="B688" s="15">
        <v>674</v>
      </c>
      <c r="C688" s="109" t="s">
        <v>1193</v>
      </c>
      <c r="D688" s="406" t="s">
        <v>247</v>
      </c>
      <c r="E688" s="370"/>
      <c r="F688" s="371"/>
      <c r="G688" s="113"/>
      <c r="H688" s="385"/>
    </row>
    <row r="689" spans="1:8" ht="15.75" customHeight="1" x14ac:dyDescent="0.25">
      <c r="A689" s="110" t="s">
        <v>18</v>
      </c>
      <c r="B689" s="15">
        <v>675</v>
      </c>
      <c r="C689" s="109" t="s">
        <v>1194</v>
      </c>
      <c r="D689" s="406" t="s">
        <v>203</v>
      </c>
      <c r="E689" s="370"/>
      <c r="F689" s="371"/>
      <c r="G689" s="113" t="s">
        <v>1195</v>
      </c>
      <c r="H689" s="385"/>
    </row>
    <row r="690" spans="1:8" ht="15.75" customHeight="1" x14ac:dyDescent="0.25">
      <c r="A690" s="110" t="s">
        <v>18</v>
      </c>
      <c r="B690" s="15">
        <v>676</v>
      </c>
      <c r="C690" s="109" t="s">
        <v>1196</v>
      </c>
      <c r="D690" s="406" t="s">
        <v>203</v>
      </c>
      <c r="E690" s="370"/>
      <c r="F690" s="371"/>
      <c r="G690" s="113" t="s">
        <v>1197</v>
      </c>
      <c r="H690" s="385"/>
    </row>
    <row r="691" spans="1:8" ht="15.75" customHeight="1" x14ac:dyDescent="0.25">
      <c r="A691" s="110" t="s">
        <v>18</v>
      </c>
      <c r="B691" s="15">
        <v>677</v>
      </c>
      <c r="C691" s="109" t="s">
        <v>1198</v>
      </c>
      <c r="D691" s="406" t="s">
        <v>247</v>
      </c>
      <c r="E691" s="370"/>
      <c r="F691" s="371"/>
      <c r="G691" s="113"/>
      <c r="H691" s="385"/>
    </row>
    <row r="692" spans="1:8" ht="15.75" customHeight="1" x14ac:dyDescent="0.25">
      <c r="A692" s="110" t="s">
        <v>18</v>
      </c>
      <c r="B692" s="15">
        <v>678</v>
      </c>
      <c r="C692" s="109" t="s">
        <v>1199</v>
      </c>
      <c r="D692" s="406" t="s">
        <v>203</v>
      </c>
      <c r="E692" s="370"/>
      <c r="F692" s="371"/>
      <c r="G692" s="113" t="s">
        <v>1200</v>
      </c>
      <c r="H692" s="385"/>
    </row>
    <row r="693" spans="1:8" ht="15.75" customHeight="1" x14ac:dyDescent="0.25">
      <c r="A693" s="110" t="s">
        <v>18</v>
      </c>
      <c r="B693" s="15">
        <v>679</v>
      </c>
      <c r="C693" s="109" t="s">
        <v>1201</v>
      </c>
      <c r="D693" s="406" t="s">
        <v>203</v>
      </c>
      <c r="E693" s="370"/>
      <c r="F693" s="371"/>
      <c r="G693" s="113" t="s">
        <v>1202</v>
      </c>
      <c r="H693" s="385"/>
    </row>
    <row r="694" spans="1:8" ht="15.75" customHeight="1" x14ac:dyDescent="0.25">
      <c r="A694" s="110" t="s">
        <v>18</v>
      </c>
      <c r="B694" s="15">
        <v>680</v>
      </c>
      <c r="C694" s="109" t="s">
        <v>1203</v>
      </c>
      <c r="D694" s="406" t="s">
        <v>203</v>
      </c>
      <c r="E694" s="370"/>
      <c r="F694" s="371"/>
      <c r="G694" s="113" t="s">
        <v>1204</v>
      </c>
      <c r="H694" s="385"/>
    </row>
    <row r="695" spans="1:8" ht="15.75" customHeight="1" x14ac:dyDescent="0.25">
      <c r="A695" s="110" t="s">
        <v>18</v>
      </c>
      <c r="B695" s="15">
        <v>681</v>
      </c>
      <c r="C695" s="109" t="s">
        <v>1205</v>
      </c>
      <c r="D695" s="406" t="s">
        <v>203</v>
      </c>
      <c r="E695" s="370"/>
      <c r="F695" s="371"/>
      <c r="G695" s="113" t="s">
        <v>1206</v>
      </c>
      <c r="H695" s="385"/>
    </row>
    <row r="696" spans="1:8" ht="15.75" customHeight="1" x14ac:dyDescent="0.25">
      <c r="A696" s="110" t="s">
        <v>18</v>
      </c>
      <c r="B696" s="15">
        <v>682</v>
      </c>
      <c r="C696" s="109" t="s">
        <v>1207</v>
      </c>
      <c r="D696" s="406" t="s">
        <v>203</v>
      </c>
      <c r="E696" s="370"/>
      <c r="F696" s="371"/>
      <c r="G696" s="113" t="s">
        <v>1208</v>
      </c>
      <c r="H696" s="385"/>
    </row>
    <row r="697" spans="1:8" ht="15.75" customHeight="1" x14ac:dyDescent="0.25">
      <c r="A697" s="110" t="s">
        <v>18</v>
      </c>
      <c r="B697" s="15">
        <v>683</v>
      </c>
      <c r="C697" s="109" t="s">
        <v>1209</v>
      </c>
      <c r="D697" s="406" t="s">
        <v>203</v>
      </c>
      <c r="E697" s="370"/>
      <c r="F697" s="371"/>
      <c r="G697" s="113" t="s">
        <v>1210</v>
      </c>
      <c r="H697" s="385"/>
    </row>
    <row r="698" spans="1:8" ht="15.75" customHeight="1" x14ac:dyDescent="0.25">
      <c r="A698" s="110" t="s">
        <v>18</v>
      </c>
      <c r="B698" s="15">
        <v>684</v>
      </c>
      <c r="C698" s="109" t="s">
        <v>1211</v>
      </c>
      <c r="D698" s="406" t="s">
        <v>203</v>
      </c>
      <c r="E698" s="370"/>
      <c r="F698" s="371"/>
      <c r="G698" s="113" t="s">
        <v>1212</v>
      </c>
      <c r="H698" s="385"/>
    </row>
    <row r="699" spans="1:8" ht="15.75" customHeight="1" x14ac:dyDescent="0.25">
      <c r="A699" s="110" t="s">
        <v>18</v>
      </c>
      <c r="B699" s="15">
        <v>685</v>
      </c>
      <c r="C699" s="109" t="s">
        <v>1213</v>
      </c>
      <c r="D699" s="406" t="s">
        <v>208</v>
      </c>
      <c r="E699" s="370"/>
      <c r="F699" s="371"/>
      <c r="G699" s="113"/>
      <c r="H699" s="385"/>
    </row>
    <row r="700" spans="1:8" ht="15.75" customHeight="1" x14ac:dyDescent="0.25">
      <c r="A700" s="110" t="s">
        <v>18</v>
      </c>
      <c r="B700" s="15">
        <v>686</v>
      </c>
      <c r="C700" s="109" t="s">
        <v>1214</v>
      </c>
      <c r="D700" s="406" t="s">
        <v>203</v>
      </c>
      <c r="E700" s="370"/>
      <c r="F700" s="371"/>
      <c r="G700" s="113" t="s">
        <v>1215</v>
      </c>
      <c r="H700" s="385"/>
    </row>
    <row r="701" spans="1:8" ht="15.75" customHeight="1" x14ac:dyDescent="0.25">
      <c r="A701" s="110" t="s">
        <v>18</v>
      </c>
      <c r="B701" s="15">
        <v>687</v>
      </c>
      <c r="C701" s="109" t="s">
        <v>1216</v>
      </c>
      <c r="D701" s="406" t="s">
        <v>203</v>
      </c>
      <c r="E701" s="370"/>
      <c r="F701" s="371"/>
      <c r="G701" s="113" t="s">
        <v>1217</v>
      </c>
      <c r="H701" s="385"/>
    </row>
    <row r="702" spans="1:8" ht="15.75" customHeight="1" x14ac:dyDescent="0.25">
      <c r="A702" s="110" t="s">
        <v>18</v>
      </c>
      <c r="B702" s="15">
        <v>688</v>
      </c>
      <c r="C702" s="109" t="s">
        <v>1218</v>
      </c>
      <c r="D702" s="406" t="s">
        <v>203</v>
      </c>
      <c r="E702" s="370"/>
      <c r="F702" s="371"/>
      <c r="G702" s="113" t="s">
        <v>1219</v>
      </c>
      <c r="H702" s="385"/>
    </row>
    <row r="703" spans="1:8" ht="15.75" customHeight="1" x14ac:dyDescent="0.25">
      <c r="A703" s="110" t="s">
        <v>18</v>
      </c>
      <c r="B703" s="15">
        <v>689</v>
      </c>
      <c r="C703" s="109" t="s">
        <v>1220</v>
      </c>
      <c r="D703" s="406" t="s">
        <v>203</v>
      </c>
      <c r="E703" s="370"/>
      <c r="F703" s="371"/>
      <c r="G703" s="113" t="s">
        <v>1221</v>
      </c>
      <c r="H703" s="385"/>
    </row>
    <row r="704" spans="1:8" ht="15.75" customHeight="1" x14ac:dyDescent="0.25">
      <c r="A704" s="110" t="s">
        <v>18</v>
      </c>
      <c r="B704" s="15">
        <v>690</v>
      </c>
      <c r="C704" s="109" t="s">
        <v>1222</v>
      </c>
      <c r="D704" s="406" t="s">
        <v>203</v>
      </c>
      <c r="E704" s="370"/>
      <c r="F704" s="371"/>
      <c r="G704" s="113" t="s">
        <v>1223</v>
      </c>
      <c r="H704" s="385"/>
    </row>
    <row r="705" spans="1:8" ht="15.75" customHeight="1" x14ac:dyDescent="0.25">
      <c r="A705" s="110" t="s">
        <v>18</v>
      </c>
      <c r="B705" s="15">
        <v>691</v>
      </c>
      <c r="C705" s="109" t="s">
        <v>1224</v>
      </c>
      <c r="D705" s="406" t="s">
        <v>247</v>
      </c>
      <c r="E705" s="370"/>
      <c r="F705" s="371"/>
      <c r="G705" s="113"/>
      <c r="H705" s="385"/>
    </row>
    <row r="706" spans="1:8" ht="15.75" customHeight="1" x14ac:dyDescent="0.25">
      <c r="A706" s="110" t="s">
        <v>18</v>
      </c>
      <c r="B706" s="15">
        <v>692</v>
      </c>
      <c r="C706" s="109" t="s">
        <v>1225</v>
      </c>
      <c r="D706" s="406" t="s">
        <v>203</v>
      </c>
      <c r="E706" s="370"/>
      <c r="F706" s="371"/>
      <c r="G706" s="113" t="s">
        <v>1226</v>
      </c>
      <c r="H706" s="385"/>
    </row>
    <row r="707" spans="1:8" ht="15.75" customHeight="1" x14ac:dyDescent="0.25">
      <c r="A707" s="110" t="s">
        <v>18</v>
      </c>
      <c r="B707" s="15">
        <v>693</v>
      </c>
      <c r="C707" s="109" t="s">
        <v>1227</v>
      </c>
      <c r="D707" s="406" t="s">
        <v>203</v>
      </c>
      <c r="E707" s="370"/>
      <c r="F707" s="371"/>
      <c r="G707" s="113" t="s">
        <v>1228</v>
      </c>
      <c r="H707" s="385"/>
    </row>
    <row r="708" spans="1:8" ht="15.75" customHeight="1" x14ac:dyDescent="0.25">
      <c r="A708" s="110" t="s">
        <v>18</v>
      </c>
      <c r="B708" s="15">
        <v>694</v>
      </c>
      <c r="C708" s="109" t="s">
        <v>1229</v>
      </c>
      <c r="D708" s="406" t="s">
        <v>203</v>
      </c>
      <c r="E708" s="370"/>
      <c r="F708" s="371"/>
      <c r="G708" s="113" t="s">
        <v>1230</v>
      </c>
      <c r="H708" s="385"/>
    </row>
    <row r="709" spans="1:8" ht="15.75" customHeight="1" x14ac:dyDescent="0.25">
      <c r="A709" s="110" t="s">
        <v>18</v>
      </c>
      <c r="B709" s="15">
        <v>695</v>
      </c>
      <c r="C709" s="109" t="s">
        <v>1231</v>
      </c>
      <c r="D709" s="406" t="s">
        <v>208</v>
      </c>
      <c r="E709" s="370"/>
      <c r="F709" s="371"/>
      <c r="G709" s="113"/>
      <c r="H709" s="385"/>
    </row>
    <row r="710" spans="1:8" ht="15.75" customHeight="1" x14ac:dyDescent="0.25">
      <c r="A710" s="110" t="s">
        <v>18</v>
      </c>
      <c r="B710" s="15">
        <v>696</v>
      </c>
      <c r="C710" s="109" t="s">
        <v>1232</v>
      </c>
      <c r="D710" s="406" t="s">
        <v>208</v>
      </c>
      <c r="E710" s="370"/>
      <c r="F710" s="371"/>
      <c r="G710" s="113"/>
      <c r="H710" s="385"/>
    </row>
    <row r="711" spans="1:8" ht="15.75" customHeight="1" x14ac:dyDescent="0.25">
      <c r="A711" s="110" t="s">
        <v>18</v>
      </c>
      <c r="B711" s="15">
        <v>697</v>
      </c>
      <c r="C711" s="109" t="s">
        <v>1233</v>
      </c>
      <c r="D711" s="406" t="s">
        <v>203</v>
      </c>
      <c r="E711" s="370"/>
      <c r="F711" s="371"/>
      <c r="G711" s="113" t="s">
        <v>1234</v>
      </c>
      <c r="H711" s="385"/>
    </row>
    <row r="712" spans="1:8" ht="15.75" customHeight="1" x14ac:dyDescent="0.25">
      <c r="A712" s="110" t="s">
        <v>18</v>
      </c>
      <c r="B712" s="15">
        <v>698</v>
      </c>
      <c r="C712" s="109" t="s">
        <v>1235</v>
      </c>
      <c r="D712" s="406" t="s">
        <v>203</v>
      </c>
      <c r="E712" s="370"/>
      <c r="F712" s="371"/>
      <c r="G712" s="113" t="s">
        <v>1236</v>
      </c>
      <c r="H712" s="385"/>
    </row>
    <row r="713" spans="1:8" ht="15.75" customHeight="1" x14ac:dyDescent="0.25">
      <c r="A713" s="110" t="s">
        <v>18</v>
      </c>
      <c r="B713" s="15">
        <v>699</v>
      </c>
      <c r="C713" s="109" t="s">
        <v>1237</v>
      </c>
      <c r="D713" s="406" t="s">
        <v>203</v>
      </c>
      <c r="E713" s="370"/>
      <c r="F713" s="371"/>
      <c r="G713" s="113" t="s">
        <v>1238</v>
      </c>
      <c r="H713" s="385"/>
    </row>
    <row r="714" spans="1:8" ht="15.75" customHeight="1" x14ac:dyDescent="0.25">
      <c r="A714" s="110" t="s">
        <v>18</v>
      </c>
      <c r="B714" s="15">
        <v>700</v>
      </c>
      <c r="C714" s="109" t="s">
        <v>1239</v>
      </c>
      <c r="D714" s="406" t="s">
        <v>203</v>
      </c>
      <c r="E714" s="370"/>
      <c r="F714" s="371"/>
      <c r="G714" s="113" t="s">
        <v>1240</v>
      </c>
      <c r="H714" s="385"/>
    </row>
    <row r="715" spans="1:8" ht="15.75" customHeight="1" x14ac:dyDescent="0.25">
      <c r="A715" s="110" t="s">
        <v>18</v>
      </c>
      <c r="B715" s="15">
        <v>701</v>
      </c>
      <c r="C715" s="109" t="s">
        <v>1241</v>
      </c>
      <c r="D715" s="406" t="s">
        <v>203</v>
      </c>
      <c r="E715" s="370"/>
      <c r="F715" s="371"/>
      <c r="G715" s="113" t="s">
        <v>1242</v>
      </c>
      <c r="H715" s="385"/>
    </row>
    <row r="716" spans="1:8" ht="15.75" customHeight="1" x14ac:dyDescent="0.25">
      <c r="A716" s="110" t="s">
        <v>18</v>
      </c>
      <c r="B716" s="15">
        <v>702</v>
      </c>
      <c r="C716" s="109" t="s">
        <v>1243</v>
      </c>
      <c r="D716" s="406" t="s">
        <v>203</v>
      </c>
      <c r="E716" s="370"/>
      <c r="F716" s="371"/>
      <c r="G716" s="113" t="s">
        <v>1244</v>
      </c>
      <c r="H716" s="385"/>
    </row>
    <row r="717" spans="1:8" ht="15.75" customHeight="1" x14ac:dyDescent="0.25">
      <c r="A717" s="110" t="s">
        <v>18</v>
      </c>
      <c r="B717" s="15">
        <v>703</v>
      </c>
      <c r="C717" s="109" t="s">
        <v>1245</v>
      </c>
      <c r="D717" s="406" t="s">
        <v>203</v>
      </c>
      <c r="E717" s="370"/>
      <c r="F717" s="371"/>
      <c r="G717" s="113" t="s">
        <v>1246</v>
      </c>
      <c r="H717" s="385"/>
    </row>
    <row r="718" spans="1:8" ht="15.75" customHeight="1" x14ac:dyDescent="0.25">
      <c r="A718" s="110" t="s">
        <v>18</v>
      </c>
      <c r="B718" s="15">
        <v>704</v>
      </c>
      <c r="C718" s="109" t="s">
        <v>1247</v>
      </c>
      <c r="D718" s="406" t="s">
        <v>203</v>
      </c>
      <c r="E718" s="370"/>
      <c r="F718" s="371"/>
      <c r="G718" s="113" t="s">
        <v>1248</v>
      </c>
      <c r="H718" s="385"/>
    </row>
    <row r="719" spans="1:8" ht="15.75" customHeight="1" x14ac:dyDescent="0.25">
      <c r="A719" s="110" t="s">
        <v>18</v>
      </c>
      <c r="B719" s="15">
        <v>705</v>
      </c>
      <c r="C719" s="109" t="s">
        <v>1249</v>
      </c>
      <c r="D719" s="406" t="s">
        <v>203</v>
      </c>
      <c r="E719" s="370"/>
      <c r="F719" s="371"/>
      <c r="G719" s="113" t="s">
        <v>1250</v>
      </c>
      <c r="H719" s="385"/>
    </row>
    <row r="720" spans="1:8" ht="15.75" customHeight="1" x14ac:dyDescent="0.25">
      <c r="A720" s="110" t="s">
        <v>18</v>
      </c>
      <c r="B720" s="15">
        <v>706</v>
      </c>
      <c r="C720" s="109" t="s">
        <v>1251</v>
      </c>
      <c r="D720" s="406" t="s">
        <v>203</v>
      </c>
      <c r="E720" s="370"/>
      <c r="F720" s="371"/>
      <c r="G720" s="113" t="s">
        <v>1252</v>
      </c>
      <c r="H720" s="385"/>
    </row>
    <row r="721" spans="1:8" ht="15.75" customHeight="1" x14ac:dyDescent="0.25">
      <c r="A721" s="110" t="s">
        <v>18</v>
      </c>
      <c r="B721" s="15">
        <v>707</v>
      </c>
      <c r="C721" s="109" t="s">
        <v>1253</v>
      </c>
      <c r="D721" s="406" t="s">
        <v>247</v>
      </c>
      <c r="E721" s="370"/>
      <c r="F721" s="371"/>
      <c r="G721" s="113"/>
      <c r="H721" s="385"/>
    </row>
    <row r="722" spans="1:8" ht="15.75" customHeight="1" x14ac:dyDescent="0.25">
      <c r="A722" s="110" t="s">
        <v>18</v>
      </c>
      <c r="B722" s="15">
        <v>708</v>
      </c>
      <c r="C722" s="109" t="s">
        <v>1254</v>
      </c>
      <c r="D722" s="406" t="s">
        <v>247</v>
      </c>
      <c r="E722" s="370"/>
      <c r="F722" s="371"/>
      <c r="G722" s="113"/>
      <c r="H722" s="385"/>
    </row>
    <row r="723" spans="1:8" ht="15.75" customHeight="1" x14ac:dyDescent="0.25">
      <c r="A723" s="110" t="s">
        <v>18</v>
      </c>
      <c r="B723" s="15">
        <v>709</v>
      </c>
      <c r="C723" s="109" t="s">
        <v>1255</v>
      </c>
      <c r="D723" s="406" t="s">
        <v>208</v>
      </c>
      <c r="E723" s="370"/>
      <c r="F723" s="371"/>
      <c r="G723" s="113"/>
      <c r="H723" s="385"/>
    </row>
    <row r="724" spans="1:8" ht="15.75" customHeight="1" x14ac:dyDescent="0.25">
      <c r="A724" s="110" t="s">
        <v>18</v>
      </c>
      <c r="B724" s="15">
        <v>710</v>
      </c>
      <c r="C724" s="109" t="s">
        <v>1256</v>
      </c>
      <c r="D724" s="406" t="s">
        <v>203</v>
      </c>
      <c r="E724" s="370"/>
      <c r="F724" s="371"/>
      <c r="G724" s="113" t="s">
        <v>1257</v>
      </c>
      <c r="H724" s="385"/>
    </row>
    <row r="725" spans="1:8" ht="15.75" customHeight="1" x14ac:dyDescent="0.25">
      <c r="A725" s="110" t="s">
        <v>18</v>
      </c>
      <c r="B725" s="15">
        <v>711</v>
      </c>
      <c r="C725" s="109" t="s">
        <v>1258</v>
      </c>
      <c r="D725" s="406" t="s">
        <v>203</v>
      </c>
      <c r="E725" s="370"/>
      <c r="F725" s="371"/>
      <c r="G725" s="113" t="s">
        <v>1259</v>
      </c>
      <c r="H725" s="385"/>
    </row>
    <row r="726" spans="1:8" ht="15.75" customHeight="1" x14ac:dyDescent="0.25">
      <c r="A726" s="110" t="s">
        <v>18</v>
      </c>
      <c r="B726" s="15">
        <v>712</v>
      </c>
      <c r="C726" s="109" t="s">
        <v>1260</v>
      </c>
      <c r="D726" s="406" t="s">
        <v>247</v>
      </c>
      <c r="E726" s="370"/>
      <c r="F726" s="371"/>
      <c r="G726" s="113"/>
      <c r="H726" s="385"/>
    </row>
    <row r="727" spans="1:8" ht="15.75" customHeight="1" x14ac:dyDescent="0.25">
      <c r="A727" s="110" t="s">
        <v>18</v>
      </c>
      <c r="B727" s="15">
        <v>713</v>
      </c>
      <c r="C727" s="109" t="s">
        <v>1261</v>
      </c>
      <c r="D727" s="406" t="s">
        <v>203</v>
      </c>
      <c r="E727" s="370"/>
      <c r="F727" s="371"/>
      <c r="G727" s="113" t="s">
        <v>1262</v>
      </c>
      <c r="H727" s="385"/>
    </row>
    <row r="728" spans="1:8" ht="15.75" customHeight="1" x14ac:dyDescent="0.25">
      <c r="A728" s="110" t="s">
        <v>18</v>
      </c>
      <c r="B728" s="15">
        <v>714</v>
      </c>
      <c r="C728" s="109" t="s">
        <v>1263</v>
      </c>
      <c r="D728" s="406" t="s">
        <v>203</v>
      </c>
      <c r="E728" s="370"/>
      <c r="F728" s="371"/>
      <c r="G728" s="113" t="s">
        <v>1264</v>
      </c>
      <c r="H728" s="385"/>
    </row>
    <row r="729" spans="1:8" ht="15.75" customHeight="1" x14ac:dyDescent="0.25">
      <c r="A729" s="110" t="s">
        <v>18</v>
      </c>
      <c r="B729" s="15">
        <v>715</v>
      </c>
      <c r="C729" s="109" t="s">
        <v>1265</v>
      </c>
      <c r="D729" s="406" t="s">
        <v>203</v>
      </c>
      <c r="E729" s="370"/>
      <c r="F729" s="371"/>
      <c r="G729" s="113" t="s">
        <v>1266</v>
      </c>
      <c r="H729" s="385"/>
    </row>
    <row r="730" spans="1:8" ht="15.75" customHeight="1" x14ac:dyDescent="0.25">
      <c r="A730" s="110" t="s">
        <v>18</v>
      </c>
      <c r="B730" s="15">
        <v>716</v>
      </c>
      <c r="C730" s="109" t="s">
        <v>1267</v>
      </c>
      <c r="D730" s="406" t="s">
        <v>203</v>
      </c>
      <c r="E730" s="370"/>
      <c r="F730" s="371"/>
      <c r="G730" s="113" t="s">
        <v>1268</v>
      </c>
      <c r="H730" s="385"/>
    </row>
    <row r="731" spans="1:8" ht="15.75" customHeight="1" x14ac:dyDescent="0.25">
      <c r="A731" s="110" t="s">
        <v>18</v>
      </c>
      <c r="B731" s="15">
        <v>717</v>
      </c>
      <c r="C731" s="109" t="s">
        <v>1269</v>
      </c>
      <c r="D731" s="406" t="s">
        <v>203</v>
      </c>
      <c r="E731" s="370"/>
      <c r="F731" s="371"/>
      <c r="G731" s="113" t="s">
        <v>1270</v>
      </c>
      <c r="H731" s="385"/>
    </row>
    <row r="732" spans="1:8" ht="15.75" customHeight="1" x14ac:dyDescent="0.25">
      <c r="A732" s="110" t="s">
        <v>18</v>
      </c>
      <c r="B732" s="15">
        <v>718</v>
      </c>
      <c r="C732" s="106" t="s">
        <v>1271</v>
      </c>
      <c r="D732" s="406" t="s">
        <v>203</v>
      </c>
      <c r="E732" s="370"/>
      <c r="F732" s="371"/>
      <c r="G732" s="113" t="s">
        <v>1272</v>
      </c>
      <c r="H732" s="385"/>
    </row>
    <row r="733" spans="1:8" ht="15.75" customHeight="1" x14ac:dyDescent="0.25">
      <c r="A733" s="110" t="s">
        <v>18</v>
      </c>
      <c r="B733" s="15">
        <v>719</v>
      </c>
      <c r="C733" s="109" t="s">
        <v>1273</v>
      </c>
      <c r="D733" s="406" t="s">
        <v>247</v>
      </c>
      <c r="E733" s="370"/>
      <c r="F733" s="371"/>
      <c r="G733" s="113"/>
      <c r="H733" s="385"/>
    </row>
    <row r="734" spans="1:8" ht="15.75" customHeight="1" x14ac:dyDescent="0.25">
      <c r="A734" s="110" t="s">
        <v>18</v>
      </c>
      <c r="B734" s="15">
        <v>720</v>
      </c>
      <c r="C734" s="109" t="s">
        <v>1274</v>
      </c>
      <c r="D734" s="406" t="s">
        <v>247</v>
      </c>
      <c r="E734" s="370"/>
      <c r="F734" s="371"/>
      <c r="G734" s="113"/>
      <c r="H734" s="385"/>
    </row>
    <row r="735" spans="1:8" ht="15.75" customHeight="1" x14ac:dyDescent="0.25">
      <c r="A735" s="110" t="s">
        <v>18</v>
      </c>
      <c r="B735" s="15">
        <v>721</v>
      </c>
      <c r="C735" s="109" t="s">
        <v>1275</v>
      </c>
      <c r="D735" s="406" t="s">
        <v>208</v>
      </c>
      <c r="E735" s="370"/>
      <c r="F735" s="371"/>
      <c r="G735" s="113"/>
      <c r="H735" s="385"/>
    </row>
    <row r="736" spans="1:8" ht="15.75" customHeight="1" x14ac:dyDescent="0.25">
      <c r="A736" s="110" t="s">
        <v>18</v>
      </c>
      <c r="B736" s="15">
        <v>722</v>
      </c>
      <c r="C736" s="109" t="s">
        <v>1276</v>
      </c>
      <c r="D736" s="406" t="s">
        <v>203</v>
      </c>
      <c r="E736" s="370"/>
      <c r="F736" s="371"/>
      <c r="G736" s="113" t="s">
        <v>1277</v>
      </c>
      <c r="H736" s="385"/>
    </row>
    <row r="737" spans="1:8" ht="15.75" customHeight="1" x14ac:dyDescent="0.25">
      <c r="A737" s="110" t="s">
        <v>18</v>
      </c>
      <c r="B737" s="15">
        <v>723</v>
      </c>
      <c r="C737" s="109" t="s">
        <v>1278</v>
      </c>
      <c r="D737" s="406" t="s">
        <v>203</v>
      </c>
      <c r="E737" s="370"/>
      <c r="F737" s="371"/>
      <c r="G737" s="113" t="s">
        <v>1279</v>
      </c>
      <c r="H737" s="385"/>
    </row>
    <row r="738" spans="1:8" ht="15.75" customHeight="1" x14ac:dyDescent="0.25">
      <c r="A738" s="110" t="s">
        <v>18</v>
      </c>
      <c r="B738" s="15">
        <v>724</v>
      </c>
      <c r="C738" s="109" t="s">
        <v>1280</v>
      </c>
      <c r="D738" s="406" t="s">
        <v>203</v>
      </c>
      <c r="E738" s="370"/>
      <c r="F738" s="371"/>
      <c r="G738" s="113" t="s">
        <v>1281</v>
      </c>
      <c r="H738" s="385"/>
    </row>
    <row r="739" spans="1:8" ht="15.75" customHeight="1" x14ac:dyDescent="0.25">
      <c r="A739" s="110" t="s">
        <v>18</v>
      </c>
      <c r="B739" s="15">
        <v>725</v>
      </c>
      <c r="C739" s="109" t="s">
        <v>1282</v>
      </c>
      <c r="D739" s="406" t="s">
        <v>247</v>
      </c>
      <c r="E739" s="370"/>
      <c r="F739" s="371"/>
      <c r="G739" s="113"/>
      <c r="H739" s="385"/>
    </row>
    <row r="740" spans="1:8" ht="15.75" customHeight="1" x14ac:dyDescent="0.25">
      <c r="A740" s="110" t="s">
        <v>18</v>
      </c>
      <c r="B740" s="15">
        <v>726</v>
      </c>
      <c r="C740" s="109" t="s">
        <v>1283</v>
      </c>
      <c r="D740" s="406" t="s">
        <v>203</v>
      </c>
      <c r="E740" s="370"/>
      <c r="F740" s="371"/>
      <c r="G740" s="113" t="s">
        <v>1284</v>
      </c>
      <c r="H740" s="385"/>
    </row>
    <row r="741" spans="1:8" ht="15.75" customHeight="1" x14ac:dyDescent="0.25">
      <c r="A741" s="110" t="s">
        <v>18</v>
      </c>
      <c r="B741" s="15">
        <v>727</v>
      </c>
      <c r="C741" s="109" t="s">
        <v>1285</v>
      </c>
      <c r="D741" s="406" t="s">
        <v>203</v>
      </c>
      <c r="E741" s="370"/>
      <c r="F741" s="371"/>
      <c r="G741" s="113" t="s">
        <v>1286</v>
      </c>
      <c r="H741" s="385"/>
    </row>
    <row r="742" spans="1:8" ht="15.75" customHeight="1" x14ac:dyDescent="0.25">
      <c r="A742" s="110" t="s">
        <v>18</v>
      </c>
      <c r="B742" s="15">
        <v>728</v>
      </c>
      <c r="C742" s="109" t="s">
        <v>1287</v>
      </c>
      <c r="D742" s="406" t="s">
        <v>203</v>
      </c>
      <c r="E742" s="370"/>
      <c r="F742" s="371"/>
      <c r="G742" s="113" t="s">
        <v>1288</v>
      </c>
      <c r="H742" s="385"/>
    </row>
    <row r="743" spans="1:8" ht="15.75" customHeight="1" x14ac:dyDescent="0.25">
      <c r="A743" s="110" t="s">
        <v>18</v>
      </c>
      <c r="B743" s="15">
        <v>729</v>
      </c>
      <c r="C743" s="109" t="s">
        <v>1289</v>
      </c>
      <c r="D743" s="406" t="s">
        <v>208</v>
      </c>
      <c r="E743" s="370"/>
      <c r="F743" s="371"/>
      <c r="G743" s="113"/>
      <c r="H743" s="385"/>
    </row>
    <row r="744" spans="1:8" ht="15.75" customHeight="1" x14ac:dyDescent="0.25">
      <c r="A744" s="110" t="s">
        <v>18</v>
      </c>
      <c r="B744" s="15">
        <v>730</v>
      </c>
      <c r="C744" s="109" t="s">
        <v>1290</v>
      </c>
      <c r="D744" s="406" t="s">
        <v>208</v>
      </c>
      <c r="E744" s="370"/>
      <c r="F744" s="371"/>
      <c r="G744" s="113"/>
      <c r="H744" s="385"/>
    </row>
    <row r="745" spans="1:8" ht="15.75" customHeight="1" x14ac:dyDescent="0.25">
      <c r="A745" s="110" t="s">
        <v>18</v>
      </c>
      <c r="B745" s="15">
        <v>731</v>
      </c>
      <c r="C745" s="109" t="s">
        <v>1291</v>
      </c>
      <c r="D745" s="406" t="s">
        <v>208</v>
      </c>
      <c r="E745" s="370"/>
      <c r="F745" s="371"/>
      <c r="G745" s="113"/>
      <c r="H745" s="385"/>
    </row>
    <row r="746" spans="1:8" ht="15.75" customHeight="1" x14ac:dyDescent="0.25">
      <c r="A746" s="110" t="s">
        <v>18</v>
      </c>
      <c r="B746" s="15">
        <v>732</v>
      </c>
      <c r="C746" s="109" t="s">
        <v>1292</v>
      </c>
      <c r="D746" s="406" t="s">
        <v>203</v>
      </c>
      <c r="E746" s="370"/>
      <c r="F746" s="371"/>
      <c r="G746" s="113" t="s">
        <v>1293</v>
      </c>
      <c r="H746" s="385"/>
    </row>
    <row r="747" spans="1:8" ht="15.75" customHeight="1" x14ac:dyDescent="0.25">
      <c r="A747" s="110" t="s">
        <v>18</v>
      </c>
      <c r="B747" s="15">
        <v>733</v>
      </c>
      <c r="C747" s="109" t="s">
        <v>1294</v>
      </c>
      <c r="D747" s="406" t="s">
        <v>203</v>
      </c>
      <c r="E747" s="370"/>
      <c r="F747" s="371"/>
      <c r="G747" s="113" t="s">
        <v>1295</v>
      </c>
      <c r="H747" s="385"/>
    </row>
    <row r="748" spans="1:8" ht="15.75" customHeight="1" x14ac:dyDescent="0.25">
      <c r="A748" s="110" t="s">
        <v>18</v>
      </c>
      <c r="B748" s="15">
        <v>734</v>
      </c>
      <c r="C748" s="109" t="s">
        <v>1296</v>
      </c>
      <c r="D748" s="406" t="s">
        <v>208</v>
      </c>
      <c r="E748" s="370"/>
      <c r="F748" s="371"/>
      <c r="G748" s="113"/>
      <c r="H748" s="385"/>
    </row>
    <row r="749" spans="1:8" ht="15.75" customHeight="1" x14ac:dyDescent="0.25">
      <c r="A749" s="110" t="s">
        <v>18</v>
      </c>
      <c r="B749" s="15">
        <v>735</v>
      </c>
      <c r="C749" s="109" t="s">
        <v>1297</v>
      </c>
      <c r="D749" s="406" t="s">
        <v>203</v>
      </c>
      <c r="E749" s="370"/>
      <c r="F749" s="371"/>
      <c r="G749" s="113" t="s">
        <v>1298</v>
      </c>
      <c r="H749" s="385"/>
    </row>
    <row r="750" spans="1:8" ht="15.75" customHeight="1" x14ac:dyDescent="0.25">
      <c r="A750" s="110" t="s">
        <v>18</v>
      </c>
      <c r="B750" s="15">
        <v>736</v>
      </c>
      <c r="C750" s="109" t="s">
        <v>1299</v>
      </c>
      <c r="D750" s="406" t="s">
        <v>203</v>
      </c>
      <c r="E750" s="370"/>
      <c r="F750" s="371"/>
      <c r="G750" s="113" t="s">
        <v>453</v>
      </c>
      <c r="H750" s="385"/>
    </row>
    <row r="751" spans="1:8" ht="15.75" customHeight="1" x14ac:dyDescent="0.25">
      <c r="A751" s="110" t="s">
        <v>18</v>
      </c>
      <c r="B751" s="15">
        <v>737</v>
      </c>
      <c r="C751" s="109" t="s">
        <v>1300</v>
      </c>
      <c r="D751" s="406" t="s">
        <v>203</v>
      </c>
      <c r="E751" s="370"/>
      <c r="F751" s="371"/>
      <c r="G751" s="113" t="s">
        <v>1301</v>
      </c>
      <c r="H751" s="385"/>
    </row>
    <row r="752" spans="1:8" ht="15.75" customHeight="1" x14ac:dyDescent="0.25">
      <c r="A752" s="110" t="s">
        <v>18</v>
      </c>
      <c r="B752" s="15">
        <v>738</v>
      </c>
      <c r="C752" s="109" t="s">
        <v>1302</v>
      </c>
      <c r="D752" s="406" t="s">
        <v>203</v>
      </c>
      <c r="E752" s="370"/>
      <c r="F752" s="371"/>
      <c r="G752" s="113" t="s">
        <v>1303</v>
      </c>
      <c r="H752" s="385"/>
    </row>
    <row r="753" spans="1:8" ht="15.75" customHeight="1" x14ac:dyDescent="0.25">
      <c r="A753" s="110" t="s">
        <v>18</v>
      </c>
      <c r="B753" s="15">
        <v>739</v>
      </c>
      <c r="C753" s="109" t="s">
        <v>1304</v>
      </c>
      <c r="D753" s="406" t="s">
        <v>203</v>
      </c>
      <c r="E753" s="370"/>
      <c r="F753" s="371"/>
      <c r="G753" s="113" t="s">
        <v>1305</v>
      </c>
      <c r="H753" s="385"/>
    </row>
    <row r="754" spans="1:8" ht="15.75" customHeight="1" x14ac:dyDescent="0.25">
      <c r="A754" s="110" t="s">
        <v>18</v>
      </c>
      <c r="B754" s="15">
        <v>740</v>
      </c>
      <c r="C754" s="109" t="s">
        <v>1306</v>
      </c>
      <c r="D754" s="406" t="s">
        <v>203</v>
      </c>
      <c r="E754" s="370"/>
      <c r="F754" s="371"/>
      <c r="G754" s="113" t="s">
        <v>1307</v>
      </c>
      <c r="H754" s="385"/>
    </row>
    <row r="755" spans="1:8" ht="15.75" customHeight="1" x14ac:dyDescent="0.25">
      <c r="A755" s="110" t="s">
        <v>18</v>
      </c>
      <c r="B755" s="15">
        <v>741</v>
      </c>
      <c r="C755" s="109" t="s">
        <v>1308</v>
      </c>
      <c r="D755" s="406" t="s">
        <v>208</v>
      </c>
      <c r="E755" s="370"/>
      <c r="F755" s="371"/>
      <c r="G755" s="113"/>
      <c r="H755" s="385"/>
    </row>
    <row r="756" spans="1:8" ht="15.75" customHeight="1" x14ac:dyDescent="0.25">
      <c r="A756" s="110" t="s">
        <v>18</v>
      </c>
      <c r="B756" s="15">
        <v>742</v>
      </c>
      <c r="C756" s="109" t="s">
        <v>1309</v>
      </c>
      <c r="D756" s="406" t="s">
        <v>247</v>
      </c>
      <c r="E756" s="370"/>
      <c r="F756" s="371"/>
      <c r="G756" s="113"/>
      <c r="H756" s="385"/>
    </row>
    <row r="757" spans="1:8" ht="15.75" customHeight="1" x14ac:dyDescent="0.25">
      <c r="A757" s="110" t="s">
        <v>18</v>
      </c>
      <c r="B757" s="15">
        <v>743</v>
      </c>
      <c r="C757" s="109" t="s">
        <v>1310</v>
      </c>
      <c r="D757" s="406" t="s">
        <v>203</v>
      </c>
      <c r="E757" s="370"/>
      <c r="F757" s="371"/>
      <c r="G757" s="113" t="s">
        <v>1311</v>
      </c>
      <c r="H757" s="385"/>
    </row>
    <row r="758" spans="1:8" ht="15.75" customHeight="1" x14ac:dyDescent="0.25">
      <c r="A758" s="110" t="s">
        <v>18</v>
      </c>
      <c r="B758" s="15">
        <v>744</v>
      </c>
      <c r="C758" s="109" t="s">
        <v>1312</v>
      </c>
      <c r="D758" s="406" t="s">
        <v>203</v>
      </c>
      <c r="E758" s="370"/>
      <c r="F758" s="371"/>
      <c r="G758" s="113" t="s">
        <v>1311</v>
      </c>
      <c r="H758" s="385"/>
    </row>
    <row r="759" spans="1:8" ht="15.75" customHeight="1" x14ac:dyDescent="0.25">
      <c r="A759" s="110" t="s">
        <v>18</v>
      </c>
      <c r="B759" s="15">
        <v>745</v>
      </c>
      <c r="C759" s="109" t="s">
        <v>1313</v>
      </c>
      <c r="D759" s="406" t="s">
        <v>247</v>
      </c>
      <c r="E759" s="370"/>
      <c r="F759" s="371"/>
      <c r="G759" s="113"/>
      <c r="H759" s="385"/>
    </row>
    <row r="760" spans="1:8" ht="15.75" customHeight="1" x14ac:dyDescent="0.25">
      <c r="A760" s="110" t="s">
        <v>18</v>
      </c>
      <c r="B760" s="15">
        <v>746</v>
      </c>
      <c r="C760" s="109" t="s">
        <v>1314</v>
      </c>
      <c r="D760" s="406" t="s">
        <v>203</v>
      </c>
      <c r="E760" s="370"/>
      <c r="F760" s="371"/>
      <c r="G760" s="113" t="s">
        <v>1315</v>
      </c>
      <c r="H760" s="385"/>
    </row>
    <row r="761" spans="1:8" ht="15.75" customHeight="1" x14ac:dyDescent="0.25">
      <c r="A761" s="110" t="s">
        <v>18</v>
      </c>
      <c r="B761" s="15">
        <v>747</v>
      </c>
      <c r="C761" s="109" t="s">
        <v>1316</v>
      </c>
      <c r="D761" s="406" t="s">
        <v>203</v>
      </c>
      <c r="E761" s="370"/>
      <c r="F761" s="371"/>
      <c r="G761" s="113" t="s">
        <v>1317</v>
      </c>
      <c r="H761" s="385"/>
    </row>
    <row r="762" spans="1:8" ht="15.75" customHeight="1" x14ac:dyDescent="0.25">
      <c r="A762" s="110" t="s">
        <v>18</v>
      </c>
      <c r="B762" s="15">
        <v>748</v>
      </c>
      <c r="C762" s="109" t="s">
        <v>1318</v>
      </c>
      <c r="D762" s="406" t="s">
        <v>203</v>
      </c>
      <c r="E762" s="370"/>
      <c r="F762" s="371"/>
      <c r="G762" s="113" t="s">
        <v>1319</v>
      </c>
      <c r="H762" s="385"/>
    </row>
    <row r="763" spans="1:8" ht="15.75" customHeight="1" x14ac:dyDescent="0.25">
      <c r="A763" s="110" t="s">
        <v>18</v>
      </c>
      <c r="B763" s="15">
        <v>749</v>
      </c>
      <c r="C763" s="109" t="s">
        <v>1320</v>
      </c>
      <c r="D763" s="406" t="s">
        <v>203</v>
      </c>
      <c r="E763" s="370"/>
      <c r="F763" s="371"/>
      <c r="G763" s="113" t="s">
        <v>1321</v>
      </c>
      <c r="H763" s="385"/>
    </row>
    <row r="764" spans="1:8" ht="15.75" customHeight="1" x14ac:dyDescent="0.25">
      <c r="A764" s="110" t="s">
        <v>18</v>
      </c>
      <c r="B764" s="15">
        <v>750</v>
      </c>
      <c r="C764" s="109" t="s">
        <v>1322</v>
      </c>
      <c r="D764" s="406" t="s">
        <v>208</v>
      </c>
      <c r="E764" s="370"/>
      <c r="F764" s="371"/>
      <c r="G764" s="113"/>
      <c r="H764" s="385"/>
    </row>
    <row r="765" spans="1:8" ht="15.75" customHeight="1" x14ac:dyDescent="0.25">
      <c r="A765" s="110" t="s">
        <v>18</v>
      </c>
      <c r="B765" s="15">
        <v>751</v>
      </c>
      <c r="C765" s="109" t="s">
        <v>1323</v>
      </c>
      <c r="D765" s="406" t="s">
        <v>203</v>
      </c>
      <c r="E765" s="370"/>
      <c r="F765" s="371"/>
      <c r="G765" s="113" t="s">
        <v>1324</v>
      </c>
      <c r="H765" s="385"/>
    </row>
    <row r="766" spans="1:8" ht="15.75" customHeight="1" x14ac:dyDescent="0.25">
      <c r="A766" s="110" t="s">
        <v>18</v>
      </c>
      <c r="B766" s="15">
        <v>752</v>
      </c>
      <c r="C766" s="109" t="s">
        <v>1325</v>
      </c>
      <c r="D766" s="406" t="s">
        <v>203</v>
      </c>
      <c r="E766" s="370"/>
      <c r="F766" s="371"/>
      <c r="G766" s="113" t="s">
        <v>1326</v>
      </c>
      <c r="H766" s="385"/>
    </row>
    <row r="767" spans="1:8" ht="15.75" customHeight="1" x14ac:dyDescent="0.25">
      <c r="A767" s="110" t="s">
        <v>18</v>
      </c>
      <c r="B767" s="15">
        <v>753</v>
      </c>
      <c r="C767" s="109" t="s">
        <v>1327</v>
      </c>
      <c r="D767" s="406" t="s">
        <v>203</v>
      </c>
      <c r="E767" s="370"/>
      <c r="F767" s="371"/>
      <c r="G767" s="113" t="s">
        <v>1328</v>
      </c>
      <c r="H767" s="385"/>
    </row>
    <row r="768" spans="1:8" ht="15.75" customHeight="1" x14ac:dyDescent="0.25">
      <c r="A768" s="110" t="s">
        <v>18</v>
      </c>
      <c r="B768" s="15">
        <v>754</v>
      </c>
      <c r="C768" s="109" t="s">
        <v>1329</v>
      </c>
      <c r="D768" s="406" t="s">
        <v>203</v>
      </c>
      <c r="E768" s="370"/>
      <c r="F768" s="371"/>
      <c r="G768" s="113" t="s">
        <v>1032</v>
      </c>
      <c r="H768" s="385"/>
    </row>
    <row r="769" spans="1:8" ht="15.75" customHeight="1" x14ac:dyDescent="0.25">
      <c r="A769" s="110" t="s">
        <v>18</v>
      </c>
      <c r="B769" s="15">
        <v>755</v>
      </c>
      <c r="C769" s="109" t="s">
        <v>1330</v>
      </c>
      <c r="D769" s="406" t="s">
        <v>203</v>
      </c>
      <c r="E769" s="370"/>
      <c r="F769" s="371"/>
      <c r="G769" s="113" t="s">
        <v>1331</v>
      </c>
      <c r="H769" s="385"/>
    </row>
    <row r="770" spans="1:8" ht="15.75" customHeight="1" x14ac:dyDescent="0.25">
      <c r="A770" s="110" t="s">
        <v>18</v>
      </c>
      <c r="B770" s="15">
        <v>756</v>
      </c>
      <c r="C770" s="109" t="s">
        <v>1332</v>
      </c>
      <c r="D770" s="406" t="s">
        <v>208</v>
      </c>
      <c r="E770" s="370"/>
      <c r="F770" s="371"/>
      <c r="G770" s="113"/>
      <c r="H770" s="385"/>
    </row>
    <row r="771" spans="1:8" ht="15.75" customHeight="1" x14ac:dyDescent="0.25">
      <c r="A771" s="110" t="s">
        <v>18</v>
      </c>
      <c r="B771" s="15">
        <v>757</v>
      </c>
      <c r="C771" s="109" t="s">
        <v>1333</v>
      </c>
      <c r="D771" s="406" t="s">
        <v>203</v>
      </c>
      <c r="E771" s="370"/>
      <c r="F771" s="371"/>
      <c r="G771" s="113" t="s">
        <v>1334</v>
      </c>
      <c r="H771" s="385"/>
    </row>
    <row r="772" spans="1:8" ht="15.75" customHeight="1" x14ac:dyDescent="0.25">
      <c r="A772" s="110" t="s">
        <v>18</v>
      </c>
      <c r="B772" s="15">
        <v>758</v>
      </c>
      <c r="C772" s="109" t="s">
        <v>1335</v>
      </c>
      <c r="D772" s="406" t="s">
        <v>203</v>
      </c>
      <c r="E772" s="370"/>
      <c r="F772" s="371"/>
      <c r="G772" s="113" t="s">
        <v>1336</v>
      </c>
      <c r="H772" s="385"/>
    </row>
    <row r="773" spans="1:8" ht="15.75" customHeight="1" x14ac:dyDescent="0.25">
      <c r="A773" s="110" t="s">
        <v>18</v>
      </c>
      <c r="B773" s="15">
        <v>759</v>
      </c>
      <c r="C773" s="109" t="s">
        <v>1337</v>
      </c>
      <c r="D773" s="406" t="s">
        <v>203</v>
      </c>
      <c r="E773" s="370"/>
      <c r="F773" s="371"/>
      <c r="G773" s="113" t="s">
        <v>1338</v>
      </c>
      <c r="H773" s="385"/>
    </row>
    <row r="774" spans="1:8" ht="15.75" customHeight="1" x14ac:dyDescent="0.25">
      <c r="A774" s="110" t="s">
        <v>18</v>
      </c>
      <c r="B774" s="15">
        <v>760</v>
      </c>
      <c r="C774" s="109" t="s">
        <v>1339</v>
      </c>
      <c r="D774" s="406" t="s">
        <v>203</v>
      </c>
      <c r="E774" s="370"/>
      <c r="F774" s="371"/>
      <c r="G774" s="113" t="s">
        <v>1340</v>
      </c>
      <c r="H774" s="385"/>
    </row>
    <row r="775" spans="1:8" ht="15.75" customHeight="1" x14ac:dyDescent="0.25">
      <c r="A775" s="110" t="s">
        <v>18</v>
      </c>
      <c r="B775" s="15">
        <v>761</v>
      </c>
      <c r="C775" s="109" t="s">
        <v>1341</v>
      </c>
      <c r="D775" s="406" t="s">
        <v>247</v>
      </c>
      <c r="E775" s="370"/>
      <c r="F775" s="371"/>
      <c r="G775" s="113" t="s">
        <v>1342</v>
      </c>
      <c r="H775" s="385"/>
    </row>
    <row r="776" spans="1:8" ht="15.75" customHeight="1" x14ac:dyDescent="0.25">
      <c r="A776" s="110" t="s">
        <v>18</v>
      </c>
      <c r="B776" s="15">
        <v>762</v>
      </c>
      <c r="C776" s="109" t="s">
        <v>1343</v>
      </c>
      <c r="D776" s="406" t="s">
        <v>203</v>
      </c>
      <c r="E776" s="370"/>
      <c r="F776" s="371"/>
      <c r="G776" s="113" t="s">
        <v>1344</v>
      </c>
      <c r="H776" s="385"/>
    </row>
    <row r="777" spans="1:8" ht="15.75" customHeight="1" x14ac:dyDescent="0.25">
      <c r="A777" s="110" t="s">
        <v>18</v>
      </c>
      <c r="B777" s="15">
        <v>763</v>
      </c>
      <c r="C777" s="109" t="s">
        <v>1345</v>
      </c>
      <c r="D777" s="406" t="s">
        <v>203</v>
      </c>
      <c r="E777" s="370"/>
      <c r="F777" s="371"/>
      <c r="G777" s="113" t="s">
        <v>1346</v>
      </c>
      <c r="H777" s="385"/>
    </row>
    <row r="778" spans="1:8" ht="15.75" customHeight="1" x14ac:dyDescent="0.25">
      <c r="A778" s="110" t="s">
        <v>18</v>
      </c>
      <c r="B778" s="15">
        <v>764</v>
      </c>
      <c r="C778" s="109" t="s">
        <v>1347</v>
      </c>
      <c r="D778" s="406" t="s">
        <v>203</v>
      </c>
      <c r="E778" s="370"/>
      <c r="F778" s="371"/>
      <c r="G778" s="113" t="s">
        <v>1348</v>
      </c>
      <c r="H778" s="385"/>
    </row>
    <row r="779" spans="1:8" ht="15.75" customHeight="1" x14ac:dyDescent="0.25">
      <c r="A779" s="110" t="s">
        <v>18</v>
      </c>
      <c r="B779" s="15">
        <v>765</v>
      </c>
      <c r="C779" s="109" t="s">
        <v>1349</v>
      </c>
      <c r="D779" s="406" t="s">
        <v>203</v>
      </c>
      <c r="E779" s="370"/>
      <c r="F779" s="371"/>
      <c r="G779" s="113" t="s">
        <v>1350</v>
      </c>
      <c r="H779" s="385"/>
    </row>
    <row r="780" spans="1:8" ht="15.75" customHeight="1" x14ac:dyDescent="0.25">
      <c r="A780" s="110" t="s">
        <v>18</v>
      </c>
      <c r="B780" s="15">
        <v>766</v>
      </c>
      <c r="C780" s="109" t="s">
        <v>1351</v>
      </c>
      <c r="D780" s="406" t="s">
        <v>203</v>
      </c>
      <c r="E780" s="370"/>
      <c r="F780" s="371"/>
      <c r="G780" s="113" t="s">
        <v>1352</v>
      </c>
      <c r="H780" s="385"/>
    </row>
    <row r="781" spans="1:8" ht="15.75" customHeight="1" x14ac:dyDescent="0.25">
      <c r="A781" s="110" t="s">
        <v>18</v>
      </c>
      <c r="B781" s="15">
        <v>767</v>
      </c>
      <c r="C781" s="109" t="s">
        <v>1353</v>
      </c>
      <c r="D781" s="406" t="s">
        <v>203</v>
      </c>
      <c r="E781" s="370"/>
      <c r="F781" s="371"/>
      <c r="G781" s="113" t="s">
        <v>1354</v>
      </c>
      <c r="H781" s="385"/>
    </row>
    <row r="782" spans="1:8" ht="15.75" customHeight="1" x14ac:dyDescent="0.25">
      <c r="A782" s="110" t="s">
        <v>18</v>
      </c>
      <c r="B782" s="15">
        <v>768</v>
      </c>
      <c r="C782" s="109" t="s">
        <v>1355</v>
      </c>
      <c r="D782" s="406" t="s">
        <v>203</v>
      </c>
      <c r="E782" s="370"/>
      <c r="F782" s="371"/>
      <c r="G782" s="113" t="s">
        <v>1356</v>
      </c>
      <c r="H782" s="385"/>
    </row>
    <row r="783" spans="1:8" ht="15.75" customHeight="1" x14ac:dyDescent="0.25">
      <c r="A783" s="110" t="s">
        <v>18</v>
      </c>
      <c r="B783" s="15">
        <v>769</v>
      </c>
      <c r="C783" s="109" t="s">
        <v>1357</v>
      </c>
      <c r="D783" s="406" t="s">
        <v>203</v>
      </c>
      <c r="E783" s="370"/>
      <c r="F783" s="371"/>
      <c r="G783" s="113" t="s">
        <v>1358</v>
      </c>
      <c r="H783" s="385"/>
    </row>
    <row r="784" spans="1:8" ht="15.75" customHeight="1" x14ac:dyDescent="0.25">
      <c r="A784" s="110" t="s">
        <v>18</v>
      </c>
      <c r="B784" s="15">
        <v>770</v>
      </c>
      <c r="C784" s="109" t="s">
        <v>1359</v>
      </c>
      <c r="D784" s="406" t="s">
        <v>203</v>
      </c>
      <c r="E784" s="370"/>
      <c r="F784" s="371"/>
      <c r="G784" s="113" t="s">
        <v>1360</v>
      </c>
      <c r="H784" s="385"/>
    </row>
    <row r="785" spans="1:8" ht="15.75" customHeight="1" x14ac:dyDescent="0.25">
      <c r="A785" s="110" t="s">
        <v>18</v>
      </c>
      <c r="B785" s="15">
        <v>771</v>
      </c>
      <c r="C785" s="109" t="s">
        <v>1361</v>
      </c>
      <c r="D785" s="406" t="s">
        <v>203</v>
      </c>
      <c r="E785" s="370"/>
      <c r="F785" s="371"/>
      <c r="G785" s="113" t="s">
        <v>1362</v>
      </c>
      <c r="H785" s="385"/>
    </row>
    <row r="786" spans="1:8" ht="15.75" customHeight="1" x14ac:dyDescent="0.25">
      <c r="A786" s="110" t="s">
        <v>18</v>
      </c>
      <c r="B786" s="15">
        <v>772</v>
      </c>
      <c r="C786" s="109" t="s">
        <v>1363</v>
      </c>
      <c r="D786" s="406" t="s">
        <v>203</v>
      </c>
      <c r="E786" s="370"/>
      <c r="F786" s="371"/>
      <c r="G786" s="113" t="s">
        <v>1364</v>
      </c>
      <c r="H786" s="385"/>
    </row>
    <row r="787" spans="1:8" ht="15.75" customHeight="1" x14ac:dyDescent="0.25">
      <c r="A787" s="110" t="s">
        <v>18</v>
      </c>
      <c r="B787" s="15">
        <v>773</v>
      </c>
      <c r="C787" s="109" t="s">
        <v>1365</v>
      </c>
      <c r="D787" s="406" t="s">
        <v>203</v>
      </c>
      <c r="E787" s="370"/>
      <c r="F787" s="371"/>
      <c r="G787" s="113" t="s">
        <v>1366</v>
      </c>
      <c r="H787" s="385"/>
    </row>
    <row r="788" spans="1:8" ht="15.75" customHeight="1" x14ac:dyDescent="0.25">
      <c r="A788" s="110" t="s">
        <v>18</v>
      </c>
      <c r="B788" s="15">
        <v>774</v>
      </c>
      <c r="C788" s="109" t="s">
        <v>1367</v>
      </c>
      <c r="D788" s="406" t="s">
        <v>203</v>
      </c>
      <c r="E788" s="370"/>
      <c r="F788" s="371"/>
      <c r="G788" s="113" t="s">
        <v>1368</v>
      </c>
      <c r="H788" s="385"/>
    </row>
    <row r="789" spans="1:8" ht="15.75" customHeight="1" x14ac:dyDescent="0.25">
      <c r="A789" s="110" t="s">
        <v>18</v>
      </c>
      <c r="B789" s="15">
        <v>775</v>
      </c>
      <c r="C789" s="109" t="s">
        <v>1369</v>
      </c>
      <c r="D789" s="406" t="s">
        <v>203</v>
      </c>
      <c r="E789" s="370"/>
      <c r="F789" s="371"/>
      <c r="G789" s="113" t="s">
        <v>1370</v>
      </c>
      <c r="H789" s="385"/>
    </row>
    <row r="790" spans="1:8" ht="15.75" customHeight="1" x14ac:dyDescent="0.25">
      <c r="A790" s="110" t="s">
        <v>18</v>
      </c>
      <c r="B790" s="15">
        <v>776</v>
      </c>
      <c r="C790" s="109" t="s">
        <v>1371</v>
      </c>
      <c r="D790" s="406" t="s">
        <v>203</v>
      </c>
      <c r="E790" s="370"/>
      <c r="F790" s="371"/>
      <c r="G790" s="113" t="s">
        <v>1372</v>
      </c>
      <c r="H790" s="385"/>
    </row>
    <row r="791" spans="1:8" ht="15.75" customHeight="1" x14ac:dyDescent="0.25">
      <c r="A791" s="110" t="s">
        <v>18</v>
      </c>
      <c r="B791" s="15">
        <v>777</v>
      </c>
      <c r="C791" s="109" t="s">
        <v>1373</v>
      </c>
      <c r="D791" s="406" t="s">
        <v>203</v>
      </c>
      <c r="E791" s="370"/>
      <c r="F791" s="371"/>
      <c r="G791" s="113" t="s">
        <v>1374</v>
      </c>
      <c r="H791" s="385"/>
    </row>
    <row r="792" spans="1:8" ht="15.75" customHeight="1" x14ac:dyDescent="0.25">
      <c r="A792" s="110" t="s">
        <v>18</v>
      </c>
      <c r="B792" s="15">
        <v>778</v>
      </c>
      <c r="C792" s="109" t="s">
        <v>1375</v>
      </c>
      <c r="D792" s="406" t="s">
        <v>247</v>
      </c>
      <c r="E792" s="370"/>
      <c r="F792" s="371"/>
      <c r="G792" s="113"/>
      <c r="H792" s="385"/>
    </row>
    <row r="793" spans="1:8" ht="15.75" customHeight="1" x14ac:dyDescent="0.25">
      <c r="A793" s="110" t="s">
        <v>18</v>
      </c>
      <c r="B793" s="15">
        <v>779</v>
      </c>
      <c r="C793" s="109" t="s">
        <v>1376</v>
      </c>
      <c r="D793" s="406" t="s">
        <v>203</v>
      </c>
      <c r="E793" s="370"/>
      <c r="F793" s="371"/>
      <c r="G793" s="113" t="s">
        <v>1377</v>
      </c>
      <c r="H793" s="385"/>
    </row>
    <row r="794" spans="1:8" ht="15.75" customHeight="1" x14ac:dyDescent="0.25">
      <c r="A794" s="110" t="s">
        <v>18</v>
      </c>
      <c r="B794" s="15">
        <v>780</v>
      </c>
      <c r="C794" s="109" t="s">
        <v>1378</v>
      </c>
      <c r="D794" s="406" t="s">
        <v>208</v>
      </c>
      <c r="E794" s="370"/>
      <c r="F794" s="371"/>
      <c r="G794" s="113"/>
      <c r="H794" s="385"/>
    </row>
    <row r="795" spans="1:8" ht="15.75" customHeight="1" x14ac:dyDescent="0.25">
      <c r="A795" s="110" t="s">
        <v>18</v>
      </c>
      <c r="B795" s="15">
        <v>781</v>
      </c>
      <c r="C795" s="109" t="s">
        <v>1379</v>
      </c>
      <c r="D795" s="406" t="s">
        <v>203</v>
      </c>
      <c r="E795" s="370"/>
      <c r="F795" s="371"/>
      <c r="G795" s="113" t="s">
        <v>1380</v>
      </c>
      <c r="H795" s="385"/>
    </row>
    <row r="796" spans="1:8" ht="15.75" customHeight="1" x14ac:dyDescent="0.25">
      <c r="A796" s="110" t="s">
        <v>18</v>
      </c>
      <c r="B796" s="15">
        <v>782</v>
      </c>
      <c r="C796" s="109" t="s">
        <v>1381</v>
      </c>
      <c r="D796" s="406" t="s">
        <v>203</v>
      </c>
      <c r="E796" s="370"/>
      <c r="F796" s="371"/>
      <c r="G796" s="113" t="s">
        <v>1382</v>
      </c>
      <c r="H796" s="385"/>
    </row>
    <row r="797" spans="1:8" ht="15.75" customHeight="1" x14ac:dyDescent="0.25">
      <c r="A797" s="110" t="s">
        <v>18</v>
      </c>
      <c r="B797" s="15">
        <v>783</v>
      </c>
      <c r="C797" s="109" t="s">
        <v>1383</v>
      </c>
      <c r="D797" s="406" t="s">
        <v>203</v>
      </c>
      <c r="E797" s="370"/>
      <c r="F797" s="371"/>
      <c r="G797" s="113" t="s">
        <v>1384</v>
      </c>
      <c r="H797" s="385"/>
    </row>
    <row r="798" spans="1:8" ht="15.75" customHeight="1" x14ac:dyDescent="0.25">
      <c r="A798" s="110" t="s">
        <v>18</v>
      </c>
      <c r="B798" s="15">
        <v>784</v>
      </c>
      <c r="C798" s="109" t="s">
        <v>1385</v>
      </c>
      <c r="D798" s="406" t="s">
        <v>203</v>
      </c>
      <c r="E798" s="370"/>
      <c r="F798" s="371"/>
      <c r="G798" s="113" t="s">
        <v>1386</v>
      </c>
      <c r="H798" s="385"/>
    </row>
    <row r="799" spans="1:8" ht="15.75" customHeight="1" x14ac:dyDescent="0.25">
      <c r="A799" s="110" t="s">
        <v>18</v>
      </c>
      <c r="B799" s="15">
        <v>785</v>
      </c>
      <c r="C799" s="115" t="s">
        <v>1387</v>
      </c>
      <c r="D799" s="406" t="s">
        <v>203</v>
      </c>
      <c r="E799" s="370"/>
      <c r="F799" s="371"/>
      <c r="G799" s="120" t="s">
        <v>1388</v>
      </c>
      <c r="H799" s="385"/>
    </row>
    <row r="800" spans="1:8" ht="15.75" customHeight="1" x14ac:dyDescent="0.25">
      <c r="A800" s="110" t="s">
        <v>18</v>
      </c>
      <c r="B800" s="15">
        <v>786</v>
      </c>
      <c r="C800" s="109" t="s">
        <v>1389</v>
      </c>
      <c r="D800" s="406" t="s">
        <v>208</v>
      </c>
      <c r="E800" s="370"/>
      <c r="F800" s="371"/>
      <c r="G800" s="113"/>
      <c r="H800" s="385"/>
    </row>
    <row r="801" spans="1:8" ht="15.75" customHeight="1" x14ac:dyDescent="0.25">
      <c r="A801" s="110" t="s">
        <v>18</v>
      </c>
      <c r="B801" s="15">
        <v>787</v>
      </c>
      <c r="C801" s="109" t="s">
        <v>1390</v>
      </c>
      <c r="D801" s="406" t="s">
        <v>203</v>
      </c>
      <c r="E801" s="370"/>
      <c r="F801" s="371"/>
      <c r="G801" s="113" t="s">
        <v>1234</v>
      </c>
      <c r="H801" s="385"/>
    </row>
    <row r="802" spans="1:8" ht="15.75" customHeight="1" x14ac:dyDescent="0.25">
      <c r="A802" s="110" t="s">
        <v>18</v>
      </c>
      <c r="B802" s="15">
        <v>788</v>
      </c>
      <c r="C802" s="109" t="s">
        <v>1391</v>
      </c>
      <c r="D802" s="406" t="s">
        <v>203</v>
      </c>
      <c r="E802" s="370"/>
      <c r="F802" s="371"/>
      <c r="G802" s="113" t="s">
        <v>645</v>
      </c>
      <c r="H802" s="385"/>
    </row>
    <row r="803" spans="1:8" ht="15.75" customHeight="1" x14ac:dyDescent="0.25">
      <c r="A803" s="110" t="s">
        <v>18</v>
      </c>
      <c r="B803" s="15">
        <v>789</v>
      </c>
      <c r="C803" s="109" t="s">
        <v>1392</v>
      </c>
      <c r="D803" s="406" t="s">
        <v>203</v>
      </c>
      <c r="E803" s="370"/>
      <c r="F803" s="371"/>
      <c r="G803" s="113" t="s">
        <v>1393</v>
      </c>
      <c r="H803" s="385"/>
    </row>
    <row r="804" spans="1:8" ht="15.75" customHeight="1" x14ac:dyDescent="0.25">
      <c r="A804" s="110" t="s">
        <v>18</v>
      </c>
      <c r="B804" s="15">
        <v>790</v>
      </c>
      <c r="C804" s="109" t="s">
        <v>1394</v>
      </c>
      <c r="D804" s="406" t="s">
        <v>208</v>
      </c>
      <c r="E804" s="370"/>
      <c r="F804" s="371"/>
      <c r="G804" s="113"/>
      <c r="H804" s="385"/>
    </row>
    <row r="805" spans="1:8" ht="15.75" customHeight="1" x14ac:dyDescent="0.25">
      <c r="A805" s="110" t="s">
        <v>18</v>
      </c>
      <c r="B805" s="15">
        <v>791</v>
      </c>
      <c r="C805" s="109" t="s">
        <v>1395</v>
      </c>
      <c r="D805" s="406" t="s">
        <v>208</v>
      </c>
      <c r="E805" s="370"/>
      <c r="F805" s="371"/>
      <c r="G805" s="113"/>
      <c r="H805" s="385"/>
    </row>
    <row r="806" spans="1:8" ht="15.75" customHeight="1" x14ac:dyDescent="0.25">
      <c r="A806" s="110" t="s">
        <v>18</v>
      </c>
      <c r="B806" s="15">
        <v>792</v>
      </c>
      <c r="C806" s="109" t="s">
        <v>1396</v>
      </c>
      <c r="D806" s="406" t="s">
        <v>203</v>
      </c>
      <c r="E806" s="370"/>
      <c r="F806" s="371"/>
      <c r="G806" s="113" t="s">
        <v>1397</v>
      </c>
      <c r="H806" s="385"/>
    </row>
    <row r="807" spans="1:8" ht="15.75" customHeight="1" x14ac:dyDescent="0.25">
      <c r="A807" s="105" t="s">
        <v>20</v>
      </c>
      <c r="B807" s="15">
        <v>793</v>
      </c>
      <c r="C807" s="109" t="s">
        <v>1398</v>
      </c>
      <c r="D807" s="406" t="s">
        <v>203</v>
      </c>
      <c r="E807" s="370"/>
      <c r="F807" s="371"/>
      <c r="G807" s="113" t="s">
        <v>1399</v>
      </c>
      <c r="H807" s="385"/>
    </row>
    <row r="808" spans="1:8" ht="15.75" customHeight="1" x14ac:dyDescent="0.25">
      <c r="A808" s="105" t="s">
        <v>20</v>
      </c>
      <c r="B808" s="15">
        <v>794</v>
      </c>
      <c r="C808" s="109" t="s">
        <v>1400</v>
      </c>
      <c r="D808" s="406" t="s">
        <v>203</v>
      </c>
      <c r="E808" s="370"/>
      <c r="F808" s="371"/>
      <c r="G808" s="113" t="s">
        <v>1401</v>
      </c>
      <c r="H808" s="385"/>
    </row>
    <row r="809" spans="1:8" ht="15.75" customHeight="1" x14ac:dyDescent="0.25">
      <c r="A809" s="105" t="s">
        <v>20</v>
      </c>
      <c r="B809" s="15">
        <v>795</v>
      </c>
      <c r="C809" s="109" t="s">
        <v>1402</v>
      </c>
      <c r="D809" s="406" t="s">
        <v>203</v>
      </c>
      <c r="E809" s="370"/>
      <c r="F809" s="371"/>
      <c r="G809" s="113" t="s">
        <v>1403</v>
      </c>
      <c r="H809" s="385"/>
    </row>
    <row r="810" spans="1:8" ht="15.75" customHeight="1" x14ac:dyDescent="0.25">
      <c r="A810" s="105" t="s">
        <v>20</v>
      </c>
      <c r="B810" s="15">
        <v>796</v>
      </c>
      <c r="C810" s="109" t="s">
        <v>1404</v>
      </c>
      <c r="D810" s="406" t="s">
        <v>203</v>
      </c>
      <c r="E810" s="370"/>
      <c r="F810" s="371"/>
      <c r="G810" s="113" t="s">
        <v>1405</v>
      </c>
      <c r="H810" s="385"/>
    </row>
    <row r="811" spans="1:8" ht="15.75" customHeight="1" x14ac:dyDescent="0.25">
      <c r="A811" s="105" t="s">
        <v>20</v>
      </c>
      <c r="B811" s="15">
        <v>797</v>
      </c>
      <c r="C811" s="109" t="s">
        <v>1406</v>
      </c>
      <c r="D811" s="406" t="s">
        <v>203</v>
      </c>
      <c r="E811" s="370"/>
      <c r="F811" s="371"/>
      <c r="G811" s="113" t="s">
        <v>1407</v>
      </c>
      <c r="H811" s="385"/>
    </row>
    <row r="812" spans="1:8" ht="15.75" customHeight="1" x14ac:dyDescent="0.25">
      <c r="A812" s="105" t="s">
        <v>20</v>
      </c>
      <c r="B812" s="15">
        <v>798</v>
      </c>
      <c r="C812" s="109" t="s">
        <v>1408</v>
      </c>
      <c r="D812" s="406" t="s">
        <v>203</v>
      </c>
      <c r="E812" s="370"/>
      <c r="F812" s="371"/>
      <c r="G812" s="113" t="s">
        <v>1409</v>
      </c>
      <c r="H812" s="385"/>
    </row>
    <row r="813" spans="1:8" ht="15.75" customHeight="1" x14ac:dyDescent="0.25">
      <c r="A813" s="105" t="s">
        <v>20</v>
      </c>
      <c r="B813" s="15">
        <v>799</v>
      </c>
      <c r="C813" s="109" t="s">
        <v>1410</v>
      </c>
      <c r="D813" s="406" t="s">
        <v>247</v>
      </c>
      <c r="E813" s="370"/>
      <c r="F813" s="371"/>
      <c r="G813" s="113"/>
      <c r="H813" s="385"/>
    </row>
    <row r="814" spans="1:8" ht="15.75" customHeight="1" x14ac:dyDescent="0.25">
      <c r="A814" s="105" t="s">
        <v>20</v>
      </c>
      <c r="B814" s="15">
        <v>800</v>
      </c>
      <c r="C814" s="109" t="s">
        <v>1411</v>
      </c>
      <c r="D814" s="406" t="s">
        <v>203</v>
      </c>
      <c r="E814" s="370"/>
      <c r="F814" s="371"/>
      <c r="G814" s="113" t="s">
        <v>1412</v>
      </c>
      <c r="H814" s="385"/>
    </row>
    <row r="815" spans="1:8" ht="15.75" customHeight="1" x14ac:dyDescent="0.25">
      <c r="A815" s="105" t="s">
        <v>20</v>
      </c>
      <c r="B815" s="15">
        <v>801</v>
      </c>
      <c r="C815" s="109" t="s">
        <v>1413</v>
      </c>
      <c r="D815" s="406" t="s">
        <v>203</v>
      </c>
      <c r="E815" s="370"/>
      <c r="F815" s="371"/>
      <c r="G815" s="113" t="s">
        <v>1414</v>
      </c>
      <c r="H815" s="385"/>
    </row>
    <row r="816" spans="1:8" ht="15.75" customHeight="1" x14ac:dyDescent="0.25">
      <c r="A816" s="105" t="s">
        <v>20</v>
      </c>
      <c r="B816" s="15">
        <v>802</v>
      </c>
      <c r="C816" s="109" t="s">
        <v>1415</v>
      </c>
      <c r="D816" s="406" t="s">
        <v>203</v>
      </c>
      <c r="E816" s="370"/>
      <c r="F816" s="371"/>
      <c r="G816" s="113" t="s">
        <v>1416</v>
      </c>
      <c r="H816" s="385"/>
    </row>
    <row r="817" spans="1:8" ht="15.75" customHeight="1" x14ac:dyDescent="0.25">
      <c r="A817" s="105" t="s">
        <v>20</v>
      </c>
      <c r="B817" s="15">
        <v>803</v>
      </c>
      <c r="C817" s="109" t="s">
        <v>1417</v>
      </c>
      <c r="D817" s="406" t="s">
        <v>203</v>
      </c>
      <c r="E817" s="370"/>
      <c r="F817" s="371"/>
      <c r="G817" s="107" t="s">
        <v>1418</v>
      </c>
      <c r="H817" s="385"/>
    </row>
    <row r="818" spans="1:8" ht="15.75" customHeight="1" x14ac:dyDescent="0.25">
      <c r="A818" s="105" t="s">
        <v>21</v>
      </c>
      <c r="B818" s="15">
        <v>804</v>
      </c>
      <c r="C818" s="106" t="s">
        <v>1419</v>
      </c>
      <c r="D818" s="406" t="s">
        <v>208</v>
      </c>
      <c r="E818" s="370"/>
      <c r="F818" s="371"/>
      <c r="G818" s="113"/>
      <c r="H818" s="385"/>
    </row>
    <row r="819" spans="1:8" ht="15.75" customHeight="1" x14ac:dyDescent="0.25">
      <c r="A819" s="105" t="s">
        <v>21</v>
      </c>
      <c r="B819" s="15">
        <v>805</v>
      </c>
      <c r="C819" s="109" t="s">
        <v>1420</v>
      </c>
      <c r="D819" s="406" t="s">
        <v>203</v>
      </c>
      <c r="E819" s="370"/>
      <c r="F819" s="371"/>
      <c r="G819" s="113" t="s">
        <v>1421</v>
      </c>
      <c r="H819" s="385"/>
    </row>
    <row r="820" spans="1:8" ht="15.75" customHeight="1" x14ac:dyDescent="0.25">
      <c r="A820" s="105" t="s">
        <v>21</v>
      </c>
      <c r="B820" s="15">
        <v>806</v>
      </c>
      <c r="C820" s="109" t="s">
        <v>1422</v>
      </c>
      <c r="D820" s="406" t="s">
        <v>203</v>
      </c>
      <c r="E820" s="370"/>
      <c r="F820" s="371"/>
      <c r="G820" s="113" t="s">
        <v>1423</v>
      </c>
      <c r="H820" s="385"/>
    </row>
    <row r="821" spans="1:8" ht="15.75" customHeight="1" x14ac:dyDescent="0.25">
      <c r="A821" s="105" t="s">
        <v>21</v>
      </c>
      <c r="B821" s="15">
        <v>807</v>
      </c>
      <c r="C821" s="109" t="s">
        <v>1424</v>
      </c>
      <c r="D821" s="406" t="s">
        <v>203</v>
      </c>
      <c r="E821" s="370"/>
      <c r="F821" s="371"/>
      <c r="G821" s="113" t="s">
        <v>1425</v>
      </c>
      <c r="H821" s="385"/>
    </row>
    <row r="822" spans="1:8" ht="15.75" customHeight="1" x14ac:dyDescent="0.25">
      <c r="A822" s="105" t="s">
        <v>21</v>
      </c>
      <c r="B822" s="15">
        <v>808</v>
      </c>
      <c r="C822" s="109" t="s">
        <v>1426</v>
      </c>
      <c r="D822" s="406" t="s">
        <v>208</v>
      </c>
      <c r="E822" s="370"/>
      <c r="F822" s="371"/>
      <c r="G822" s="113"/>
      <c r="H822" s="385"/>
    </row>
    <row r="823" spans="1:8" ht="15.75" customHeight="1" x14ac:dyDescent="0.25">
      <c r="A823" s="105" t="s">
        <v>21</v>
      </c>
      <c r="B823" s="15">
        <v>809</v>
      </c>
      <c r="C823" s="109" t="s">
        <v>1427</v>
      </c>
      <c r="D823" s="406" t="s">
        <v>203</v>
      </c>
      <c r="E823" s="370"/>
      <c r="F823" s="371"/>
      <c r="G823" s="113" t="s">
        <v>1428</v>
      </c>
      <c r="H823" s="385"/>
    </row>
    <row r="824" spans="1:8" ht="15.75" customHeight="1" x14ac:dyDescent="0.25">
      <c r="A824" s="105" t="s">
        <v>21</v>
      </c>
      <c r="B824" s="15">
        <v>810</v>
      </c>
      <c r="C824" s="109" t="s">
        <v>1429</v>
      </c>
      <c r="D824" s="406" t="s">
        <v>203</v>
      </c>
      <c r="E824" s="370"/>
      <c r="F824" s="371"/>
      <c r="G824" s="113" t="s">
        <v>1430</v>
      </c>
      <c r="H824" s="385"/>
    </row>
    <row r="825" spans="1:8" ht="15.75" customHeight="1" x14ac:dyDescent="0.25">
      <c r="A825" s="105" t="s">
        <v>21</v>
      </c>
      <c r="B825" s="15">
        <v>811</v>
      </c>
      <c r="C825" s="109" t="s">
        <v>1431</v>
      </c>
      <c r="D825" s="406" t="s">
        <v>203</v>
      </c>
      <c r="E825" s="370"/>
      <c r="F825" s="371"/>
      <c r="G825" s="113" t="s">
        <v>1432</v>
      </c>
      <c r="H825" s="385"/>
    </row>
    <row r="826" spans="1:8" ht="15.75" customHeight="1" x14ac:dyDescent="0.25">
      <c r="A826" s="105" t="s">
        <v>21</v>
      </c>
      <c r="B826" s="15">
        <v>812</v>
      </c>
      <c r="C826" s="109" t="s">
        <v>1433</v>
      </c>
      <c r="D826" s="406" t="s">
        <v>203</v>
      </c>
      <c r="E826" s="370"/>
      <c r="F826" s="371"/>
      <c r="G826" s="113" t="s">
        <v>1434</v>
      </c>
      <c r="H826" s="385"/>
    </row>
    <row r="827" spans="1:8" ht="15.75" customHeight="1" x14ac:dyDescent="0.25">
      <c r="A827" s="105" t="s">
        <v>21</v>
      </c>
      <c r="B827" s="15">
        <v>813</v>
      </c>
      <c r="C827" s="109" t="s">
        <v>1435</v>
      </c>
      <c r="D827" s="406" t="s">
        <v>203</v>
      </c>
      <c r="E827" s="370"/>
      <c r="F827" s="371"/>
      <c r="G827" s="113" t="s">
        <v>1436</v>
      </c>
      <c r="H827" s="385"/>
    </row>
    <row r="828" spans="1:8" ht="15.75" customHeight="1" x14ac:dyDescent="0.25">
      <c r="A828" s="105" t="s">
        <v>21</v>
      </c>
      <c r="B828" s="15">
        <v>814</v>
      </c>
      <c r="C828" s="109" t="s">
        <v>1437</v>
      </c>
      <c r="D828" s="406" t="s">
        <v>247</v>
      </c>
      <c r="E828" s="370"/>
      <c r="F828" s="371"/>
      <c r="G828" s="113"/>
      <c r="H828" s="385"/>
    </row>
    <row r="829" spans="1:8" ht="15.75" customHeight="1" x14ac:dyDescent="0.25">
      <c r="A829" s="105" t="s">
        <v>21</v>
      </c>
      <c r="B829" s="15">
        <v>815</v>
      </c>
      <c r="C829" s="109" t="s">
        <v>1438</v>
      </c>
      <c r="D829" s="406" t="s">
        <v>203</v>
      </c>
      <c r="E829" s="370"/>
      <c r="F829" s="371"/>
      <c r="G829" s="113" t="s">
        <v>1439</v>
      </c>
      <c r="H829" s="385"/>
    </row>
    <row r="830" spans="1:8" ht="15.75" customHeight="1" x14ac:dyDescent="0.25">
      <c r="A830" s="105" t="s">
        <v>21</v>
      </c>
      <c r="B830" s="15">
        <v>816</v>
      </c>
      <c r="C830" s="109" t="s">
        <v>1440</v>
      </c>
      <c r="D830" s="406" t="s">
        <v>203</v>
      </c>
      <c r="E830" s="370"/>
      <c r="F830" s="371"/>
      <c r="G830" s="113" t="s">
        <v>1441</v>
      </c>
      <c r="H830" s="385"/>
    </row>
    <row r="831" spans="1:8" ht="15.75" customHeight="1" x14ac:dyDescent="0.25">
      <c r="A831" s="105" t="s">
        <v>21</v>
      </c>
      <c r="B831" s="15">
        <v>817</v>
      </c>
      <c r="C831" s="109" t="s">
        <v>1442</v>
      </c>
      <c r="D831" s="406" t="s">
        <v>208</v>
      </c>
      <c r="E831" s="370"/>
      <c r="F831" s="371"/>
      <c r="G831" s="113"/>
      <c r="H831" s="385"/>
    </row>
    <row r="832" spans="1:8" ht="15.75" customHeight="1" x14ac:dyDescent="0.25">
      <c r="A832" s="105" t="s">
        <v>21</v>
      </c>
      <c r="B832" s="15">
        <v>818</v>
      </c>
      <c r="C832" s="109" t="s">
        <v>1443</v>
      </c>
      <c r="D832" s="406" t="s">
        <v>208</v>
      </c>
      <c r="E832" s="370"/>
      <c r="F832" s="371"/>
      <c r="G832" s="113"/>
      <c r="H832" s="385"/>
    </row>
    <row r="833" spans="1:8" ht="15.75" customHeight="1" x14ac:dyDescent="0.25">
      <c r="A833" s="105" t="s">
        <v>21</v>
      </c>
      <c r="B833" s="15">
        <v>819</v>
      </c>
      <c r="C833" s="109" t="s">
        <v>1444</v>
      </c>
      <c r="D833" s="406" t="s">
        <v>208</v>
      </c>
      <c r="E833" s="370"/>
      <c r="F833" s="371"/>
      <c r="G833" s="113"/>
      <c r="H833" s="385"/>
    </row>
    <row r="834" spans="1:8" ht="15.75" customHeight="1" x14ac:dyDescent="0.25">
      <c r="A834" s="105" t="s">
        <v>21</v>
      </c>
      <c r="B834" s="15">
        <v>820</v>
      </c>
      <c r="C834" s="109" t="s">
        <v>1445</v>
      </c>
      <c r="D834" s="406" t="s">
        <v>203</v>
      </c>
      <c r="E834" s="370"/>
      <c r="F834" s="371"/>
      <c r="G834" s="113" t="s">
        <v>1446</v>
      </c>
      <c r="H834" s="385"/>
    </row>
    <row r="835" spans="1:8" ht="15.75" customHeight="1" x14ac:dyDescent="0.25">
      <c r="A835" s="105" t="s">
        <v>21</v>
      </c>
      <c r="B835" s="15">
        <v>821</v>
      </c>
      <c r="C835" s="109" t="s">
        <v>1447</v>
      </c>
      <c r="D835" s="406" t="s">
        <v>203</v>
      </c>
      <c r="E835" s="370"/>
      <c r="F835" s="371"/>
      <c r="G835" s="113" t="s">
        <v>1448</v>
      </c>
      <c r="H835" s="385"/>
    </row>
    <row r="836" spans="1:8" ht="15.75" customHeight="1" x14ac:dyDescent="0.25">
      <c r="A836" s="105" t="s">
        <v>21</v>
      </c>
      <c r="B836" s="15">
        <v>822</v>
      </c>
      <c r="C836" s="109" t="s">
        <v>1449</v>
      </c>
      <c r="D836" s="406" t="s">
        <v>247</v>
      </c>
      <c r="E836" s="370"/>
      <c r="F836" s="371"/>
      <c r="G836" s="113"/>
      <c r="H836" s="385"/>
    </row>
    <row r="837" spans="1:8" ht="15.75" customHeight="1" x14ac:dyDescent="0.25">
      <c r="A837" s="105" t="s">
        <v>21</v>
      </c>
      <c r="B837" s="15">
        <v>823</v>
      </c>
      <c r="C837" s="109" t="s">
        <v>1450</v>
      </c>
      <c r="D837" s="406" t="s">
        <v>203</v>
      </c>
      <c r="E837" s="370"/>
      <c r="F837" s="371"/>
      <c r="G837" s="113" t="s">
        <v>1451</v>
      </c>
      <c r="H837" s="385"/>
    </row>
    <row r="838" spans="1:8" ht="15.75" customHeight="1" x14ac:dyDescent="0.25">
      <c r="A838" s="105" t="s">
        <v>21</v>
      </c>
      <c r="B838" s="15">
        <v>824</v>
      </c>
      <c r="C838" s="109" t="s">
        <v>1452</v>
      </c>
      <c r="D838" s="406" t="s">
        <v>203</v>
      </c>
      <c r="E838" s="370"/>
      <c r="F838" s="371"/>
      <c r="G838" s="113" t="s">
        <v>1453</v>
      </c>
      <c r="H838" s="385"/>
    </row>
    <row r="839" spans="1:8" ht="15.75" customHeight="1" x14ac:dyDescent="0.25">
      <c r="A839" s="105" t="s">
        <v>21</v>
      </c>
      <c r="B839" s="15">
        <v>825</v>
      </c>
      <c r="C839" s="109" t="s">
        <v>1454</v>
      </c>
      <c r="D839" s="406" t="s">
        <v>203</v>
      </c>
      <c r="E839" s="370"/>
      <c r="F839" s="371"/>
      <c r="G839" s="113" t="s">
        <v>1455</v>
      </c>
      <c r="H839" s="385"/>
    </row>
    <row r="840" spans="1:8" ht="15.75" customHeight="1" x14ac:dyDescent="0.25">
      <c r="A840" s="105" t="s">
        <v>21</v>
      </c>
      <c r="B840" s="15">
        <v>826</v>
      </c>
      <c r="C840" s="109" t="s">
        <v>1456</v>
      </c>
      <c r="D840" s="406" t="s">
        <v>247</v>
      </c>
      <c r="E840" s="370"/>
      <c r="F840" s="371"/>
      <c r="G840" s="113"/>
      <c r="H840" s="385"/>
    </row>
    <row r="841" spans="1:8" ht="15.75" customHeight="1" x14ac:dyDescent="0.25">
      <c r="A841" s="105" t="s">
        <v>21</v>
      </c>
      <c r="B841" s="15">
        <v>827</v>
      </c>
      <c r="C841" s="109" t="s">
        <v>1457</v>
      </c>
      <c r="D841" s="406" t="s">
        <v>203</v>
      </c>
      <c r="E841" s="370"/>
      <c r="F841" s="371"/>
      <c r="G841" s="113" t="s">
        <v>1458</v>
      </c>
      <c r="H841" s="385"/>
    </row>
    <row r="842" spans="1:8" ht="15.75" customHeight="1" x14ac:dyDescent="0.25">
      <c r="A842" s="105" t="s">
        <v>21</v>
      </c>
      <c r="B842" s="15">
        <v>828</v>
      </c>
      <c r="C842" s="109" t="s">
        <v>1459</v>
      </c>
      <c r="D842" s="406" t="s">
        <v>247</v>
      </c>
      <c r="E842" s="370"/>
      <c r="F842" s="371"/>
      <c r="G842" s="113"/>
      <c r="H842" s="385"/>
    </row>
    <row r="843" spans="1:8" ht="15.75" customHeight="1" x14ac:dyDescent="0.25">
      <c r="A843" s="105" t="s">
        <v>21</v>
      </c>
      <c r="B843" s="15">
        <v>829</v>
      </c>
      <c r="C843" s="109" t="s">
        <v>1460</v>
      </c>
      <c r="D843" s="406" t="s">
        <v>203</v>
      </c>
      <c r="E843" s="370"/>
      <c r="F843" s="371"/>
      <c r="G843" s="113" t="s">
        <v>1461</v>
      </c>
      <c r="H843" s="385"/>
    </row>
    <row r="844" spans="1:8" ht="15.75" customHeight="1" x14ac:dyDescent="0.25">
      <c r="A844" s="105" t="s">
        <v>21</v>
      </c>
      <c r="B844" s="15">
        <v>830</v>
      </c>
      <c r="C844" s="109" t="s">
        <v>1462</v>
      </c>
      <c r="D844" s="406" t="s">
        <v>247</v>
      </c>
      <c r="E844" s="370"/>
      <c r="F844" s="371"/>
      <c r="G844" s="113"/>
      <c r="H844" s="385"/>
    </row>
    <row r="845" spans="1:8" ht="15.75" customHeight="1" x14ac:dyDescent="0.25">
      <c r="A845" s="105" t="s">
        <v>21</v>
      </c>
      <c r="B845" s="15">
        <v>831</v>
      </c>
      <c r="C845" s="109" t="s">
        <v>1463</v>
      </c>
      <c r="D845" s="406" t="s">
        <v>247</v>
      </c>
      <c r="E845" s="370"/>
      <c r="F845" s="371"/>
      <c r="G845" s="113"/>
      <c r="H845" s="385"/>
    </row>
    <row r="846" spans="1:8" ht="15.75" customHeight="1" x14ac:dyDescent="0.25">
      <c r="A846" s="105" t="s">
        <v>21</v>
      </c>
      <c r="B846" s="15">
        <v>832</v>
      </c>
      <c r="C846" s="109" t="s">
        <v>1464</v>
      </c>
      <c r="D846" s="406" t="s">
        <v>247</v>
      </c>
      <c r="E846" s="370"/>
      <c r="F846" s="371"/>
      <c r="G846" s="113"/>
      <c r="H846" s="385"/>
    </row>
    <row r="847" spans="1:8" ht="15.75" customHeight="1" x14ac:dyDescent="0.25">
      <c r="A847" s="105" t="s">
        <v>1465</v>
      </c>
      <c r="B847" s="15">
        <v>833</v>
      </c>
      <c r="C847" s="109" t="s">
        <v>1466</v>
      </c>
      <c r="D847" s="406" t="s">
        <v>203</v>
      </c>
      <c r="E847" s="370"/>
      <c r="F847" s="371"/>
      <c r="G847" s="113" t="s">
        <v>1467</v>
      </c>
      <c r="H847" s="385"/>
    </row>
    <row r="848" spans="1:8" ht="15.75" customHeight="1" x14ac:dyDescent="0.25">
      <c r="A848" s="105" t="s">
        <v>1465</v>
      </c>
      <c r="B848" s="15">
        <v>834</v>
      </c>
      <c r="C848" s="109" t="s">
        <v>1468</v>
      </c>
      <c r="D848" s="406" t="s">
        <v>247</v>
      </c>
      <c r="E848" s="370"/>
      <c r="F848" s="371"/>
      <c r="G848" s="113"/>
      <c r="H848" s="385"/>
    </row>
    <row r="849" spans="1:8" ht="15.75" customHeight="1" x14ac:dyDescent="0.25">
      <c r="A849" s="105" t="s">
        <v>1465</v>
      </c>
      <c r="B849" s="15">
        <v>835</v>
      </c>
      <c r="C849" s="109" t="s">
        <v>1469</v>
      </c>
      <c r="D849" s="406" t="s">
        <v>203</v>
      </c>
      <c r="E849" s="370"/>
      <c r="F849" s="371"/>
      <c r="G849" s="113" t="s">
        <v>1470</v>
      </c>
      <c r="H849" s="385"/>
    </row>
    <row r="850" spans="1:8" ht="15.75" customHeight="1" x14ac:dyDescent="0.25">
      <c r="A850" s="105" t="s">
        <v>1465</v>
      </c>
      <c r="B850" s="15">
        <v>836</v>
      </c>
      <c r="C850" s="109" t="s">
        <v>1471</v>
      </c>
      <c r="D850" s="406" t="s">
        <v>247</v>
      </c>
      <c r="E850" s="370"/>
      <c r="F850" s="371"/>
      <c r="G850" s="113"/>
      <c r="H850" s="385"/>
    </row>
    <row r="851" spans="1:8" ht="15.75" customHeight="1" x14ac:dyDescent="0.25">
      <c r="A851" s="105" t="s">
        <v>1465</v>
      </c>
      <c r="B851" s="15">
        <v>837</v>
      </c>
      <c r="C851" s="109" t="s">
        <v>1472</v>
      </c>
      <c r="D851" s="406" t="s">
        <v>203</v>
      </c>
      <c r="E851" s="370"/>
      <c r="F851" s="371"/>
      <c r="G851" s="113" t="s">
        <v>350</v>
      </c>
      <c r="H851" s="385"/>
    </row>
    <row r="852" spans="1:8" ht="15.75" customHeight="1" x14ac:dyDescent="0.25">
      <c r="A852" s="105" t="s">
        <v>1465</v>
      </c>
      <c r="B852" s="15">
        <v>838</v>
      </c>
      <c r="C852" s="109" t="s">
        <v>1473</v>
      </c>
      <c r="D852" s="406" t="s">
        <v>247</v>
      </c>
      <c r="E852" s="370"/>
      <c r="F852" s="371"/>
      <c r="G852" s="113"/>
      <c r="H852" s="385"/>
    </row>
    <row r="853" spans="1:8" ht="15.75" customHeight="1" x14ac:dyDescent="0.25">
      <c r="A853" s="105" t="s">
        <v>1465</v>
      </c>
      <c r="B853" s="15">
        <v>839</v>
      </c>
      <c r="C853" s="109" t="s">
        <v>1474</v>
      </c>
      <c r="D853" s="406" t="s">
        <v>208</v>
      </c>
      <c r="E853" s="370"/>
      <c r="F853" s="371"/>
      <c r="G853" s="113"/>
      <c r="H853" s="385"/>
    </row>
    <row r="854" spans="1:8" ht="15.75" customHeight="1" x14ac:dyDescent="0.25">
      <c r="A854" s="105" t="s">
        <v>1465</v>
      </c>
      <c r="B854" s="15">
        <v>840</v>
      </c>
      <c r="C854" s="109" t="s">
        <v>1475</v>
      </c>
      <c r="D854" s="406" t="s">
        <v>247</v>
      </c>
      <c r="E854" s="370"/>
      <c r="F854" s="371"/>
      <c r="G854" s="113"/>
      <c r="H854" s="385"/>
    </row>
    <row r="855" spans="1:8" ht="15.75" customHeight="1" x14ac:dyDescent="0.25">
      <c r="A855" s="105" t="s">
        <v>1465</v>
      </c>
      <c r="B855" s="15">
        <v>841</v>
      </c>
      <c r="C855" s="109" t="s">
        <v>1476</v>
      </c>
      <c r="D855" s="406" t="s">
        <v>203</v>
      </c>
      <c r="E855" s="370"/>
      <c r="F855" s="371"/>
      <c r="G855" s="113" t="s">
        <v>1477</v>
      </c>
      <c r="H855" s="385"/>
    </row>
    <row r="856" spans="1:8" ht="15.75" customHeight="1" x14ac:dyDescent="0.25">
      <c r="A856" s="105" t="s">
        <v>1465</v>
      </c>
      <c r="B856" s="15">
        <v>842</v>
      </c>
      <c r="C856" s="109" t="s">
        <v>1478</v>
      </c>
      <c r="D856" s="406" t="s">
        <v>247</v>
      </c>
      <c r="E856" s="370"/>
      <c r="F856" s="371"/>
      <c r="G856" s="113"/>
      <c r="H856" s="385"/>
    </row>
    <row r="857" spans="1:8" ht="15.75" customHeight="1" x14ac:dyDescent="0.25">
      <c r="A857" s="105" t="s">
        <v>1465</v>
      </c>
      <c r="B857" s="15">
        <v>843</v>
      </c>
      <c r="C857" s="109" t="s">
        <v>1479</v>
      </c>
      <c r="D857" s="406" t="s">
        <v>203</v>
      </c>
      <c r="E857" s="370"/>
      <c r="F857" s="371"/>
      <c r="G857" s="113" t="s">
        <v>1480</v>
      </c>
      <c r="H857" s="385"/>
    </row>
    <row r="858" spans="1:8" ht="15.75" customHeight="1" x14ac:dyDescent="0.25">
      <c r="A858" s="105" t="s">
        <v>1465</v>
      </c>
      <c r="B858" s="15">
        <v>844</v>
      </c>
      <c r="C858" s="109" t="s">
        <v>1481</v>
      </c>
      <c r="D858" s="406" t="s">
        <v>247</v>
      </c>
      <c r="E858" s="370"/>
      <c r="F858" s="371"/>
      <c r="G858" s="113"/>
      <c r="H858" s="385"/>
    </row>
    <row r="859" spans="1:8" ht="15.75" customHeight="1" x14ac:dyDescent="0.25">
      <c r="A859" s="105" t="s">
        <v>1465</v>
      </c>
      <c r="B859" s="15">
        <v>845</v>
      </c>
      <c r="C859" s="109" t="s">
        <v>1482</v>
      </c>
      <c r="D859" s="406" t="s">
        <v>203</v>
      </c>
      <c r="E859" s="370"/>
      <c r="F859" s="371"/>
      <c r="G859" s="113" t="s">
        <v>1483</v>
      </c>
      <c r="H859" s="385"/>
    </row>
    <row r="860" spans="1:8" ht="15.75" customHeight="1" x14ac:dyDescent="0.25">
      <c r="A860" s="105" t="s">
        <v>1465</v>
      </c>
      <c r="B860" s="15">
        <v>846</v>
      </c>
      <c r="C860" s="109" t="s">
        <v>1484</v>
      </c>
      <c r="D860" s="406" t="s">
        <v>203</v>
      </c>
      <c r="E860" s="370"/>
      <c r="F860" s="371"/>
      <c r="G860" s="113" t="s">
        <v>1485</v>
      </c>
      <c r="H860" s="385"/>
    </row>
    <row r="861" spans="1:8" ht="15.75" customHeight="1" x14ac:dyDescent="0.25">
      <c r="A861" s="105" t="s">
        <v>1465</v>
      </c>
      <c r="B861" s="15">
        <v>847</v>
      </c>
      <c r="C861" s="109" t="s">
        <v>1486</v>
      </c>
      <c r="D861" s="406" t="s">
        <v>203</v>
      </c>
      <c r="E861" s="370"/>
      <c r="F861" s="371"/>
      <c r="G861" s="113" t="s">
        <v>1487</v>
      </c>
      <c r="H861" s="385"/>
    </row>
    <row r="862" spans="1:8" ht="15.75" customHeight="1" x14ac:dyDescent="0.25">
      <c r="A862" s="105" t="s">
        <v>1465</v>
      </c>
      <c r="B862" s="15">
        <v>848</v>
      </c>
      <c r="C862" s="109" t="s">
        <v>1488</v>
      </c>
      <c r="D862" s="406" t="s">
        <v>247</v>
      </c>
      <c r="E862" s="370"/>
      <c r="F862" s="371"/>
      <c r="G862" s="113"/>
      <c r="H862" s="385"/>
    </row>
    <row r="863" spans="1:8" ht="15.75" customHeight="1" x14ac:dyDescent="0.25">
      <c r="A863" s="105" t="s">
        <v>1465</v>
      </c>
      <c r="B863" s="15">
        <v>849</v>
      </c>
      <c r="C863" s="109" t="s">
        <v>1489</v>
      </c>
      <c r="D863" s="406" t="s">
        <v>247</v>
      </c>
      <c r="E863" s="370"/>
      <c r="F863" s="371"/>
      <c r="G863" s="113"/>
      <c r="H863" s="385"/>
    </row>
    <row r="864" spans="1:8" ht="15.75" customHeight="1" x14ac:dyDescent="0.25">
      <c r="A864" s="105" t="s">
        <v>1465</v>
      </c>
      <c r="B864" s="15">
        <v>850</v>
      </c>
      <c r="C864" s="109" t="s">
        <v>1490</v>
      </c>
      <c r="D864" s="406" t="s">
        <v>203</v>
      </c>
      <c r="E864" s="370"/>
      <c r="F864" s="371"/>
      <c r="G864" s="113"/>
      <c r="H864" s="385"/>
    </row>
    <row r="865" spans="1:8" ht="15.75" customHeight="1" x14ac:dyDescent="0.25">
      <c r="A865" s="105" t="s">
        <v>22</v>
      </c>
      <c r="B865" s="15">
        <v>851</v>
      </c>
      <c r="C865" s="106" t="s">
        <v>1491</v>
      </c>
      <c r="D865" s="406" t="s">
        <v>203</v>
      </c>
      <c r="E865" s="370"/>
      <c r="F865" s="371"/>
      <c r="G865" s="116" t="s">
        <v>1492</v>
      </c>
      <c r="H865" s="385"/>
    </row>
    <row r="866" spans="1:8" ht="15.75" customHeight="1" x14ac:dyDescent="0.25">
      <c r="A866" s="105" t="s">
        <v>22</v>
      </c>
      <c r="B866" s="15">
        <v>852</v>
      </c>
      <c r="C866" s="109" t="s">
        <v>1493</v>
      </c>
      <c r="D866" s="406" t="s">
        <v>208</v>
      </c>
      <c r="E866" s="370"/>
      <c r="F866" s="371"/>
      <c r="G866" s="113"/>
      <c r="H866" s="385"/>
    </row>
    <row r="867" spans="1:8" ht="15.75" customHeight="1" x14ac:dyDescent="0.25">
      <c r="A867" s="105" t="s">
        <v>22</v>
      </c>
      <c r="B867" s="15">
        <v>853</v>
      </c>
      <c r="C867" s="109" t="s">
        <v>1494</v>
      </c>
      <c r="D867" s="406" t="s">
        <v>203</v>
      </c>
      <c r="E867" s="370"/>
      <c r="F867" s="371"/>
      <c r="G867" s="113" t="s">
        <v>1495</v>
      </c>
      <c r="H867" s="385"/>
    </row>
    <row r="868" spans="1:8" ht="15.75" customHeight="1" x14ac:dyDescent="0.25">
      <c r="A868" s="105" t="s">
        <v>22</v>
      </c>
      <c r="B868" s="15">
        <v>854</v>
      </c>
      <c r="C868" s="109" t="s">
        <v>1496</v>
      </c>
      <c r="D868" s="406" t="s">
        <v>203</v>
      </c>
      <c r="E868" s="370"/>
      <c r="F868" s="371"/>
      <c r="G868" s="113" t="s">
        <v>1497</v>
      </c>
      <c r="H868" s="385"/>
    </row>
    <row r="869" spans="1:8" ht="15.75" customHeight="1" x14ac:dyDescent="0.25">
      <c r="A869" s="105" t="s">
        <v>22</v>
      </c>
      <c r="B869" s="15">
        <v>855</v>
      </c>
      <c r="C869" s="109" t="s">
        <v>1498</v>
      </c>
      <c r="D869" s="406" t="s">
        <v>247</v>
      </c>
      <c r="E869" s="370"/>
      <c r="F869" s="371"/>
      <c r="G869" s="113"/>
      <c r="H869" s="385"/>
    </row>
    <row r="870" spans="1:8" ht="15.75" customHeight="1" x14ac:dyDescent="0.25">
      <c r="A870" s="105" t="s">
        <v>22</v>
      </c>
      <c r="B870" s="15">
        <v>856</v>
      </c>
      <c r="C870" s="109" t="s">
        <v>1499</v>
      </c>
      <c r="D870" s="406" t="s">
        <v>247</v>
      </c>
      <c r="E870" s="370"/>
      <c r="F870" s="371"/>
      <c r="G870" s="113"/>
      <c r="H870" s="385"/>
    </row>
    <row r="871" spans="1:8" ht="15.75" customHeight="1" x14ac:dyDescent="0.25">
      <c r="A871" s="105" t="s">
        <v>22</v>
      </c>
      <c r="B871" s="15">
        <v>857</v>
      </c>
      <c r="C871" s="109" t="s">
        <v>1500</v>
      </c>
      <c r="D871" s="406" t="s">
        <v>203</v>
      </c>
      <c r="E871" s="370"/>
      <c r="F871" s="371"/>
      <c r="G871" s="113" t="s">
        <v>1501</v>
      </c>
      <c r="H871" s="385"/>
    </row>
    <row r="872" spans="1:8" ht="15.75" customHeight="1" x14ac:dyDescent="0.25">
      <c r="A872" s="105" t="s">
        <v>22</v>
      </c>
      <c r="B872" s="15">
        <v>858</v>
      </c>
      <c r="C872" s="109" t="s">
        <v>1502</v>
      </c>
      <c r="D872" s="406" t="s">
        <v>203</v>
      </c>
      <c r="E872" s="370"/>
      <c r="F872" s="371"/>
      <c r="G872" s="113" t="s">
        <v>279</v>
      </c>
      <c r="H872" s="385"/>
    </row>
    <row r="873" spans="1:8" ht="15.75" customHeight="1" x14ac:dyDescent="0.25">
      <c r="A873" s="105" t="s">
        <v>22</v>
      </c>
      <c r="B873" s="15">
        <v>859</v>
      </c>
      <c r="C873" s="109" t="s">
        <v>1503</v>
      </c>
      <c r="D873" s="406" t="s">
        <v>203</v>
      </c>
      <c r="E873" s="370"/>
      <c r="F873" s="371"/>
      <c r="G873" s="113" t="s">
        <v>1504</v>
      </c>
      <c r="H873" s="385"/>
    </row>
    <row r="874" spans="1:8" ht="15.75" customHeight="1" x14ac:dyDescent="0.25">
      <c r="A874" s="105" t="s">
        <v>22</v>
      </c>
      <c r="B874" s="15">
        <v>860</v>
      </c>
      <c r="C874" s="109" t="s">
        <v>1505</v>
      </c>
      <c r="D874" s="406" t="s">
        <v>203</v>
      </c>
      <c r="E874" s="370"/>
      <c r="F874" s="371"/>
      <c r="G874" s="113" t="s">
        <v>1506</v>
      </c>
      <c r="H874" s="385"/>
    </row>
    <row r="875" spans="1:8" ht="15.75" customHeight="1" x14ac:dyDescent="0.25">
      <c r="A875" s="105" t="s">
        <v>22</v>
      </c>
      <c r="B875" s="15">
        <v>861</v>
      </c>
      <c r="C875" s="109" t="s">
        <v>1507</v>
      </c>
      <c r="D875" s="406" t="s">
        <v>247</v>
      </c>
      <c r="E875" s="370"/>
      <c r="F875" s="371"/>
      <c r="G875" s="113"/>
      <c r="H875" s="385"/>
    </row>
    <row r="876" spans="1:8" ht="15.75" customHeight="1" x14ac:dyDescent="0.25">
      <c r="A876" s="105" t="s">
        <v>22</v>
      </c>
      <c r="B876" s="15">
        <v>862</v>
      </c>
      <c r="C876" s="109" t="s">
        <v>1508</v>
      </c>
      <c r="D876" s="406" t="s">
        <v>203</v>
      </c>
      <c r="E876" s="370"/>
      <c r="F876" s="371"/>
      <c r="G876" s="113" t="s">
        <v>1497</v>
      </c>
      <c r="H876" s="385"/>
    </row>
    <row r="877" spans="1:8" ht="15.75" customHeight="1" x14ac:dyDescent="0.25">
      <c r="A877" s="105" t="s">
        <v>22</v>
      </c>
      <c r="B877" s="15">
        <v>863</v>
      </c>
      <c r="C877" s="109" t="s">
        <v>1509</v>
      </c>
      <c r="D877" s="406" t="s">
        <v>208</v>
      </c>
      <c r="E877" s="370"/>
      <c r="F877" s="371"/>
      <c r="G877" s="113"/>
      <c r="H877" s="385"/>
    </row>
    <row r="878" spans="1:8" ht="15.75" customHeight="1" x14ac:dyDescent="0.25">
      <c r="A878" s="105" t="s">
        <v>22</v>
      </c>
      <c r="B878" s="15">
        <v>864</v>
      </c>
      <c r="C878" s="109" t="s">
        <v>1510</v>
      </c>
      <c r="D878" s="406" t="s">
        <v>208</v>
      </c>
      <c r="E878" s="370"/>
      <c r="F878" s="371"/>
      <c r="G878" s="113"/>
      <c r="H878" s="385"/>
    </row>
    <row r="879" spans="1:8" ht="15.75" customHeight="1" x14ac:dyDescent="0.25">
      <c r="A879" s="105" t="s">
        <v>22</v>
      </c>
      <c r="B879" s="15">
        <v>865</v>
      </c>
      <c r="C879" s="109" t="s">
        <v>1511</v>
      </c>
      <c r="D879" s="406" t="s">
        <v>203</v>
      </c>
      <c r="E879" s="370"/>
      <c r="F879" s="371"/>
      <c r="G879" s="113" t="s">
        <v>1512</v>
      </c>
      <c r="H879" s="385"/>
    </row>
    <row r="880" spans="1:8" ht="15.75" customHeight="1" x14ac:dyDescent="0.25">
      <c r="A880" s="105" t="s">
        <v>22</v>
      </c>
      <c r="B880" s="15">
        <v>866</v>
      </c>
      <c r="C880" s="109" t="s">
        <v>1513</v>
      </c>
      <c r="D880" s="406" t="s">
        <v>247</v>
      </c>
      <c r="E880" s="370"/>
      <c r="F880" s="371"/>
      <c r="G880" s="113"/>
      <c r="H880" s="385"/>
    </row>
    <row r="881" spans="1:8" ht="15.75" customHeight="1" x14ac:dyDescent="0.25">
      <c r="A881" s="105" t="s">
        <v>22</v>
      </c>
      <c r="B881" s="15">
        <v>867</v>
      </c>
      <c r="C881" s="109" t="s">
        <v>1514</v>
      </c>
      <c r="D881" s="406" t="s">
        <v>247</v>
      </c>
      <c r="E881" s="370"/>
      <c r="F881" s="371"/>
      <c r="G881" s="113"/>
      <c r="H881" s="385"/>
    </row>
    <row r="882" spans="1:8" ht="15.75" customHeight="1" x14ac:dyDescent="0.25">
      <c r="A882" s="105" t="s">
        <v>22</v>
      </c>
      <c r="B882" s="15">
        <v>868</v>
      </c>
      <c r="C882" s="109" t="s">
        <v>1515</v>
      </c>
      <c r="D882" s="406" t="s">
        <v>247</v>
      </c>
      <c r="E882" s="370"/>
      <c r="F882" s="371"/>
      <c r="G882" s="16"/>
      <c r="H882" s="385"/>
    </row>
    <row r="883" spans="1:8" ht="15.75" customHeight="1" x14ac:dyDescent="0.25">
      <c r="A883" s="105" t="s">
        <v>22</v>
      </c>
      <c r="B883" s="15">
        <v>869</v>
      </c>
      <c r="C883" s="109" t="s">
        <v>1516</v>
      </c>
      <c r="D883" s="406" t="s">
        <v>247</v>
      </c>
      <c r="E883" s="370"/>
      <c r="F883" s="371"/>
      <c r="G883" s="16"/>
      <c r="H883" s="385"/>
    </row>
    <row r="884" spans="1:8" ht="15.75" customHeight="1" x14ac:dyDescent="0.25">
      <c r="A884" s="105" t="s">
        <v>1517</v>
      </c>
      <c r="B884" s="15">
        <v>870</v>
      </c>
      <c r="C884" s="109" t="s">
        <v>1518</v>
      </c>
      <c r="D884" s="406" t="s">
        <v>203</v>
      </c>
      <c r="E884" s="370"/>
      <c r="F884" s="371"/>
      <c r="G884" s="121" t="s">
        <v>1519</v>
      </c>
      <c r="H884" s="385"/>
    </row>
    <row r="885" spans="1:8" ht="15.75" customHeight="1" x14ac:dyDescent="0.25">
      <c r="A885" s="108" t="s">
        <v>40</v>
      </c>
      <c r="B885" s="15">
        <v>871</v>
      </c>
      <c r="C885" s="109" t="s">
        <v>1520</v>
      </c>
      <c r="D885" s="406" t="s">
        <v>203</v>
      </c>
      <c r="E885" s="370"/>
      <c r="F885" s="371"/>
      <c r="G885" s="107" t="s">
        <v>1521</v>
      </c>
      <c r="H885" s="385"/>
    </row>
    <row r="886" spans="1:8" ht="15.75" customHeight="1" x14ac:dyDescent="0.25">
      <c r="A886" s="108" t="s">
        <v>40</v>
      </c>
      <c r="B886" s="15">
        <v>872</v>
      </c>
      <c r="C886" s="109" t="s">
        <v>1522</v>
      </c>
      <c r="D886" s="406" t="s">
        <v>203</v>
      </c>
      <c r="E886" s="370"/>
      <c r="F886" s="371"/>
      <c r="G886" s="107" t="s">
        <v>1523</v>
      </c>
      <c r="H886" s="385"/>
    </row>
    <row r="887" spans="1:8" ht="15.75" customHeight="1" x14ac:dyDescent="0.25">
      <c r="A887" s="108" t="s">
        <v>40</v>
      </c>
      <c r="B887" s="15">
        <v>873</v>
      </c>
      <c r="C887" s="109" t="s">
        <v>1524</v>
      </c>
      <c r="D887" s="406" t="s">
        <v>203</v>
      </c>
      <c r="E887" s="370"/>
      <c r="F887" s="371"/>
      <c r="G887" s="107" t="s">
        <v>1525</v>
      </c>
      <c r="H887" s="385"/>
    </row>
    <row r="888" spans="1:8" ht="15.75" customHeight="1" x14ac:dyDescent="0.25">
      <c r="A888" s="108" t="s">
        <v>40</v>
      </c>
      <c r="B888" s="15">
        <v>874</v>
      </c>
      <c r="C888" s="109" t="s">
        <v>1526</v>
      </c>
      <c r="D888" s="406" t="s">
        <v>203</v>
      </c>
      <c r="E888" s="370"/>
      <c r="F888" s="371"/>
      <c r="G888" s="107" t="s">
        <v>645</v>
      </c>
      <c r="H888" s="385"/>
    </row>
    <row r="889" spans="1:8" ht="15.75" customHeight="1" x14ac:dyDescent="0.25">
      <c r="A889" s="108" t="s">
        <v>40</v>
      </c>
      <c r="B889" s="15">
        <v>875</v>
      </c>
      <c r="C889" s="109" t="s">
        <v>1527</v>
      </c>
      <c r="D889" s="406" t="s">
        <v>208</v>
      </c>
      <c r="E889" s="370"/>
      <c r="F889" s="371"/>
      <c r="G889" s="107"/>
      <c r="H889" s="385"/>
    </row>
    <row r="890" spans="1:8" ht="15.75" customHeight="1" x14ac:dyDescent="0.25">
      <c r="A890" s="108" t="s">
        <v>40</v>
      </c>
      <c r="B890" s="15">
        <v>876</v>
      </c>
      <c r="C890" s="109" t="s">
        <v>1528</v>
      </c>
      <c r="D890" s="406" t="s">
        <v>203</v>
      </c>
      <c r="E890" s="370"/>
      <c r="F890" s="371"/>
      <c r="G890" s="107" t="s">
        <v>1529</v>
      </c>
      <c r="H890" s="385"/>
    </row>
    <row r="891" spans="1:8" ht="15.75" customHeight="1" x14ac:dyDescent="0.25">
      <c r="A891" s="105" t="s">
        <v>32</v>
      </c>
      <c r="B891" s="15">
        <v>877</v>
      </c>
      <c r="C891" s="106" t="s">
        <v>1530</v>
      </c>
      <c r="D891" s="406" t="s">
        <v>247</v>
      </c>
      <c r="E891" s="370"/>
      <c r="F891" s="371"/>
      <c r="G891" s="107"/>
      <c r="H891" s="385"/>
    </row>
    <row r="892" spans="1:8" ht="15.75" customHeight="1" x14ac:dyDescent="0.25">
      <c r="A892" s="105" t="s">
        <v>32</v>
      </c>
      <c r="B892" s="15">
        <v>878</v>
      </c>
      <c r="C892" s="109" t="s">
        <v>1531</v>
      </c>
      <c r="D892" s="406" t="s">
        <v>203</v>
      </c>
      <c r="E892" s="370"/>
      <c r="F892" s="371"/>
      <c r="G892" s="107" t="s">
        <v>1532</v>
      </c>
      <c r="H892" s="385"/>
    </row>
    <row r="893" spans="1:8" ht="15.75" customHeight="1" x14ac:dyDescent="0.25">
      <c r="A893" s="105" t="s">
        <v>32</v>
      </c>
      <c r="B893" s="15">
        <v>879</v>
      </c>
      <c r="C893" s="109" t="s">
        <v>1533</v>
      </c>
      <c r="D893" s="406" t="s">
        <v>203</v>
      </c>
      <c r="E893" s="370"/>
      <c r="F893" s="371"/>
      <c r="G893" s="107" t="s">
        <v>1534</v>
      </c>
      <c r="H893" s="385"/>
    </row>
    <row r="894" spans="1:8" ht="15.75" customHeight="1" x14ac:dyDescent="0.25">
      <c r="A894" s="105" t="s">
        <v>32</v>
      </c>
      <c r="B894" s="15">
        <v>880</v>
      </c>
      <c r="C894" s="109" t="s">
        <v>1535</v>
      </c>
      <c r="D894" s="406" t="s">
        <v>203</v>
      </c>
      <c r="E894" s="370"/>
      <c r="F894" s="371"/>
      <c r="G894" s="107" t="s">
        <v>279</v>
      </c>
      <c r="H894" s="385"/>
    </row>
    <row r="895" spans="1:8" ht="15.75" customHeight="1" x14ac:dyDescent="0.25">
      <c r="A895" s="105" t="s">
        <v>32</v>
      </c>
      <c r="B895" s="15">
        <v>881</v>
      </c>
      <c r="C895" s="109" t="s">
        <v>1536</v>
      </c>
      <c r="D895" s="406" t="s">
        <v>203</v>
      </c>
      <c r="E895" s="370"/>
      <c r="F895" s="371"/>
      <c r="G895" s="107" t="s">
        <v>279</v>
      </c>
      <c r="H895" s="385"/>
    </row>
    <row r="896" spans="1:8" ht="15.75" customHeight="1" x14ac:dyDescent="0.25">
      <c r="A896" s="105" t="s">
        <v>32</v>
      </c>
      <c r="B896" s="15">
        <v>882</v>
      </c>
      <c r="C896" s="109" t="s">
        <v>1537</v>
      </c>
      <c r="D896" s="406" t="s">
        <v>203</v>
      </c>
      <c r="E896" s="370"/>
      <c r="F896" s="371"/>
      <c r="G896" s="107" t="s">
        <v>1538</v>
      </c>
      <c r="H896" s="385"/>
    </row>
    <row r="897" spans="1:8" ht="15.75" customHeight="1" x14ac:dyDescent="0.25">
      <c r="A897" s="105" t="s">
        <v>32</v>
      </c>
      <c r="B897" s="15">
        <v>883</v>
      </c>
      <c r="C897" s="109" t="s">
        <v>1539</v>
      </c>
      <c r="D897" s="406" t="s">
        <v>203</v>
      </c>
      <c r="E897" s="370"/>
      <c r="F897" s="371"/>
      <c r="G897" s="107" t="s">
        <v>1540</v>
      </c>
      <c r="H897" s="385"/>
    </row>
    <row r="898" spans="1:8" ht="15.75" customHeight="1" x14ac:dyDescent="0.25">
      <c r="A898" s="105" t="s">
        <v>32</v>
      </c>
      <c r="B898" s="15">
        <v>884</v>
      </c>
      <c r="C898" s="109" t="s">
        <v>1541</v>
      </c>
      <c r="D898" s="406" t="s">
        <v>203</v>
      </c>
      <c r="E898" s="370"/>
      <c r="F898" s="371"/>
      <c r="G898" s="107" t="s">
        <v>1542</v>
      </c>
      <c r="H898" s="385"/>
    </row>
    <row r="899" spans="1:8" ht="15.75" customHeight="1" x14ac:dyDescent="0.25">
      <c r="A899" s="105" t="s">
        <v>32</v>
      </c>
      <c r="B899" s="15">
        <v>885</v>
      </c>
      <c r="C899" s="109" t="s">
        <v>1543</v>
      </c>
      <c r="D899" s="406" t="s">
        <v>203</v>
      </c>
      <c r="E899" s="370"/>
      <c r="F899" s="371"/>
      <c r="G899" s="107" t="s">
        <v>1544</v>
      </c>
      <c r="H899" s="385"/>
    </row>
    <row r="900" spans="1:8" ht="15.75" customHeight="1" x14ac:dyDescent="0.25">
      <c r="A900" s="105" t="s">
        <v>32</v>
      </c>
      <c r="B900" s="15">
        <v>886</v>
      </c>
      <c r="C900" s="109" t="s">
        <v>1545</v>
      </c>
      <c r="D900" s="406" t="s">
        <v>247</v>
      </c>
      <c r="E900" s="370"/>
      <c r="F900" s="371"/>
      <c r="G900" s="107"/>
      <c r="H900" s="385"/>
    </row>
    <row r="901" spans="1:8" ht="15.75" customHeight="1" x14ac:dyDescent="0.25">
      <c r="A901" s="105" t="s">
        <v>32</v>
      </c>
      <c r="B901" s="15">
        <v>887</v>
      </c>
      <c r="C901" s="109" t="s">
        <v>1546</v>
      </c>
      <c r="D901" s="406" t="s">
        <v>203</v>
      </c>
      <c r="E901" s="370"/>
      <c r="F901" s="371"/>
      <c r="G901" s="107" t="s">
        <v>1547</v>
      </c>
      <c r="H901" s="385"/>
    </row>
    <row r="902" spans="1:8" ht="15.75" customHeight="1" x14ac:dyDescent="0.25">
      <c r="A902" s="105" t="s">
        <v>32</v>
      </c>
      <c r="B902" s="15">
        <v>888</v>
      </c>
      <c r="C902" s="109" t="s">
        <v>1548</v>
      </c>
      <c r="D902" s="406" t="s">
        <v>203</v>
      </c>
      <c r="E902" s="370"/>
      <c r="F902" s="371"/>
      <c r="G902" s="107" t="s">
        <v>1549</v>
      </c>
      <c r="H902" s="385"/>
    </row>
    <row r="903" spans="1:8" ht="15.75" customHeight="1" x14ac:dyDescent="0.25">
      <c r="A903" s="105" t="s">
        <v>32</v>
      </c>
      <c r="B903" s="15">
        <v>889</v>
      </c>
      <c r="C903" s="109" t="s">
        <v>1550</v>
      </c>
      <c r="D903" s="406" t="s">
        <v>203</v>
      </c>
      <c r="E903" s="370"/>
      <c r="F903" s="371"/>
      <c r="G903" s="107" t="s">
        <v>1551</v>
      </c>
      <c r="H903" s="385"/>
    </row>
    <row r="904" spans="1:8" ht="15.75" customHeight="1" x14ac:dyDescent="0.25">
      <c r="A904" s="105" t="s">
        <v>32</v>
      </c>
      <c r="B904" s="15">
        <v>890</v>
      </c>
      <c r="C904" s="109" t="s">
        <v>1552</v>
      </c>
      <c r="D904" s="406" t="s">
        <v>247</v>
      </c>
      <c r="E904" s="370"/>
      <c r="F904" s="371"/>
      <c r="G904" s="107"/>
      <c r="H904" s="385"/>
    </row>
    <row r="905" spans="1:8" ht="15.75" customHeight="1" x14ac:dyDescent="0.25">
      <c r="A905" s="105" t="s">
        <v>32</v>
      </c>
      <c r="B905" s="15">
        <v>891</v>
      </c>
      <c r="C905" s="109" t="s">
        <v>1553</v>
      </c>
      <c r="D905" s="406" t="s">
        <v>208</v>
      </c>
      <c r="E905" s="370"/>
      <c r="F905" s="371"/>
      <c r="G905" s="107"/>
      <c r="H905" s="385"/>
    </row>
    <row r="906" spans="1:8" ht="15.75" customHeight="1" x14ac:dyDescent="0.25">
      <c r="A906" s="105" t="s">
        <v>32</v>
      </c>
      <c r="B906" s="15">
        <v>892</v>
      </c>
      <c r="C906" s="109" t="s">
        <v>1554</v>
      </c>
      <c r="D906" s="406" t="s">
        <v>208</v>
      </c>
      <c r="E906" s="370"/>
      <c r="F906" s="371"/>
      <c r="G906" s="107" t="s">
        <v>1555</v>
      </c>
      <c r="H906" s="385"/>
    </row>
    <row r="907" spans="1:8" ht="15.75" customHeight="1" x14ac:dyDescent="0.25">
      <c r="A907" s="105" t="s">
        <v>32</v>
      </c>
      <c r="B907" s="15">
        <v>893</v>
      </c>
      <c r="C907" s="109" t="s">
        <v>1556</v>
      </c>
      <c r="D907" s="406" t="s">
        <v>203</v>
      </c>
      <c r="E907" s="370"/>
      <c r="F907" s="371"/>
      <c r="G907" s="107" t="s">
        <v>1557</v>
      </c>
      <c r="H907" s="385"/>
    </row>
    <row r="908" spans="1:8" ht="15.75" customHeight="1" x14ac:dyDescent="0.25">
      <c r="A908" s="105" t="s">
        <v>32</v>
      </c>
      <c r="B908" s="15">
        <v>894</v>
      </c>
      <c r="C908" s="109" t="s">
        <v>1558</v>
      </c>
      <c r="D908" s="406" t="s">
        <v>203</v>
      </c>
      <c r="E908" s="370"/>
      <c r="F908" s="371"/>
      <c r="G908" s="121" t="s">
        <v>219</v>
      </c>
      <c r="H908" s="385"/>
    </row>
    <row r="909" spans="1:8" ht="15.75" customHeight="1" x14ac:dyDescent="0.25">
      <c r="A909" s="105" t="s">
        <v>32</v>
      </c>
      <c r="B909" s="15">
        <v>895</v>
      </c>
      <c r="C909" s="109" t="s">
        <v>1559</v>
      </c>
      <c r="D909" s="406" t="s">
        <v>203</v>
      </c>
      <c r="E909" s="370"/>
      <c r="F909" s="371"/>
      <c r="G909" s="107" t="s">
        <v>1560</v>
      </c>
      <c r="H909" s="385"/>
    </row>
    <row r="910" spans="1:8" ht="15.75" customHeight="1" x14ac:dyDescent="0.25">
      <c r="A910" s="105" t="s">
        <v>32</v>
      </c>
      <c r="B910" s="15">
        <v>896</v>
      </c>
      <c r="C910" s="106" t="s">
        <v>1561</v>
      </c>
      <c r="D910" s="406" t="s">
        <v>247</v>
      </c>
      <c r="E910" s="370"/>
      <c r="F910" s="371"/>
      <c r="G910" s="111"/>
      <c r="H910" s="385"/>
    </row>
    <row r="911" spans="1:8" ht="15.75" customHeight="1" x14ac:dyDescent="0.25">
      <c r="A911" s="110" t="s">
        <v>38</v>
      </c>
      <c r="B911" s="15">
        <v>897</v>
      </c>
      <c r="C911" s="106" t="s">
        <v>1562</v>
      </c>
      <c r="D911" s="406" t="s">
        <v>203</v>
      </c>
      <c r="E911" s="370"/>
      <c r="F911" s="371"/>
      <c r="G911" s="111" t="s">
        <v>1563</v>
      </c>
      <c r="H911" s="385"/>
    </row>
    <row r="912" spans="1:8" ht="15.75" customHeight="1" x14ac:dyDescent="0.25">
      <c r="A912" s="110" t="s">
        <v>38</v>
      </c>
      <c r="B912" s="15">
        <v>898</v>
      </c>
      <c r="C912" s="109" t="s">
        <v>1564</v>
      </c>
      <c r="D912" s="406" t="s">
        <v>247</v>
      </c>
      <c r="E912" s="370"/>
      <c r="F912" s="371"/>
      <c r="G912" s="107"/>
      <c r="H912" s="385"/>
    </row>
    <row r="913" spans="1:8" ht="15.75" customHeight="1" x14ac:dyDescent="0.25">
      <c r="A913" s="110" t="s">
        <v>38</v>
      </c>
      <c r="B913" s="15">
        <v>899</v>
      </c>
      <c r="C913" s="109" t="s">
        <v>1565</v>
      </c>
      <c r="D913" s="406" t="s">
        <v>203</v>
      </c>
      <c r="E913" s="370"/>
      <c r="F913" s="371"/>
      <c r="G913" s="83" t="s">
        <v>1566</v>
      </c>
      <c r="H913" s="385"/>
    </row>
    <row r="914" spans="1:8" ht="15.75" customHeight="1" x14ac:dyDescent="0.25">
      <c r="A914" s="110" t="s">
        <v>38</v>
      </c>
      <c r="B914" s="15">
        <v>900</v>
      </c>
      <c r="C914" s="109" t="s">
        <v>1567</v>
      </c>
      <c r="D914" s="406" t="s">
        <v>203</v>
      </c>
      <c r="E914" s="370"/>
      <c r="F914" s="371"/>
      <c r="G914" s="107" t="s">
        <v>1568</v>
      </c>
      <c r="H914" s="385"/>
    </row>
    <row r="915" spans="1:8" ht="15.75" customHeight="1" x14ac:dyDescent="0.25">
      <c r="A915" s="110" t="s">
        <v>38</v>
      </c>
      <c r="B915" s="15">
        <v>901</v>
      </c>
      <c r="C915" s="109" t="s">
        <v>1569</v>
      </c>
      <c r="D915" s="406" t="s">
        <v>247</v>
      </c>
      <c r="E915" s="370"/>
      <c r="F915" s="371"/>
      <c r="G915" s="107"/>
      <c r="H915" s="385"/>
    </row>
    <row r="916" spans="1:8" ht="15.75" customHeight="1" x14ac:dyDescent="0.25">
      <c r="A916" s="110" t="s">
        <v>38</v>
      </c>
      <c r="B916" s="15">
        <v>902</v>
      </c>
      <c r="C916" s="109" t="s">
        <v>1570</v>
      </c>
      <c r="D916" s="406" t="s">
        <v>247</v>
      </c>
      <c r="E916" s="370"/>
      <c r="F916" s="371"/>
      <c r="G916" s="107"/>
      <c r="H916" s="385"/>
    </row>
    <row r="917" spans="1:8" ht="15.75" customHeight="1" x14ac:dyDescent="0.25">
      <c r="A917" s="110" t="s">
        <v>38</v>
      </c>
      <c r="B917" s="15">
        <v>903</v>
      </c>
      <c r="C917" s="109" t="s">
        <v>1571</v>
      </c>
      <c r="D917" s="406" t="s">
        <v>247</v>
      </c>
      <c r="E917" s="370"/>
      <c r="F917" s="371"/>
      <c r="G917" s="107"/>
      <c r="H917" s="385"/>
    </row>
    <row r="918" spans="1:8" ht="15.75" customHeight="1" x14ac:dyDescent="0.25">
      <c r="A918" s="110" t="s">
        <v>38</v>
      </c>
      <c r="B918" s="15">
        <v>904</v>
      </c>
      <c r="C918" s="109" t="s">
        <v>1572</v>
      </c>
      <c r="D918" s="406" t="s">
        <v>203</v>
      </c>
      <c r="E918" s="370"/>
      <c r="F918" s="371"/>
      <c r="G918" s="107" t="s">
        <v>1573</v>
      </c>
      <c r="H918" s="385"/>
    </row>
    <row r="919" spans="1:8" ht="15.75" customHeight="1" x14ac:dyDescent="0.25">
      <c r="A919" s="110" t="s">
        <v>38</v>
      </c>
      <c r="B919" s="15">
        <v>905</v>
      </c>
      <c r="C919" s="109" t="s">
        <v>1574</v>
      </c>
      <c r="D919" s="406" t="s">
        <v>203</v>
      </c>
      <c r="E919" s="370"/>
      <c r="F919" s="371"/>
      <c r="G919" s="107" t="s">
        <v>1575</v>
      </c>
      <c r="H919" s="385"/>
    </row>
    <row r="920" spans="1:8" ht="15.75" customHeight="1" x14ac:dyDescent="0.25">
      <c r="A920" s="110" t="s">
        <v>38</v>
      </c>
      <c r="B920" s="15">
        <v>906</v>
      </c>
      <c r="C920" s="109" t="s">
        <v>1576</v>
      </c>
      <c r="D920" s="406" t="s">
        <v>203</v>
      </c>
      <c r="E920" s="370"/>
      <c r="F920" s="371"/>
      <c r="G920" s="107" t="s">
        <v>1577</v>
      </c>
      <c r="H920" s="385"/>
    </row>
    <row r="921" spans="1:8" ht="15.75" customHeight="1" x14ac:dyDescent="0.25">
      <c r="A921" s="110" t="s">
        <v>38</v>
      </c>
      <c r="B921" s="15">
        <v>907</v>
      </c>
      <c r="C921" s="109" t="s">
        <v>1578</v>
      </c>
      <c r="D921" s="406" t="s">
        <v>208</v>
      </c>
      <c r="E921" s="370"/>
      <c r="F921" s="371"/>
      <c r="G921" s="107"/>
      <c r="H921" s="385"/>
    </row>
    <row r="922" spans="1:8" ht="15.75" customHeight="1" x14ac:dyDescent="0.25">
      <c r="A922" s="110" t="s">
        <v>38</v>
      </c>
      <c r="B922" s="15">
        <v>908</v>
      </c>
      <c r="C922" s="109" t="s">
        <v>1579</v>
      </c>
      <c r="D922" s="406" t="s">
        <v>203</v>
      </c>
      <c r="E922" s="370"/>
      <c r="F922" s="371"/>
      <c r="G922" s="107" t="s">
        <v>1580</v>
      </c>
      <c r="H922" s="385"/>
    </row>
    <row r="923" spans="1:8" ht="15.75" customHeight="1" x14ac:dyDescent="0.25">
      <c r="A923" s="110" t="s">
        <v>38</v>
      </c>
      <c r="B923" s="15">
        <v>909</v>
      </c>
      <c r="C923" s="109" t="s">
        <v>1581</v>
      </c>
      <c r="D923" s="406" t="s">
        <v>203</v>
      </c>
      <c r="E923" s="370"/>
      <c r="F923" s="371"/>
      <c r="G923" s="107" t="s">
        <v>1582</v>
      </c>
      <c r="H923" s="385"/>
    </row>
    <row r="924" spans="1:8" ht="15.75" customHeight="1" x14ac:dyDescent="0.25">
      <c r="A924" s="110" t="s">
        <v>38</v>
      </c>
      <c r="B924" s="15">
        <v>910</v>
      </c>
      <c r="C924" s="109" t="s">
        <v>1583</v>
      </c>
      <c r="D924" s="406" t="s">
        <v>208</v>
      </c>
      <c r="E924" s="370"/>
      <c r="F924" s="371"/>
      <c r="G924" s="107"/>
      <c r="H924" s="385"/>
    </row>
    <row r="925" spans="1:8" ht="15.75" customHeight="1" x14ac:dyDescent="0.25">
      <c r="A925" s="110" t="s">
        <v>38</v>
      </c>
      <c r="B925" s="15">
        <v>911</v>
      </c>
      <c r="C925" s="109" t="s">
        <v>1584</v>
      </c>
      <c r="D925" s="406" t="s">
        <v>203</v>
      </c>
      <c r="E925" s="370"/>
      <c r="F925" s="371"/>
      <c r="G925" s="107" t="s">
        <v>1585</v>
      </c>
      <c r="H925" s="385"/>
    </row>
    <row r="926" spans="1:8" ht="15.75" customHeight="1" x14ac:dyDescent="0.25">
      <c r="A926" s="110" t="s">
        <v>38</v>
      </c>
      <c r="B926" s="15">
        <v>912</v>
      </c>
      <c r="C926" s="109" t="s">
        <v>1586</v>
      </c>
      <c r="D926" s="406" t="s">
        <v>247</v>
      </c>
      <c r="E926" s="370"/>
      <c r="F926" s="371"/>
      <c r="G926" s="107"/>
      <c r="H926" s="385"/>
    </row>
    <row r="927" spans="1:8" ht="15.75" customHeight="1" x14ac:dyDescent="0.25">
      <c r="A927" s="110" t="s">
        <v>38</v>
      </c>
      <c r="B927" s="15">
        <v>913</v>
      </c>
      <c r="C927" s="109" t="s">
        <v>1587</v>
      </c>
      <c r="D927" s="406" t="s">
        <v>203</v>
      </c>
      <c r="E927" s="370"/>
      <c r="F927" s="371"/>
      <c r="G927" s="107" t="s">
        <v>1563</v>
      </c>
      <c r="H927" s="385"/>
    </row>
    <row r="928" spans="1:8" ht="15.75" customHeight="1" x14ac:dyDescent="0.25">
      <c r="A928" s="110" t="s">
        <v>38</v>
      </c>
      <c r="B928" s="15">
        <v>914</v>
      </c>
      <c r="C928" s="109" t="s">
        <v>1588</v>
      </c>
      <c r="D928" s="406" t="s">
        <v>203</v>
      </c>
      <c r="E928" s="370"/>
      <c r="F928" s="371"/>
      <c r="G928" s="107" t="s">
        <v>1589</v>
      </c>
      <c r="H928" s="385"/>
    </row>
    <row r="929" spans="1:8" ht="15.75" customHeight="1" x14ac:dyDescent="0.25">
      <c r="A929" s="110" t="s">
        <v>38</v>
      </c>
      <c r="B929" s="15">
        <v>915</v>
      </c>
      <c r="C929" s="109" t="s">
        <v>1590</v>
      </c>
      <c r="D929" s="406" t="s">
        <v>203</v>
      </c>
      <c r="E929" s="370"/>
      <c r="F929" s="371"/>
      <c r="G929" s="107" t="s">
        <v>1591</v>
      </c>
      <c r="H929" s="385"/>
    </row>
    <row r="930" spans="1:8" ht="15.75" customHeight="1" x14ac:dyDescent="0.25">
      <c r="A930" s="110" t="s">
        <v>38</v>
      </c>
      <c r="B930" s="15">
        <v>916</v>
      </c>
      <c r="C930" s="109" t="s">
        <v>1592</v>
      </c>
      <c r="D930" s="406" t="s">
        <v>208</v>
      </c>
      <c r="E930" s="370"/>
      <c r="F930" s="371"/>
      <c r="G930" s="107"/>
      <c r="H930" s="385"/>
    </row>
    <row r="931" spans="1:8" ht="15.75" customHeight="1" x14ac:dyDescent="0.25">
      <c r="A931" s="110" t="s">
        <v>38</v>
      </c>
      <c r="B931" s="15">
        <v>917</v>
      </c>
      <c r="C931" s="109" t="s">
        <v>1593</v>
      </c>
      <c r="D931" s="406" t="s">
        <v>203</v>
      </c>
      <c r="E931" s="370"/>
      <c r="F931" s="371"/>
      <c r="G931" s="107" t="s">
        <v>1594</v>
      </c>
      <c r="H931" s="385"/>
    </row>
    <row r="932" spans="1:8" ht="15.75" customHeight="1" x14ac:dyDescent="0.25">
      <c r="A932" s="110" t="s">
        <v>38</v>
      </c>
      <c r="B932" s="15">
        <v>918</v>
      </c>
      <c r="C932" s="109" t="s">
        <v>1595</v>
      </c>
      <c r="D932" s="406" t="s">
        <v>203</v>
      </c>
      <c r="E932" s="370"/>
      <c r="F932" s="371"/>
      <c r="G932" s="107" t="s">
        <v>895</v>
      </c>
      <c r="H932" s="385"/>
    </row>
    <row r="933" spans="1:8" ht="15.75" customHeight="1" x14ac:dyDescent="0.25">
      <c r="A933" s="110" t="s">
        <v>38</v>
      </c>
      <c r="B933" s="15">
        <v>919</v>
      </c>
      <c r="C933" s="109" t="s">
        <v>1596</v>
      </c>
      <c r="D933" s="406" t="s">
        <v>203</v>
      </c>
      <c r="E933" s="370"/>
      <c r="F933" s="371"/>
      <c r="G933" s="107" t="s">
        <v>1044</v>
      </c>
      <c r="H933" s="385"/>
    </row>
    <row r="934" spans="1:8" ht="15.75" customHeight="1" x14ac:dyDescent="0.25">
      <c r="A934" s="110" t="s">
        <v>38</v>
      </c>
      <c r="B934" s="15">
        <v>920</v>
      </c>
      <c r="C934" s="109" t="s">
        <v>1597</v>
      </c>
      <c r="D934" s="406" t="s">
        <v>203</v>
      </c>
      <c r="E934" s="370"/>
      <c r="F934" s="371"/>
      <c r="G934" s="107" t="s">
        <v>230</v>
      </c>
      <c r="H934" s="385"/>
    </row>
    <row r="935" spans="1:8" ht="15.75" customHeight="1" x14ac:dyDescent="0.25">
      <c r="A935" s="110" t="s">
        <v>38</v>
      </c>
      <c r="B935" s="15">
        <v>921</v>
      </c>
      <c r="C935" s="109" t="s">
        <v>1598</v>
      </c>
      <c r="D935" s="406" t="s">
        <v>203</v>
      </c>
      <c r="E935" s="370"/>
      <c r="F935" s="371"/>
      <c r="G935" s="107" t="s">
        <v>1599</v>
      </c>
      <c r="H935" s="385"/>
    </row>
    <row r="936" spans="1:8" ht="15.75" customHeight="1" x14ac:dyDescent="0.25">
      <c r="A936" s="110" t="s">
        <v>38</v>
      </c>
      <c r="B936" s="15">
        <v>922</v>
      </c>
      <c r="C936" s="109" t="s">
        <v>1600</v>
      </c>
      <c r="D936" s="406" t="s">
        <v>247</v>
      </c>
      <c r="E936" s="370"/>
      <c r="F936" s="371"/>
      <c r="G936" s="107"/>
      <c r="H936" s="385"/>
    </row>
    <row r="937" spans="1:8" ht="15.75" customHeight="1" x14ac:dyDescent="0.25">
      <c r="A937" s="110" t="s">
        <v>38</v>
      </c>
      <c r="B937" s="15">
        <v>923</v>
      </c>
      <c r="C937" s="109" t="s">
        <v>1601</v>
      </c>
      <c r="D937" s="406" t="s">
        <v>203</v>
      </c>
      <c r="E937" s="370"/>
      <c r="F937" s="371"/>
      <c r="G937" s="107" t="s">
        <v>453</v>
      </c>
      <c r="H937" s="385"/>
    </row>
    <row r="938" spans="1:8" ht="15.75" customHeight="1" x14ac:dyDescent="0.25">
      <c r="A938" s="110" t="s">
        <v>38</v>
      </c>
      <c r="B938" s="15">
        <v>924</v>
      </c>
      <c r="C938" s="109" t="s">
        <v>1602</v>
      </c>
      <c r="D938" s="406" t="s">
        <v>203</v>
      </c>
      <c r="E938" s="370"/>
      <c r="F938" s="371"/>
      <c r="G938" s="107" t="s">
        <v>1603</v>
      </c>
      <c r="H938" s="385"/>
    </row>
    <row r="939" spans="1:8" ht="15.75" customHeight="1" x14ac:dyDescent="0.25">
      <c r="A939" s="110" t="s">
        <v>38</v>
      </c>
      <c r="B939" s="15">
        <v>925</v>
      </c>
      <c r="C939" s="109" t="s">
        <v>1604</v>
      </c>
      <c r="D939" s="406" t="s">
        <v>203</v>
      </c>
      <c r="E939" s="370"/>
      <c r="F939" s="371"/>
      <c r="G939" s="107" t="s">
        <v>1605</v>
      </c>
      <c r="H939" s="385"/>
    </row>
    <row r="940" spans="1:8" ht="15.75" customHeight="1" x14ac:dyDescent="0.25">
      <c r="A940" s="110" t="s">
        <v>38</v>
      </c>
      <c r="B940" s="15">
        <v>926</v>
      </c>
      <c r="C940" s="109" t="s">
        <v>1606</v>
      </c>
      <c r="D940" s="406" t="s">
        <v>203</v>
      </c>
      <c r="E940" s="370"/>
      <c r="F940" s="371"/>
      <c r="G940" s="107" t="s">
        <v>1607</v>
      </c>
      <c r="H940" s="385"/>
    </row>
    <row r="941" spans="1:8" ht="15.75" customHeight="1" x14ac:dyDescent="0.25">
      <c r="A941" s="110" t="s">
        <v>38</v>
      </c>
      <c r="B941" s="15">
        <v>927</v>
      </c>
      <c r="C941" s="109" t="s">
        <v>1608</v>
      </c>
      <c r="D941" s="406" t="s">
        <v>208</v>
      </c>
      <c r="E941" s="370"/>
      <c r="F941" s="371"/>
      <c r="G941" s="107"/>
      <c r="H941" s="385"/>
    </row>
    <row r="942" spans="1:8" ht="15.75" customHeight="1" x14ac:dyDescent="0.25">
      <c r="A942" s="110" t="s">
        <v>38</v>
      </c>
      <c r="B942" s="15">
        <v>928</v>
      </c>
      <c r="C942" s="109" t="s">
        <v>1609</v>
      </c>
      <c r="D942" s="406" t="s">
        <v>208</v>
      </c>
      <c r="E942" s="370"/>
      <c r="F942" s="371"/>
      <c r="G942" s="107"/>
      <c r="H942" s="385"/>
    </row>
    <row r="943" spans="1:8" ht="15.75" customHeight="1" x14ac:dyDescent="0.25">
      <c r="A943" s="110" t="s">
        <v>38</v>
      </c>
      <c r="B943" s="15">
        <v>929</v>
      </c>
      <c r="C943" s="109" t="s">
        <v>1610</v>
      </c>
      <c r="D943" s="406" t="s">
        <v>203</v>
      </c>
      <c r="E943" s="370"/>
      <c r="F943" s="371"/>
      <c r="G943" s="107" t="s">
        <v>1611</v>
      </c>
      <c r="H943" s="385"/>
    </row>
    <row r="944" spans="1:8" ht="15.75" customHeight="1" x14ac:dyDescent="0.25">
      <c r="A944" s="110" t="s">
        <v>38</v>
      </c>
      <c r="B944" s="15">
        <v>930</v>
      </c>
      <c r="C944" s="109" t="s">
        <v>1612</v>
      </c>
      <c r="D944" s="406" t="s">
        <v>208</v>
      </c>
      <c r="E944" s="370"/>
      <c r="F944" s="371"/>
      <c r="G944" s="107"/>
      <c r="H944" s="385"/>
    </row>
    <row r="945" spans="1:8" ht="15.75" customHeight="1" x14ac:dyDescent="0.25">
      <c r="A945" s="110" t="s">
        <v>38</v>
      </c>
      <c r="B945" s="15">
        <v>931</v>
      </c>
      <c r="C945" s="109" t="s">
        <v>1613</v>
      </c>
      <c r="D945" s="406" t="s">
        <v>203</v>
      </c>
      <c r="E945" s="370"/>
      <c r="F945" s="371"/>
      <c r="G945" s="107" t="s">
        <v>1568</v>
      </c>
      <c r="H945" s="385"/>
    </row>
    <row r="946" spans="1:8" ht="15.75" customHeight="1" x14ac:dyDescent="0.25">
      <c r="A946" s="110" t="s">
        <v>38</v>
      </c>
      <c r="B946" s="15">
        <v>932</v>
      </c>
      <c r="C946" s="109" t="s">
        <v>1614</v>
      </c>
      <c r="D946" s="406" t="s">
        <v>247</v>
      </c>
      <c r="E946" s="370"/>
      <c r="F946" s="371"/>
      <c r="G946" s="107"/>
      <c r="H946" s="385"/>
    </row>
    <row r="947" spans="1:8" ht="15.75" customHeight="1" x14ac:dyDescent="0.25">
      <c r="A947" s="110" t="s">
        <v>38</v>
      </c>
      <c r="B947" s="15">
        <v>933</v>
      </c>
      <c r="C947" s="109" t="s">
        <v>1615</v>
      </c>
      <c r="D947" s="406" t="s">
        <v>247</v>
      </c>
      <c r="E947" s="370"/>
      <c r="F947" s="371"/>
      <c r="G947" s="107"/>
      <c r="H947" s="385"/>
    </row>
    <row r="948" spans="1:8" ht="15.75" customHeight="1" x14ac:dyDescent="0.25">
      <c r="A948" s="110" t="s">
        <v>38</v>
      </c>
      <c r="B948" s="15">
        <v>934</v>
      </c>
      <c r="C948" s="109" t="s">
        <v>1616</v>
      </c>
      <c r="D948" s="406" t="s">
        <v>203</v>
      </c>
      <c r="E948" s="370"/>
      <c r="F948" s="371"/>
      <c r="G948" s="107"/>
      <c r="H948" s="385"/>
    </row>
    <row r="949" spans="1:8" ht="15.75" customHeight="1" x14ac:dyDescent="0.25">
      <c r="A949" s="110" t="s">
        <v>38</v>
      </c>
      <c r="B949" s="15">
        <v>935</v>
      </c>
      <c r="C949" s="109" t="s">
        <v>1617</v>
      </c>
      <c r="D949" s="406" t="s">
        <v>247</v>
      </c>
      <c r="E949" s="370"/>
      <c r="F949" s="371"/>
      <c r="G949" s="107"/>
      <c r="H949" s="385"/>
    </row>
    <row r="950" spans="1:8" ht="15.75" customHeight="1" x14ac:dyDescent="0.25">
      <c r="A950" s="110" t="s">
        <v>38</v>
      </c>
      <c r="B950" s="15">
        <v>936</v>
      </c>
      <c r="C950" s="109" t="s">
        <v>1618</v>
      </c>
      <c r="D950" s="406" t="s">
        <v>247</v>
      </c>
      <c r="E950" s="370"/>
      <c r="F950" s="371"/>
      <c r="G950" s="107"/>
      <c r="H950" s="385"/>
    </row>
    <row r="951" spans="1:8" ht="15.75" customHeight="1" x14ac:dyDescent="0.25">
      <c r="A951" s="105" t="s">
        <v>1619</v>
      </c>
      <c r="B951" s="15">
        <v>937</v>
      </c>
      <c r="C951" s="109" t="s">
        <v>1620</v>
      </c>
      <c r="D951" s="406" t="s">
        <v>208</v>
      </c>
      <c r="E951" s="370"/>
      <c r="F951" s="371"/>
      <c r="G951" s="107"/>
      <c r="H951" s="385"/>
    </row>
    <row r="952" spans="1:8" ht="15.75" customHeight="1" x14ac:dyDescent="0.25">
      <c r="A952" s="105" t="s">
        <v>1619</v>
      </c>
      <c r="B952" s="15">
        <v>938</v>
      </c>
      <c r="C952" s="109" t="s">
        <v>1621</v>
      </c>
      <c r="D952" s="406" t="s">
        <v>203</v>
      </c>
      <c r="E952" s="370"/>
      <c r="F952" s="371"/>
      <c r="G952" s="107" t="s">
        <v>1622</v>
      </c>
      <c r="H952" s="385"/>
    </row>
    <row r="953" spans="1:8" ht="15.75" customHeight="1" x14ac:dyDescent="0.25">
      <c r="A953" s="105" t="s">
        <v>1619</v>
      </c>
      <c r="B953" s="15">
        <v>939</v>
      </c>
      <c r="C953" s="109" t="s">
        <v>1623</v>
      </c>
      <c r="D953" s="406" t="s">
        <v>247</v>
      </c>
      <c r="E953" s="370"/>
      <c r="F953" s="371"/>
      <c r="G953" s="107"/>
      <c r="H953" s="385"/>
    </row>
    <row r="954" spans="1:8" ht="15.75" customHeight="1" x14ac:dyDescent="0.25">
      <c r="A954" s="105" t="s">
        <v>1619</v>
      </c>
      <c r="B954" s="15">
        <v>940</v>
      </c>
      <c r="C954" s="109" t="s">
        <v>1624</v>
      </c>
      <c r="D954" s="406" t="s">
        <v>203</v>
      </c>
      <c r="E954" s="370"/>
      <c r="F954" s="371"/>
      <c r="G954" s="117" t="s">
        <v>662</v>
      </c>
      <c r="H954" s="385"/>
    </row>
    <row r="955" spans="1:8" ht="15.75" customHeight="1" x14ac:dyDescent="0.25">
      <c r="A955" s="105" t="s">
        <v>1619</v>
      </c>
      <c r="B955" s="15">
        <v>941</v>
      </c>
      <c r="C955" s="109" t="s">
        <v>1625</v>
      </c>
      <c r="D955" s="406" t="s">
        <v>203</v>
      </c>
      <c r="E955" s="370"/>
      <c r="F955" s="371"/>
      <c r="G955" s="122" t="s">
        <v>1626</v>
      </c>
      <c r="H955" s="385"/>
    </row>
    <row r="956" spans="1:8" ht="15.75" customHeight="1" x14ac:dyDescent="0.25">
      <c r="A956" s="105" t="s">
        <v>1619</v>
      </c>
      <c r="B956" s="15">
        <v>942</v>
      </c>
      <c r="C956" s="109" t="s">
        <v>1627</v>
      </c>
      <c r="D956" s="406" t="s">
        <v>203</v>
      </c>
      <c r="E956" s="370"/>
      <c r="F956" s="371"/>
      <c r="G956" s="107" t="s">
        <v>1628</v>
      </c>
      <c r="H956" s="385"/>
    </row>
    <row r="957" spans="1:8" ht="15.75" customHeight="1" x14ac:dyDescent="0.25">
      <c r="A957" s="105" t="s">
        <v>1619</v>
      </c>
      <c r="B957" s="15">
        <v>943</v>
      </c>
      <c r="C957" s="109" t="s">
        <v>1629</v>
      </c>
      <c r="D957" s="406" t="s">
        <v>247</v>
      </c>
      <c r="E957" s="370"/>
      <c r="F957" s="371"/>
      <c r="G957" s="107">
        <v>2020</v>
      </c>
      <c r="H957" s="385"/>
    </row>
    <row r="958" spans="1:8" ht="15.75" customHeight="1" x14ac:dyDescent="0.25">
      <c r="A958" s="105" t="s">
        <v>1619</v>
      </c>
      <c r="B958" s="15">
        <v>944</v>
      </c>
      <c r="C958" s="109" t="s">
        <v>1630</v>
      </c>
      <c r="D958" s="406" t="s">
        <v>203</v>
      </c>
      <c r="E958" s="370"/>
      <c r="F958" s="371"/>
      <c r="G958" s="107" t="s">
        <v>1631</v>
      </c>
      <c r="H958" s="385"/>
    </row>
    <row r="959" spans="1:8" ht="15.75" customHeight="1" x14ac:dyDescent="0.25">
      <c r="A959" s="105" t="s">
        <v>1619</v>
      </c>
      <c r="B959" s="15">
        <v>945</v>
      </c>
      <c r="C959" s="109" t="s">
        <v>1632</v>
      </c>
      <c r="D959" s="406" t="s">
        <v>203</v>
      </c>
      <c r="E959" s="370"/>
      <c r="F959" s="371"/>
      <c r="G959" s="107" t="s">
        <v>1633</v>
      </c>
      <c r="H959" s="385"/>
    </row>
    <row r="960" spans="1:8" ht="15.75" customHeight="1" x14ac:dyDescent="0.25">
      <c r="A960" s="105" t="s">
        <v>1619</v>
      </c>
      <c r="B960" s="15">
        <v>946</v>
      </c>
      <c r="C960" s="109" t="s">
        <v>1634</v>
      </c>
      <c r="D960" s="406" t="s">
        <v>203</v>
      </c>
      <c r="E960" s="370"/>
      <c r="F960" s="371"/>
      <c r="G960" s="122" t="s">
        <v>1635</v>
      </c>
      <c r="H960" s="385"/>
    </row>
    <row r="961" spans="1:8" ht="15.75" customHeight="1" x14ac:dyDescent="0.25">
      <c r="A961" s="105" t="s">
        <v>1619</v>
      </c>
      <c r="B961" s="15">
        <v>947</v>
      </c>
      <c r="C961" s="109" t="s">
        <v>1636</v>
      </c>
      <c r="D961" s="406" t="s">
        <v>203</v>
      </c>
      <c r="E961" s="370"/>
      <c r="F961" s="371"/>
      <c r="G961" s="107" t="s">
        <v>1637</v>
      </c>
      <c r="H961" s="385"/>
    </row>
    <row r="962" spans="1:8" ht="15.75" customHeight="1" x14ac:dyDescent="0.25">
      <c r="A962" s="105" t="s">
        <v>1619</v>
      </c>
      <c r="B962" s="15">
        <v>948</v>
      </c>
      <c r="C962" s="109" t="s">
        <v>1638</v>
      </c>
      <c r="D962" s="406" t="s">
        <v>247</v>
      </c>
      <c r="E962" s="370"/>
      <c r="F962" s="371"/>
      <c r="G962" s="107"/>
      <c r="H962" s="385"/>
    </row>
    <row r="963" spans="1:8" ht="15.75" customHeight="1" x14ac:dyDescent="0.25">
      <c r="A963" s="105" t="s">
        <v>1619</v>
      </c>
      <c r="B963" s="15">
        <v>949</v>
      </c>
      <c r="C963" s="109" t="s">
        <v>1639</v>
      </c>
      <c r="D963" s="406" t="s">
        <v>203</v>
      </c>
      <c r="E963" s="370"/>
      <c r="F963" s="371"/>
      <c r="G963" s="117" t="s">
        <v>1640</v>
      </c>
      <c r="H963" s="385"/>
    </row>
    <row r="964" spans="1:8" ht="15.75" customHeight="1" x14ac:dyDescent="0.25">
      <c r="A964" s="105" t="s">
        <v>1619</v>
      </c>
      <c r="B964" s="15">
        <v>950</v>
      </c>
      <c r="C964" s="109" t="s">
        <v>1641</v>
      </c>
      <c r="D964" s="406" t="s">
        <v>203</v>
      </c>
      <c r="E964" s="370"/>
      <c r="F964" s="371"/>
      <c r="G964" s="117" t="s">
        <v>1642</v>
      </c>
      <c r="H964" s="385"/>
    </row>
    <row r="965" spans="1:8" ht="15.75" customHeight="1" x14ac:dyDescent="0.25">
      <c r="A965" s="105" t="s">
        <v>1619</v>
      </c>
      <c r="B965" s="15">
        <v>951</v>
      </c>
      <c r="C965" s="109" t="s">
        <v>1643</v>
      </c>
      <c r="D965" s="406" t="s">
        <v>247</v>
      </c>
      <c r="E965" s="370"/>
      <c r="F965" s="371"/>
      <c r="G965" s="107"/>
      <c r="H965" s="385"/>
    </row>
    <row r="966" spans="1:8" ht="15.75" customHeight="1" x14ac:dyDescent="0.25">
      <c r="A966" s="105" t="s">
        <v>1619</v>
      </c>
      <c r="B966" s="15">
        <v>952</v>
      </c>
      <c r="C966" s="109" t="s">
        <v>1644</v>
      </c>
      <c r="D966" s="406" t="s">
        <v>203</v>
      </c>
      <c r="E966" s="370"/>
      <c r="F966" s="371"/>
      <c r="G966" s="107" t="s">
        <v>1645</v>
      </c>
      <c r="H966" s="385"/>
    </row>
    <row r="967" spans="1:8" ht="15.75" customHeight="1" x14ac:dyDescent="0.25">
      <c r="A967" s="105" t="s">
        <v>1619</v>
      </c>
      <c r="B967" s="15">
        <v>953</v>
      </c>
      <c r="C967" s="109" t="s">
        <v>1646</v>
      </c>
      <c r="D967" s="406" t="s">
        <v>203</v>
      </c>
      <c r="E967" s="370"/>
      <c r="F967" s="371"/>
      <c r="G967" s="107" t="s">
        <v>1647</v>
      </c>
      <c r="H967" s="385"/>
    </row>
    <row r="968" spans="1:8" ht="15.75" customHeight="1" x14ac:dyDescent="0.25">
      <c r="A968" s="105" t="s">
        <v>1619</v>
      </c>
      <c r="B968" s="15">
        <v>954</v>
      </c>
      <c r="C968" s="109" t="s">
        <v>1648</v>
      </c>
      <c r="D968" s="406" t="s">
        <v>203</v>
      </c>
      <c r="E968" s="370"/>
      <c r="F968" s="371"/>
      <c r="G968" s="117" t="s">
        <v>1649</v>
      </c>
      <c r="H968" s="385"/>
    </row>
    <row r="969" spans="1:8" ht="15.75" customHeight="1" x14ac:dyDescent="0.25">
      <c r="A969" s="105" t="s">
        <v>1619</v>
      </c>
      <c r="B969" s="15">
        <v>955</v>
      </c>
      <c r="C969" s="109" t="s">
        <v>1650</v>
      </c>
      <c r="D969" s="406" t="s">
        <v>208</v>
      </c>
      <c r="E969" s="370"/>
      <c r="F969" s="371"/>
      <c r="G969" s="107"/>
      <c r="H969" s="385"/>
    </row>
    <row r="970" spans="1:8" ht="15.75" customHeight="1" x14ac:dyDescent="0.25">
      <c r="A970" s="105" t="s">
        <v>1651</v>
      </c>
      <c r="B970" s="15">
        <v>956</v>
      </c>
      <c r="C970" s="106" t="s">
        <v>1652</v>
      </c>
      <c r="D970" s="406" t="s">
        <v>208</v>
      </c>
      <c r="E970" s="370"/>
      <c r="F970" s="371"/>
      <c r="G970" s="107"/>
      <c r="H970" s="385"/>
    </row>
    <row r="971" spans="1:8" ht="15.75" customHeight="1" x14ac:dyDescent="0.25">
      <c r="A971" s="105" t="s">
        <v>1651</v>
      </c>
      <c r="B971" s="15">
        <v>957</v>
      </c>
      <c r="C971" s="109" t="s">
        <v>1653</v>
      </c>
      <c r="D971" s="406" t="s">
        <v>203</v>
      </c>
      <c r="E971" s="370"/>
      <c r="F971" s="371"/>
      <c r="G971" s="117" t="s">
        <v>1654</v>
      </c>
      <c r="H971" s="385"/>
    </row>
    <row r="972" spans="1:8" ht="15.75" customHeight="1" x14ac:dyDescent="0.25">
      <c r="A972" s="105" t="s">
        <v>1651</v>
      </c>
      <c r="B972" s="15">
        <v>958</v>
      </c>
      <c r="C972" s="109" t="s">
        <v>1655</v>
      </c>
      <c r="D972" s="406" t="s">
        <v>203</v>
      </c>
      <c r="E972" s="370"/>
      <c r="F972" s="371"/>
      <c r="G972" s="117" t="s">
        <v>1656</v>
      </c>
      <c r="H972" s="385"/>
    </row>
    <row r="973" spans="1:8" ht="15.75" customHeight="1" x14ac:dyDescent="0.25">
      <c r="A973" s="105" t="s">
        <v>1651</v>
      </c>
      <c r="B973" s="15">
        <v>959</v>
      </c>
      <c r="C973" s="109" t="s">
        <v>1657</v>
      </c>
      <c r="D973" s="406" t="s">
        <v>247</v>
      </c>
      <c r="E973" s="370"/>
      <c r="F973" s="371"/>
      <c r="G973" s="107"/>
      <c r="H973" s="385"/>
    </row>
    <row r="974" spans="1:8" ht="15.75" customHeight="1" x14ac:dyDescent="0.25">
      <c r="A974" s="105" t="s">
        <v>1651</v>
      </c>
      <c r="B974" s="15">
        <v>960</v>
      </c>
      <c r="C974" s="109" t="s">
        <v>1658</v>
      </c>
      <c r="D974" s="406" t="s">
        <v>203</v>
      </c>
      <c r="E974" s="370"/>
      <c r="F974" s="371"/>
      <c r="G974" s="107" t="s">
        <v>1659</v>
      </c>
      <c r="H974" s="385"/>
    </row>
    <row r="975" spans="1:8" ht="15.75" customHeight="1" x14ac:dyDescent="0.25">
      <c r="A975" s="105" t="s">
        <v>1651</v>
      </c>
      <c r="B975" s="15">
        <v>961</v>
      </c>
      <c r="C975" s="109" t="s">
        <v>1660</v>
      </c>
      <c r="D975" s="406" t="s">
        <v>247</v>
      </c>
      <c r="E975" s="370"/>
      <c r="F975" s="371"/>
      <c r="G975" s="107"/>
      <c r="H975" s="385"/>
    </row>
    <row r="976" spans="1:8" ht="15.75" customHeight="1" x14ac:dyDescent="0.25">
      <c r="A976" s="105" t="s">
        <v>1651</v>
      </c>
      <c r="B976" s="15">
        <v>962</v>
      </c>
      <c r="C976" s="109" t="s">
        <v>1661</v>
      </c>
      <c r="D976" s="406" t="s">
        <v>203</v>
      </c>
      <c r="E976" s="370"/>
      <c r="F976" s="371"/>
      <c r="G976" s="117" t="s">
        <v>1662</v>
      </c>
      <c r="H976" s="385"/>
    </row>
    <row r="977" spans="1:8" ht="15.75" customHeight="1" x14ac:dyDescent="0.25">
      <c r="A977" s="105" t="s">
        <v>1651</v>
      </c>
      <c r="B977" s="15">
        <v>963</v>
      </c>
      <c r="C977" s="109" t="s">
        <v>1663</v>
      </c>
      <c r="D977" s="406" t="s">
        <v>203</v>
      </c>
      <c r="E977" s="370"/>
      <c r="F977" s="371"/>
      <c r="G977" s="107" t="s">
        <v>279</v>
      </c>
      <c r="H977" s="385"/>
    </row>
    <row r="978" spans="1:8" ht="15.75" customHeight="1" x14ac:dyDescent="0.25">
      <c r="A978" s="105" t="s">
        <v>1651</v>
      </c>
      <c r="B978" s="15">
        <v>964</v>
      </c>
      <c r="C978" s="109" t="s">
        <v>1664</v>
      </c>
      <c r="D978" s="406" t="s">
        <v>208</v>
      </c>
      <c r="E978" s="370"/>
      <c r="F978" s="371"/>
      <c r="G978" s="107"/>
      <c r="H978" s="385"/>
    </row>
    <row r="979" spans="1:8" ht="15.75" customHeight="1" x14ac:dyDescent="0.25">
      <c r="A979" s="105" t="s">
        <v>1651</v>
      </c>
      <c r="B979" s="15">
        <v>965</v>
      </c>
      <c r="C979" s="109" t="s">
        <v>1665</v>
      </c>
      <c r="D979" s="406" t="s">
        <v>203</v>
      </c>
      <c r="E979" s="370"/>
      <c r="F979" s="371"/>
      <c r="G979" s="107" t="s">
        <v>1666</v>
      </c>
      <c r="H979" s="385"/>
    </row>
    <row r="980" spans="1:8" ht="15.75" customHeight="1" x14ac:dyDescent="0.25">
      <c r="A980" s="105" t="s">
        <v>1651</v>
      </c>
      <c r="B980" s="15">
        <v>966</v>
      </c>
      <c r="C980" s="109" t="s">
        <v>1667</v>
      </c>
      <c r="D980" s="406" t="s">
        <v>203</v>
      </c>
      <c r="E980" s="370"/>
      <c r="F980" s="371"/>
      <c r="G980" s="107" t="s">
        <v>1668</v>
      </c>
      <c r="H980" s="385"/>
    </row>
    <row r="981" spans="1:8" ht="15.75" customHeight="1" x14ac:dyDescent="0.25">
      <c r="A981" s="105" t="s">
        <v>1651</v>
      </c>
      <c r="B981" s="15">
        <v>967</v>
      </c>
      <c r="C981" s="109" t="s">
        <v>1669</v>
      </c>
      <c r="D981" s="406" t="s">
        <v>203</v>
      </c>
      <c r="E981" s="370"/>
      <c r="F981" s="371"/>
      <c r="G981" s="107" t="s">
        <v>1040</v>
      </c>
      <c r="H981" s="385"/>
    </row>
    <row r="982" spans="1:8" ht="15.75" customHeight="1" x14ac:dyDescent="0.25">
      <c r="A982" s="105" t="s">
        <v>1651</v>
      </c>
      <c r="B982" s="15">
        <v>968</v>
      </c>
      <c r="C982" s="109" t="s">
        <v>1670</v>
      </c>
      <c r="D982" s="406" t="s">
        <v>203</v>
      </c>
      <c r="E982" s="370"/>
      <c r="F982" s="371"/>
      <c r="G982" s="107" t="s">
        <v>1671</v>
      </c>
      <c r="H982" s="385"/>
    </row>
    <row r="983" spans="1:8" ht="15.75" customHeight="1" x14ac:dyDescent="0.25">
      <c r="A983" s="105" t="s">
        <v>1651</v>
      </c>
      <c r="B983" s="15">
        <v>969</v>
      </c>
      <c r="C983" s="109" t="s">
        <v>1672</v>
      </c>
      <c r="D983" s="406" t="s">
        <v>203</v>
      </c>
      <c r="E983" s="370"/>
      <c r="F983" s="371"/>
      <c r="G983" s="107" t="s">
        <v>1673</v>
      </c>
      <c r="H983" s="385"/>
    </row>
    <row r="984" spans="1:8" ht="15.75" customHeight="1" x14ac:dyDescent="0.25">
      <c r="A984" s="105" t="s">
        <v>1651</v>
      </c>
      <c r="B984" s="15">
        <v>970</v>
      </c>
      <c r="C984" s="109" t="s">
        <v>1674</v>
      </c>
      <c r="D984" s="406" t="s">
        <v>208</v>
      </c>
      <c r="E984" s="370"/>
      <c r="F984" s="371"/>
      <c r="G984" s="107"/>
      <c r="H984" s="385"/>
    </row>
    <row r="985" spans="1:8" ht="15.75" customHeight="1" x14ac:dyDescent="0.25">
      <c r="A985" s="105" t="s">
        <v>1675</v>
      </c>
      <c r="B985" s="15">
        <v>971</v>
      </c>
      <c r="C985" s="106" t="s">
        <v>1676</v>
      </c>
      <c r="D985" s="406" t="s">
        <v>203</v>
      </c>
      <c r="E985" s="370"/>
      <c r="F985" s="371"/>
      <c r="G985" s="111" t="s">
        <v>1677</v>
      </c>
      <c r="H985" s="385"/>
    </row>
    <row r="986" spans="1:8" ht="15.75" customHeight="1" x14ac:dyDescent="0.25">
      <c r="A986" s="105" t="s">
        <v>1675</v>
      </c>
      <c r="B986" s="15">
        <v>972</v>
      </c>
      <c r="C986" s="109" t="s">
        <v>1678</v>
      </c>
      <c r="D986" s="406" t="s">
        <v>247</v>
      </c>
      <c r="E986" s="370"/>
      <c r="F986" s="371"/>
      <c r="G986" s="107"/>
      <c r="H986" s="385"/>
    </row>
    <row r="987" spans="1:8" ht="15.75" customHeight="1" x14ac:dyDescent="0.25">
      <c r="A987" s="105" t="s">
        <v>1675</v>
      </c>
      <c r="B987" s="15">
        <v>973</v>
      </c>
      <c r="C987" s="109" t="s">
        <v>1679</v>
      </c>
      <c r="D987" s="406" t="s">
        <v>203</v>
      </c>
      <c r="E987" s="370"/>
      <c r="F987" s="371"/>
      <c r="G987" s="107" t="s">
        <v>1680</v>
      </c>
      <c r="H987" s="385"/>
    </row>
    <row r="988" spans="1:8" ht="15.75" customHeight="1" x14ac:dyDescent="0.25">
      <c r="A988" s="105" t="s">
        <v>1675</v>
      </c>
      <c r="B988" s="15">
        <v>974</v>
      </c>
      <c r="C988" s="109" t="s">
        <v>1681</v>
      </c>
      <c r="D988" s="406" t="s">
        <v>203</v>
      </c>
      <c r="E988" s="370"/>
      <c r="F988" s="371"/>
      <c r="G988" s="107" t="s">
        <v>1622</v>
      </c>
      <c r="H988" s="385"/>
    </row>
    <row r="989" spans="1:8" ht="15.75" customHeight="1" x14ac:dyDescent="0.25">
      <c r="A989" s="105" t="s">
        <v>1675</v>
      </c>
      <c r="B989" s="15">
        <v>975</v>
      </c>
      <c r="C989" s="109" t="s">
        <v>1682</v>
      </c>
      <c r="D989" s="406" t="s">
        <v>203</v>
      </c>
      <c r="E989" s="370"/>
      <c r="F989" s="371"/>
      <c r="G989" s="117" t="s">
        <v>1683</v>
      </c>
      <c r="H989" s="385"/>
    </row>
    <row r="990" spans="1:8" ht="15.75" customHeight="1" x14ac:dyDescent="0.25">
      <c r="A990" s="105" t="s">
        <v>1675</v>
      </c>
      <c r="B990" s="15">
        <v>976</v>
      </c>
      <c r="C990" s="109" t="s">
        <v>1684</v>
      </c>
      <c r="D990" s="406" t="s">
        <v>203</v>
      </c>
      <c r="E990" s="370"/>
      <c r="F990" s="371"/>
      <c r="G990" s="107" t="s">
        <v>1685</v>
      </c>
      <c r="H990" s="385"/>
    </row>
    <row r="991" spans="1:8" ht="15.75" customHeight="1" x14ac:dyDescent="0.25">
      <c r="A991" s="105" t="s">
        <v>1675</v>
      </c>
      <c r="B991" s="15">
        <v>977</v>
      </c>
      <c r="C991" s="109" t="s">
        <v>1686</v>
      </c>
      <c r="D991" s="406" t="s">
        <v>208</v>
      </c>
      <c r="E991" s="370"/>
      <c r="F991" s="371"/>
      <c r="G991" s="107"/>
      <c r="H991" s="385"/>
    </row>
    <row r="992" spans="1:8" ht="15.75" customHeight="1" x14ac:dyDescent="0.25">
      <c r="A992" s="105" t="s">
        <v>1675</v>
      </c>
      <c r="B992" s="15">
        <v>978</v>
      </c>
      <c r="C992" s="109" t="s">
        <v>1687</v>
      </c>
      <c r="D992" s="406" t="s">
        <v>203</v>
      </c>
      <c r="E992" s="370"/>
      <c r="F992" s="371"/>
      <c r="G992" s="107" t="s">
        <v>1688</v>
      </c>
      <c r="H992" s="385"/>
    </row>
    <row r="993" spans="1:8" ht="15.75" customHeight="1" x14ac:dyDescent="0.25">
      <c r="A993" s="105" t="s">
        <v>1675</v>
      </c>
      <c r="B993" s="15">
        <v>979</v>
      </c>
      <c r="C993" s="109" t="s">
        <v>1689</v>
      </c>
      <c r="D993" s="406" t="s">
        <v>203</v>
      </c>
      <c r="E993" s="370"/>
      <c r="F993" s="371"/>
      <c r="G993" s="107" t="s">
        <v>1690</v>
      </c>
      <c r="H993" s="385"/>
    </row>
    <row r="994" spans="1:8" ht="15.75" customHeight="1" x14ac:dyDescent="0.25">
      <c r="A994" s="105" t="s">
        <v>1675</v>
      </c>
      <c r="B994" s="15">
        <v>980</v>
      </c>
      <c r="C994" s="109" t="s">
        <v>1691</v>
      </c>
      <c r="D994" s="406" t="s">
        <v>208</v>
      </c>
      <c r="E994" s="370"/>
      <c r="F994" s="371"/>
      <c r="G994" s="107"/>
      <c r="H994" s="385"/>
    </row>
    <row r="995" spans="1:8" ht="15.75" customHeight="1" x14ac:dyDescent="0.25">
      <c r="A995" s="105" t="s">
        <v>1675</v>
      </c>
      <c r="B995" s="15">
        <v>981</v>
      </c>
      <c r="C995" s="109" t="s">
        <v>1692</v>
      </c>
      <c r="D995" s="406" t="s">
        <v>203</v>
      </c>
      <c r="E995" s="370"/>
      <c r="F995" s="371"/>
      <c r="G995" s="107" t="s">
        <v>1693</v>
      </c>
      <c r="H995" s="385"/>
    </row>
    <row r="996" spans="1:8" ht="15.75" customHeight="1" x14ac:dyDescent="0.25">
      <c r="A996" s="105" t="s">
        <v>1675</v>
      </c>
      <c r="B996" s="15">
        <v>982</v>
      </c>
      <c r="C996" s="109" t="s">
        <v>1694</v>
      </c>
      <c r="D996" s="406" t="s">
        <v>208</v>
      </c>
      <c r="E996" s="370"/>
      <c r="F996" s="371"/>
      <c r="G996" s="107"/>
      <c r="H996" s="385"/>
    </row>
    <row r="997" spans="1:8" ht="15.75" customHeight="1" x14ac:dyDescent="0.25">
      <c r="A997" s="105" t="s">
        <v>1675</v>
      </c>
      <c r="B997" s="15">
        <v>983</v>
      </c>
      <c r="C997" s="109" t="s">
        <v>1695</v>
      </c>
      <c r="D997" s="406" t="s">
        <v>203</v>
      </c>
      <c r="E997" s="370"/>
      <c r="F997" s="371"/>
      <c r="G997" s="107" t="s">
        <v>1696</v>
      </c>
      <c r="H997" s="385"/>
    </row>
    <row r="998" spans="1:8" ht="15.75" customHeight="1" x14ac:dyDescent="0.25">
      <c r="A998" s="105" t="s">
        <v>1675</v>
      </c>
      <c r="B998" s="15">
        <v>984</v>
      </c>
      <c r="C998" s="109" t="s">
        <v>1697</v>
      </c>
      <c r="D998" s="406" t="s">
        <v>208</v>
      </c>
      <c r="E998" s="370"/>
      <c r="F998" s="371"/>
      <c r="G998" s="107"/>
      <c r="H998" s="385"/>
    </row>
    <row r="999" spans="1:8" ht="15.75" customHeight="1" x14ac:dyDescent="0.25">
      <c r="A999" s="105" t="s">
        <v>1675</v>
      </c>
      <c r="B999" s="15">
        <v>985</v>
      </c>
      <c r="C999" s="109" t="s">
        <v>1698</v>
      </c>
      <c r="D999" s="406" t="s">
        <v>203</v>
      </c>
      <c r="E999" s="370"/>
      <c r="F999" s="371"/>
      <c r="G999" s="107" t="s">
        <v>1699</v>
      </c>
      <c r="H999" s="385"/>
    </row>
    <row r="1000" spans="1:8" ht="15.75" customHeight="1" x14ac:dyDescent="0.25">
      <c r="A1000" s="105" t="s">
        <v>1675</v>
      </c>
      <c r="B1000" s="15">
        <v>986</v>
      </c>
      <c r="C1000" s="106" t="s">
        <v>1700</v>
      </c>
      <c r="D1000" s="406" t="s">
        <v>203</v>
      </c>
      <c r="E1000" s="370"/>
      <c r="F1000" s="371"/>
      <c r="G1000" s="111" t="s">
        <v>1701</v>
      </c>
      <c r="H1000" s="385"/>
    </row>
    <row r="1001" spans="1:8" ht="15.75" customHeight="1" x14ac:dyDescent="0.25">
      <c r="A1001" s="105" t="s">
        <v>1675</v>
      </c>
      <c r="B1001" s="15">
        <v>987</v>
      </c>
      <c r="C1001" s="109" t="s">
        <v>1702</v>
      </c>
      <c r="D1001" s="406" t="s">
        <v>203</v>
      </c>
      <c r="E1001" s="370"/>
      <c r="F1001" s="371"/>
      <c r="G1001" s="107" t="s">
        <v>1703</v>
      </c>
      <c r="H1001" s="385"/>
    </row>
    <row r="1002" spans="1:8" ht="15.75" customHeight="1" x14ac:dyDescent="0.25">
      <c r="A1002" s="105" t="s">
        <v>1675</v>
      </c>
      <c r="B1002" s="15">
        <v>988</v>
      </c>
      <c r="C1002" s="109" t="s">
        <v>1704</v>
      </c>
      <c r="D1002" s="406" t="s">
        <v>203</v>
      </c>
      <c r="E1002" s="370"/>
      <c r="F1002" s="371"/>
      <c r="G1002" s="117" t="s">
        <v>279</v>
      </c>
      <c r="H1002" s="385"/>
    </row>
    <row r="1003" spans="1:8" ht="15.75" customHeight="1" x14ac:dyDescent="0.25">
      <c r="A1003" s="105" t="s">
        <v>1675</v>
      </c>
      <c r="B1003" s="15">
        <v>989</v>
      </c>
      <c r="C1003" s="109" t="s">
        <v>1705</v>
      </c>
      <c r="D1003" s="406" t="s">
        <v>203</v>
      </c>
      <c r="E1003" s="370"/>
      <c r="F1003" s="371"/>
      <c r="G1003" s="107" t="s">
        <v>279</v>
      </c>
      <c r="H1003" s="385"/>
    </row>
    <row r="1004" spans="1:8" ht="15.75" customHeight="1" x14ac:dyDescent="0.25">
      <c r="A1004" s="105" t="s">
        <v>1675</v>
      </c>
      <c r="B1004" s="15">
        <v>990</v>
      </c>
      <c r="C1004" s="109" t="s">
        <v>1706</v>
      </c>
      <c r="D1004" s="406" t="s">
        <v>247</v>
      </c>
      <c r="E1004" s="370"/>
      <c r="F1004" s="371"/>
      <c r="G1004" s="107"/>
      <c r="H1004" s="385"/>
    </row>
    <row r="1005" spans="1:8" ht="15.75" customHeight="1" x14ac:dyDescent="0.25">
      <c r="A1005" s="105" t="s">
        <v>1675</v>
      </c>
      <c r="B1005" s="15">
        <v>991</v>
      </c>
      <c r="C1005" s="109" t="s">
        <v>1707</v>
      </c>
      <c r="D1005" s="406" t="s">
        <v>203</v>
      </c>
      <c r="E1005" s="370"/>
      <c r="F1005" s="371"/>
      <c r="G1005" s="107" t="s">
        <v>1708</v>
      </c>
      <c r="H1005" s="385"/>
    </row>
    <row r="1006" spans="1:8" ht="15.75" customHeight="1" x14ac:dyDescent="0.25">
      <c r="A1006" s="105" t="s">
        <v>1675</v>
      </c>
      <c r="B1006" s="15">
        <v>992</v>
      </c>
      <c r="C1006" s="109" t="s">
        <v>1709</v>
      </c>
      <c r="D1006" s="406" t="s">
        <v>208</v>
      </c>
      <c r="E1006" s="370"/>
      <c r="F1006" s="371"/>
      <c r="G1006" s="107"/>
      <c r="H1006" s="385"/>
    </row>
    <row r="1007" spans="1:8" ht="15.75" customHeight="1" x14ac:dyDescent="0.25">
      <c r="A1007" s="105" t="s">
        <v>1675</v>
      </c>
      <c r="B1007" s="15">
        <v>993</v>
      </c>
      <c r="C1007" s="109" t="s">
        <v>1710</v>
      </c>
      <c r="D1007" s="406" t="s">
        <v>203</v>
      </c>
      <c r="E1007" s="370"/>
      <c r="F1007" s="371"/>
      <c r="G1007" s="107" t="s">
        <v>1711</v>
      </c>
      <c r="H1007" s="385"/>
    </row>
    <row r="1008" spans="1:8" ht="15.75" customHeight="1" x14ac:dyDescent="0.25">
      <c r="A1008" s="105" t="s">
        <v>1675</v>
      </c>
      <c r="B1008" s="15">
        <v>994</v>
      </c>
      <c r="C1008" s="109" t="s">
        <v>1712</v>
      </c>
      <c r="D1008" s="406" t="s">
        <v>247</v>
      </c>
      <c r="E1008" s="370"/>
      <c r="F1008" s="371"/>
      <c r="G1008" s="107"/>
      <c r="H1008" s="385"/>
    </row>
    <row r="1009" spans="1:8" ht="15.75" customHeight="1" x14ac:dyDescent="0.25">
      <c r="A1009" s="105" t="s">
        <v>1675</v>
      </c>
      <c r="B1009" s="15">
        <v>995</v>
      </c>
      <c r="C1009" s="109" t="s">
        <v>1713</v>
      </c>
      <c r="D1009" s="406" t="s">
        <v>203</v>
      </c>
      <c r="E1009" s="370"/>
      <c r="F1009" s="371"/>
      <c r="G1009" s="107" t="s">
        <v>1714</v>
      </c>
      <c r="H1009" s="385"/>
    </row>
    <row r="1010" spans="1:8" ht="15.75" customHeight="1" x14ac:dyDescent="0.25">
      <c r="A1010" s="105" t="s">
        <v>1675</v>
      </c>
      <c r="B1010" s="15">
        <v>996</v>
      </c>
      <c r="C1010" s="109" t="s">
        <v>1715</v>
      </c>
      <c r="D1010" s="406" t="s">
        <v>247</v>
      </c>
      <c r="E1010" s="370"/>
      <c r="F1010" s="371"/>
      <c r="G1010" s="107"/>
      <c r="H1010" s="385"/>
    </row>
    <row r="1011" spans="1:8" ht="15.75" customHeight="1" x14ac:dyDescent="0.25">
      <c r="A1011" s="105" t="s">
        <v>1716</v>
      </c>
      <c r="B1011" s="15">
        <v>997</v>
      </c>
      <c r="C1011" s="109" t="s">
        <v>1717</v>
      </c>
      <c r="D1011" s="406" t="s">
        <v>203</v>
      </c>
      <c r="E1011" s="370"/>
      <c r="F1011" s="371"/>
      <c r="G1011" s="107" t="s">
        <v>1451</v>
      </c>
      <c r="H1011" s="385"/>
    </row>
    <row r="1012" spans="1:8" ht="15.75" customHeight="1" x14ac:dyDescent="0.25">
      <c r="A1012" s="105" t="s">
        <v>1716</v>
      </c>
      <c r="B1012" s="15">
        <v>998</v>
      </c>
      <c r="C1012" s="109" t="s">
        <v>1718</v>
      </c>
      <c r="D1012" s="406" t="s">
        <v>203</v>
      </c>
      <c r="E1012" s="370"/>
      <c r="F1012" s="371"/>
      <c r="G1012" s="107" t="s">
        <v>1719</v>
      </c>
      <c r="H1012" s="385"/>
    </row>
    <row r="1013" spans="1:8" ht="15.75" customHeight="1" x14ac:dyDescent="0.25">
      <c r="A1013" s="105" t="s">
        <v>1716</v>
      </c>
      <c r="B1013" s="15">
        <v>999</v>
      </c>
      <c r="C1013" s="109" t="s">
        <v>1720</v>
      </c>
      <c r="D1013" s="406" t="s">
        <v>208</v>
      </c>
      <c r="E1013" s="370"/>
      <c r="F1013" s="371"/>
      <c r="G1013" s="107"/>
      <c r="H1013" s="385"/>
    </row>
    <row r="1014" spans="1:8" ht="15.75" customHeight="1" x14ac:dyDescent="0.25">
      <c r="A1014" s="105" t="s">
        <v>1716</v>
      </c>
      <c r="B1014" s="15">
        <v>1000</v>
      </c>
      <c r="C1014" s="109" t="s">
        <v>1721</v>
      </c>
      <c r="D1014" s="406" t="s">
        <v>203</v>
      </c>
      <c r="E1014" s="370"/>
      <c r="F1014" s="371"/>
      <c r="G1014" s="107" t="s">
        <v>279</v>
      </c>
      <c r="H1014" s="385"/>
    </row>
    <row r="1015" spans="1:8" ht="15.75" customHeight="1" x14ac:dyDescent="0.25">
      <c r="A1015" s="105" t="s">
        <v>1716</v>
      </c>
      <c r="B1015" s="15">
        <v>1001</v>
      </c>
      <c r="C1015" s="109" t="s">
        <v>1722</v>
      </c>
      <c r="D1015" s="406" t="s">
        <v>203</v>
      </c>
      <c r="E1015" s="370"/>
      <c r="F1015" s="371"/>
      <c r="G1015" s="107" t="s">
        <v>1723</v>
      </c>
      <c r="H1015" s="385"/>
    </row>
    <row r="1016" spans="1:8" ht="15.75" customHeight="1" x14ac:dyDescent="0.25">
      <c r="A1016" s="105" t="s">
        <v>1716</v>
      </c>
      <c r="B1016" s="15">
        <v>1002</v>
      </c>
      <c r="C1016" s="109" t="s">
        <v>1724</v>
      </c>
      <c r="D1016" s="406" t="s">
        <v>247</v>
      </c>
      <c r="E1016" s="370"/>
      <c r="F1016" s="371"/>
      <c r="G1016" s="107"/>
      <c r="H1016" s="385"/>
    </row>
    <row r="1017" spans="1:8" ht="15.75" customHeight="1" x14ac:dyDescent="0.25">
      <c r="A1017" s="105" t="s">
        <v>1716</v>
      </c>
      <c r="B1017" s="15">
        <v>1003</v>
      </c>
      <c r="C1017" s="109" t="s">
        <v>1725</v>
      </c>
      <c r="D1017" s="406" t="s">
        <v>203</v>
      </c>
      <c r="E1017" s="370"/>
      <c r="F1017" s="371"/>
      <c r="G1017" s="113" t="s">
        <v>279</v>
      </c>
      <c r="H1017" s="385"/>
    </row>
    <row r="1018" spans="1:8" ht="15.75" customHeight="1" x14ac:dyDescent="0.25">
      <c r="A1018" s="105" t="s">
        <v>1716</v>
      </c>
      <c r="B1018" s="15">
        <v>1004</v>
      </c>
      <c r="C1018" s="109" t="s">
        <v>1726</v>
      </c>
      <c r="D1018" s="406" t="s">
        <v>203</v>
      </c>
      <c r="E1018" s="370"/>
      <c r="F1018" s="371"/>
      <c r="G1018" s="107" t="s">
        <v>1727</v>
      </c>
      <c r="H1018" s="385"/>
    </row>
    <row r="1019" spans="1:8" ht="15" customHeight="1" x14ac:dyDescent="0.25">
      <c r="A1019" s="105" t="s">
        <v>1716</v>
      </c>
      <c r="B1019" s="15">
        <v>1005</v>
      </c>
      <c r="C1019" s="109" t="s">
        <v>1728</v>
      </c>
      <c r="D1019" s="406" t="s">
        <v>203</v>
      </c>
      <c r="E1019" s="370"/>
      <c r="F1019" s="371"/>
      <c r="G1019" s="107" t="s">
        <v>234</v>
      </c>
      <c r="H1019" s="385"/>
    </row>
    <row r="1020" spans="1:8" ht="15" customHeight="1" x14ac:dyDescent="0.25">
      <c r="A1020" s="105" t="s">
        <v>1716</v>
      </c>
      <c r="B1020" s="15">
        <v>1006</v>
      </c>
      <c r="C1020" s="109" t="s">
        <v>1729</v>
      </c>
      <c r="D1020" s="406" t="s">
        <v>203</v>
      </c>
      <c r="E1020" s="370"/>
      <c r="F1020" s="371"/>
      <c r="G1020" s="107" t="s">
        <v>1730</v>
      </c>
      <c r="H1020" s="385"/>
    </row>
    <row r="1021" spans="1:8" ht="15" customHeight="1" x14ac:dyDescent="0.25">
      <c r="A1021" s="105" t="s">
        <v>1716</v>
      </c>
      <c r="B1021" s="15">
        <v>1007</v>
      </c>
      <c r="C1021" s="109" t="s">
        <v>1731</v>
      </c>
      <c r="D1021" s="406" t="s">
        <v>208</v>
      </c>
      <c r="E1021" s="370"/>
      <c r="F1021" s="371"/>
      <c r="G1021" s="107"/>
      <c r="H1021" s="385"/>
    </row>
    <row r="1022" spans="1:8" ht="15" customHeight="1" x14ac:dyDescent="0.25">
      <c r="A1022" s="105" t="s">
        <v>1716</v>
      </c>
      <c r="B1022" s="15">
        <v>1008</v>
      </c>
      <c r="C1022" s="109" t="s">
        <v>1732</v>
      </c>
      <c r="D1022" s="406" t="s">
        <v>247</v>
      </c>
      <c r="E1022" s="370"/>
      <c r="F1022" s="371"/>
      <c r="G1022" s="107"/>
      <c r="H1022" s="385"/>
    </row>
    <row r="1023" spans="1:8" ht="15" customHeight="1" x14ac:dyDescent="0.25">
      <c r="A1023" s="105" t="s">
        <v>1716</v>
      </c>
      <c r="B1023" s="15">
        <v>1009</v>
      </c>
      <c r="C1023" s="109" t="s">
        <v>1733</v>
      </c>
      <c r="D1023" s="406" t="s">
        <v>208</v>
      </c>
      <c r="E1023" s="370"/>
      <c r="F1023" s="371"/>
      <c r="G1023" s="107"/>
      <c r="H1023" s="385"/>
    </row>
    <row r="1024" spans="1:8" ht="15" customHeight="1" x14ac:dyDescent="0.25">
      <c r="A1024" s="105" t="s">
        <v>1716</v>
      </c>
      <c r="B1024" s="15">
        <v>1010</v>
      </c>
      <c r="C1024" s="109" t="s">
        <v>1734</v>
      </c>
      <c r="D1024" s="406" t="s">
        <v>247</v>
      </c>
      <c r="E1024" s="370"/>
      <c r="F1024" s="371"/>
      <c r="G1024" s="107"/>
      <c r="H1024" s="385"/>
    </row>
    <row r="1025" spans="1:8" ht="15" customHeight="1" x14ac:dyDescent="0.25">
      <c r="A1025" s="105" t="s">
        <v>1716</v>
      </c>
      <c r="B1025" s="15">
        <v>1011</v>
      </c>
      <c r="C1025" s="109" t="s">
        <v>1735</v>
      </c>
      <c r="D1025" s="406" t="s">
        <v>203</v>
      </c>
      <c r="E1025" s="370"/>
      <c r="F1025" s="371"/>
      <c r="G1025" s="107" t="s">
        <v>1736</v>
      </c>
      <c r="H1025" s="385"/>
    </row>
    <row r="1026" spans="1:8" ht="15" customHeight="1" x14ac:dyDescent="0.25">
      <c r="A1026" s="105" t="s">
        <v>1716</v>
      </c>
      <c r="B1026" s="15">
        <v>1012</v>
      </c>
      <c r="C1026" s="109" t="s">
        <v>1737</v>
      </c>
      <c r="D1026" s="406" t="s">
        <v>208</v>
      </c>
      <c r="E1026" s="370"/>
      <c r="F1026" s="371"/>
      <c r="G1026" s="107"/>
      <c r="H1026" s="385"/>
    </row>
    <row r="1027" spans="1:8" ht="15" customHeight="1" x14ac:dyDescent="0.25">
      <c r="A1027" s="105" t="s">
        <v>1716</v>
      </c>
      <c r="B1027" s="15">
        <v>1013</v>
      </c>
      <c r="C1027" s="109" t="s">
        <v>1738</v>
      </c>
      <c r="D1027" s="406" t="s">
        <v>208</v>
      </c>
      <c r="E1027" s="370"/>
      <c r="F1027" s="371"/>
      <c r="G1027" s="107"/>
      <c r="H1027" s="385"/>
    </row>
    <row r="1028" spans="1:8" ht="15" customHeight="1" x14ac:dyDescent="0.25">
      <c r="A1028" s="105" t="s">
        <v>1716</v>
      </c>
      <c r="B1028" s="15">
        <v>1014</v>
      </c>
      <c r="C1028" s="109" t="s">
        <v>1739</v>
      </c>
      <c r="D1028" s="406" t="s">
        <v>203</v>
      </c>
      <c r="E1028" s="370"/>
      <c r="F1028" s="371"/>
      <c r="G1028" s="107" t="s">
        <v>1740</v>
      </c>
      <c r="H1028" s="385"/>
    </row>
    <row r="1029" spans="1:8" ht="15" customHeight="1" x14ac:dyDescent="0.25">
      <c r="A1029" s="105" t="s">
        <v>1716</v>
      </c>
      <c r="B1029" s="15">
        <v>1015</v>
      </c>
      <c r="C1029" s="109" t="s">
        <v>1741</v>
      </c>
      <c r="D1029" s="406" t="s">
        <v>203</v>
      </c>
      <c r="E1029" s="370"/>
      <c r="F1029" s="371"/>
      <c r="G1029" s="107" t="s">
        <v>1742</v>
      </c>
      <c r="H1029" s="385"/>
    </row>
    <row r="1030" spans="1:8" ht="15" customHeight="1" x14ac:dyDescent="0.25">
      <c r="A1030" s="105" t="s">
        <v>1716</v>
      </c>
      <c r="B1030" s="15">
        <v>1016</v>
      </c>
      <c r="C1030" s="109" t="s">
        <v>1743</v>
      </c>
      <c r="D1030" s="406" t="s">
        <v>203</v>
      </c>
      <c r="E1030" s="370"/>
      <c r="F1030" s="371"/>
      <c r="G1030" s="107" t="s">
        <v>279</v>
      </c>
      <c r="H1030" s="385"/>
    </row>
    <row r="1031" spans="1:8" ht="15" customHeight="1" x14ac:dyDescent="0.25">
      <c r="A1031" s="105" t="s">
        <v>1716</v>
      </c>
      <c r="B1031" s="15">
        <v>1017</v>
      </c>
      <c r="C1031" s="109" t="s">
        <v>1744</v>
      </c>
      <c r="D1031" s="406" t="s">
        <v>203</v>
      </c>
      <c r="E1031" s="370"/>
      <c r="F1031" s="371"/>
      <c r="G1031" s="107" t="s">
        <v>279</v>
      </c>
      <c r="H1031" s="385"/>
    </row>
    <row r="1032" spans="1:8" ht="15" customHeight="1" x14ac:dyDescent="0.25">
      <c r="A1032" s="105" t="s">
        <v>1716</v>
      </c>
      <c r="B1032" s="15">
        <v>1018</v>
      </c>
      <c r="C1032" s="109" t="s">
        <v>1745</v>
      </c>
      <c r="D1032" s="406" t="s">
        <v>247</v>
      </c>
      <c r="E1032" s="370"/>
      <c r="F1032" s="371"/>
      <c r="G1032" s="107"/>
      <c r="H1032" s="385"/>
    </row>
    <row r="1033" spans="1:8" ht="15" customHeight="1" x14ac:dyDescent="0.25">
      <c r="A1033" s="105" t="s">
        <v>1716</v>
      </c>
      <c r="B1033" s="15">
        <v>1019</v>
      </c>
      <c r="C1033" s="109" t="s">
        <v>1746</v>
      </c>
      <c r="D1033" s="406" t="s">
        <v>203</v>
      </c>
      <c r="E1033" s="370"/>
      <c r="F1033" s="371"/>
      <c r="G1033" s="107" t="s">
        <v>1451</v>
      </c>
      <c r="H1033" s="385"/>
    </row>
    <row r="1034" spans="1:8" ht="15" customHeight="1" x14ac:dyDescent="0.25">
      <c r="A1034" s="105" t="s">
        <v>1716</v>
      </c>
      <c r="B1034" s="15">
        <v>1020</v>
      </c>
      <c r="C1034" s="109" t="s">
        <v>1747</v>
      </c>
      <c r="D1034" s="406" t="s">
        <v>247</v>
      </c>
      <c r="E1034" s="370"/>
      <c r="F1034" s="371"/>
      <c r="G1034" s="107"/>
      <c r="H1034" s="385"/>
    </row>
    <row r="1035" spans="1:8" ht="15" customHeight="1" x14ac:dyDescent="0.25">
      <c r="A1035" s="105" t="s">
        <v>1716</v>
      </c>
      <c r="B1035" s="15">
        <v>1021</v>
      </c>
      <c r="C1035" s="109" t="s">
        <v>1748</v>
      </c>
      <c r="D1035" s="406" t="s">
        <v>203</v>
      </c>
      <c r="E1035" s="370"/>
      <c r="F1035" s="371"/>
      <c r="G1035" s="121" t="s">
        <v>279</v>
      </c>
      <c r="H1035" s="385"/>
    </row>
    <row r="1036" spans="1:8" ht="15" customHeight="1" x14ac:dyDescent="0.25">
      <c r="A1036" s="105" t="s">
        <v>1716</v>
      </c>
      <c r="B1036" s="15">
        <v>1022</v>
      </c>
      <c r="C1036" s="109" t="s">
        <v>1749</v>
      </c>
      <c r="D1036" s="406" t="s">
        <v>247</v>
      </c>
      <c r="E1036" s="370"/>
      <c r="F1036" s="371"/>
      <c r="G1036" s="107"/>
      <c r="H1036" s="385"/>
    </row>
    <row r="1037" spans="1:8" ht="15.75" customHeight="1" x14ac:dyDescent="0.25">
      <c r="A1037" s="105" t="s">
        <v>1750</v>
      </c>
      <c r="B1037" s="15">
        <v>1023</v>
      </c>
      <c r="C1037" s="109" t="s">
        <v>1751</v>
      </c>
      <c r="D1037" s="406" t="s">
        <v>203</v>
      </c>
      <c r="E1037" s="370"/>
      <c r="F1037" s="371"/>
      <c r="G1037" s="107" t="s">
        <v>662</v>
      </c>
      <c r="H1037" s="385"/>
    </row>
    <row r="1038" spans="1:8" ht="15" customHeight="1" x14ac:dyDescent="0.25">
      <c r="A1038" s="105" t="s">
        <v>1750</v>
      </c>
      <c r="B1038" s="15">
        <v>1024</v>
      </c>
      <c r="C1038" s="109" t="s">
        <v>1752</v>
      </c>
      <c r="D1038" s="406" t="s">
        <v>203</v>
      </c>
      <c r="E1038" s="370"/>
      <c r="F1038" s="371"/>
      <c r="G1038" s="107" t="s">
        <v>890</v>
      </c>
      <c r="H1038" s="385"/>
    </row>
    <row r="1039" spans="1:8" ht="15" customHeight="1" x14ac:dyDescent="0.25">
      <c r="A1039" s="105" t="s">
        <v>1750</v>
      </c>
      <c r="B1039" s="15">
        <v>1025</v>
      </c>
      <c r="C1039" s="109" t="s">
        <v>1753</v>
      </c>
      <c r="D1039" s="406" t="s">
        <v>203</v>
      </c>
      <c r="E1039" s="370"/>
      <c r="F1039" s="371"/>
      <c r="G1039" s="107" t="s">
        <v>1754</v>
      </c>
      <c r="H1039" s="385"/>
    </row>
    <row r="1040" spans="1:8" ht="15" customHeight="1" x14ac:dyDescent="0.25">
      <c r="A1040" s="105" t="s">
        <v>1750</v>
      </c>
      <c r="B1040" s="15">
        <v>1026</v>
      </c>
      <c r="C1040" s="109" t="s">
        <v>1755</v>
      </c>
      <c r="D1040" s="406" t="s">
        <v>203</v>
      </c>
      <c r="E1040" s="370"/>
      <c r="F1040" s="371"/>
      <c r="G1040" s="107" t="s">
        <v>279</v>
      </c>
      <c r="H1040" s="385"/>
    </row>
    <row r="1041" spans="1:8" ht="15" customHeight="1" x14ac:dyDescent="0.25">
      <c r="A1041" s="105" t="s">
        <v>1750</v>
      </c>
      <c r="B1041" s="15">
        <v>1027</v>
      </c>
      <c r="C1041" s="109" t="s">
        <v>1756</v>
      </c>
      <c r="D1041" s="406" t="s">
        <v>203</v>
      </c>
      <c r="E1041" s="370"/>
      <c r="F1041" s="371"/>
      <c r="G1041" s="107" t="s">
        <v>1757</v>
      </c>
      <c r="H1041" s="385"/>
    </row>
    <row r="1042" spans="1:8" ht="15.75" customHeight="1" x14ac:dyDescent="0.25">
      <c r="A1042" s="105" t="s">
        <v>1750</v>
      </c>
      <c r="B1042" s="15">
        <v>1028</v>
      </c>
      <c r="C1042" s="109" t="s">
        <v>1758</v>
      </c>
      <c r="D1042" s="406" t="s">
        <v>247</v>
      </c>
      <c r="E1042" s="370"/>
      <c r="F1042" s="371"/>
      <c r="G1042" s="107"/>
      <c r="H1042" s="385"/>
    </row>
    <row r="1043" spans="1:8" ht="15.75" customHeight="1" x14ac:dyDescent="0.25">
      <c r="A1043" s="105" t="s">
        <v>1750</v>
      </c>
      <c r="B1043" s="15">
        <v>1029</v>
      </c>
      <c r="C1043" s="106" t="s">
        <v>1759</v>
      </c>
      <c r="D1043" s="406" t="s">
        <v>203</v>
      </c>
      <c r="E1043" s="370"/>
      <c r="F1043" s="371"/>
      <c r="G1043" s="107" t="s">
        <v>1760</v>
      </c>
      <c r="H1043" s="385"/>
    </row>
    <row r="1044" spans="1:8" ht="15" customHeight="1" x14ac:dyDescent="0.25">
      <c r="A1044" s="105" t="s">
        <v>1750</v>
      </c>
      <c r="B1044" s="15">
        <v>1030</v>
      </c>
      <c r="C1044" s="109" t="s">
        <v>1761</v>
      </c>
      <c r="D1044" s="406" t="s">
        <v>208</v>
      </c>
      <c r="E1044" s="370"/>
      <c r="F1044" s="371"/>
      <c r="G1044" s="107"/>
      <c r="H1044" s="385"/>
    </row>
    <row r="1045" spans="1:8" ht="15" customHeight="1" x14ac:dyDescent="0.25">
      <c r="A1045" s="105" t="s">
        <v>1750</v>
      </c>
      <c r="B1045" s="15">
        <v>1031</v>
      </c>
      <c r="C1045" s="109" t="s">
        <v>1762</v>
      </c>
      <c r="D1045" s="406" t="s">
        <v>203</v>
      </c>
      <c r="E1045" s="370"/>
      <c r="F1045" s="371"/>
      <c r="G1045" s="107" t="s">
        <v>1763</v>
      </c>
      <c r="H1045" s="385"/>
    </row>
    <row r="1046" spans="1:8" ht="15" customHeight="1" x14ac:dyDescent="0.25">
      <c r="A1046" s="105" t="s">
        <v>1750</v>
      </c>
      <c r="B1046" s="15">
        <v>1032</v>
      </c>
      <c r="C1046" s="109" t="s">
        <v>1764</v>
      </c>
      <c r="D1046" s="406" t="s">
        <v>203</v>
      </c>
      <c r="E1046" s="370"/>
      <c r="F1046" s="371"/>
      <c r="G1046" s="83" t="s">
        <v>1765</v>
      </c>
      <c r="H1046" s="385"/>
    </row>
    <row r="1047" spans="1:8" ht="15" customHeight="1" x14ac:dyDescent="0.25">
      <c r="A1047" s="105" t="s">
        <v>1750</v>
      </c>
      <c r="B1047" s="15">
        <v>1033</v>
      </c>
      <c r="C1047" s="109" t="s">
        <v>1766</v>
      </c>
      <c r="D1047" s="406" t="s">
        <v>203</v>
      </c>
      <c r="E1047" s="370"/>
      <c r="F1047" s="371"/>
      <c r="G1047" s="107" t="s">
        <v>279</v>
      </c>
      <c r="H1047" s="385"/>
    </row>
    <row r="1048" spans="1:8" ht="15" customHeight="1" x14ac:dyDescent="0.25">
      <c r="A1048" s="105" t="s">
        <v>1750</v>
      </c>
      <c r="B1048" s="15">
        <v>1034</v>
      </c>
      <c r="C1048" s="109" t="s">
        <v>1767</v>
      </c>
      <c r="D1048" s="406" t="s">
        <v>203</v>
      </c>
      <c r="E1048" s="370"/>
      <c r="F1048" s="371"/>
      <c r="G1048" s="107" t="s">
        <v>279</v>
      </c>
      <c r="H1048" s="385"/>
    </row>
    <row r="1049" spans="1:8" ht="15" customHeight="1" x14ac:dyDescent="0.25">
      <c r="A1049" s="105" t="s">
        <v>1750</v>
      </c>
      <c r="B1049" s="15">
        <v>1035</v>
      </c>
      <c r="C1049" s="109" t="s">
        <v>1768</v>
      </c>
      <c r="D1049" s="406" t="s">
        <v>203</v>
      </c>
      <c r="E1049" s="370"/>
      <c r="F1049" s="371"/>
      <c r="G1049" s="107" t="s">
        <v>1769</v>
      </c>
      <c r="H1049" s="385"/>
    </row>
    <row r="1050" spans="1:8" ht="15" customHeight="1" x14ac:dyDescent="0.25">
      <c r="A1050" s="105" t="s">
        <v>1750</v>
      </c>
      <c r="B1050" s="15">
        <v>1036</v>
      </c>
      <c r="C1050" s="109" t="s">
        <v>1770</v>
      </c>
      <c r="D1050" s="406" t="s">
        <v>203</v>
      </c>
      <c r="E1050" s="370"/>
      <c r="F1050" s="371"/>
      <c r="G1050" s="107" t="s">
        <v>1771</v>
      </c>
      <c r="H1050" s="385"/>
    </row>
    <row r="1051" spans="1:8" ht="15.75" customHeight="1" x14ac:dyDescent="0.25">
      <c r="A1051" s="105" t="s">
        <v>1772</v>
      </c>
      <c r="B1051" s="15">
        <v>1037</v>
      </c>
      <c r="C1051" s="109" t="s">
        <v>1773</v>
      </c>
      <c r="D1051" s="406" t="s">
        <v>247</v>
      </c>
      <c r="E1051" s="370"/>
      <c r="F1051" s="371"/>
      <c r="G1051" s="107"/>
      <c r="H1051" s="385"/>
    </row>
    <row r="1052" spans="1:8" ht="15" customHeight="1" x14ac:dyDescent="0.25">
      <c r="A1052" s="105" t="s">
        <v>1772</v>
      </c>
      <c r="B1052" s="15">
        <v>1038</v>
      </c>
      <c r="C1052" s="109" t="s">
        <v>1774</v>
      </c>
      <c r="D1052" s="406" t="s">
        <v>203</v>
      </c>
      <c r="E1052" s="370"/>
      <c r="F1052" s="371"/>
      <c r="G1052" s="107"/>
      <c r="H1052" s="385"/>
    </row>
    <row r="1053" spans="1:8" ht="15" customHeight="1" x14ac:dyDescent="0.25">
      <c r="A1053" s="105" t="s">
        <v>1772</v>
      </c>
      <c r="B1053" s="15">
        <v>1039</v>
      </c>
      <c r="C1053" s="109" t="s">
        <v>1775</v>
      </c>
      <c r="D1053" s="406" t="s">
        <v>203</v>
      </c>
      <c r="E1053" s="370"/>
      <c r="F1053" s="371"/>
      <c r="G1053" s="107" t="s">
        <v>1776</v>
      </c>
      <c r="H1053" s="385"/>
    </row>
    <row r="1054" spans="1:8" ht="15" customHeight="1" x14ac:dyDescent="0.25">
      <c r="A1054" s="105" t="s">
        <v>1772</v>
      </c>
      <c r="B1054" s="15">
        <v>1040</v>
      </c>
      <c r="C1054" s="109" t="s">
        <v>1777</v>
      </c>
      <c r="D1054" s="406" t="s">
        <v>203</v>
      </c>
      <c r="E1054" s="370"/>
      <c r="F1054" s="371"/>
      <c r="G1054" s="107" t="s">
        <v>1778</v>
      </c>
      <c r="H1054" s="385"/>
    </row>
    <row r="1055" spans="1:8" ht="15" customHeight="1" x14ac:dyDescent="0.25">
      <c r="A1055" s="105" t="s">
        <v>1772</v>
      </c>
      <c r="B1055" s="15">
        <v>1041</v>
      </c>
      <c r="C1055" s="109" t="s">
        <v>1779</v>
      </c>
      <c r="D1055" s="406" t="s">
        <v>203</v>
      </c>
      <c r="E1055" s="370"/>
      <c r="F1055" s="371"/>
      <c r="G1055" s="107" t="s">
        <v>1780</v>
      </c>
      <c r="H1055" s="385"/>
    </row>
    <row r="1056" spans="1:8" ht="15" customHeight="1" x14ac:dyDescent="0.25">
      <c r="A1056" s="105" t="s">
        <v>1772</v>
      </c>
      <c r="B1056" s="15">
        <v>1042</v>
      </c>
      <c r="C1056" s="109" t="s">
        <v>1781</v>
      </c>
      <c r="D1056" s="406" t="s">
        <v>203</v>
      </c>
      <c r="E1056" s="370"/>
      <c r="F1056" s="371"/>
      <c r="G1056" s="107" t="s">
        <v>1778</v>
      </c>
      <c r="H1056" s="385"/>
    </row>
    <row r="1057" spans="1:8" ht="15" customHeight="1" x14ac:dyDescent="0.25">
      <c r="A1057" s="105" t="s">
        <v>1772</v>
      </c>
      <c r="B1057" s="15">
        <v>1043</v>
      </c>
      <c r="C1057" s="109" t="s">
        <v>1782</v>
      </c>
      <c r="D1057" s="406" t="s">
        <v>203</v>
      </c>
      <c r="E1057" s="370"/>
      <c r="F1057" s="371"/>
      <c r="G1057" s="107" t="s">
        <v>1783</v>
      </c>
      <c r="H1057" s="385"/>
    </row>
    <row r="1058" spans="1:8" ht="15" customHeight="1" x14ac:dyDescent="0.25">
      <c r="A1058" s="105" t="s">
        <v>1772</v>
      </c>
      <c r="B1058" s="15">
        <v>1044</v>
      </c>
      <c r="C1058" s="109" t="s">
        <v>1784</v>
      </c>
      <c r="D1058" s="406" t="s">
        <v>247</v>
      </c>
      <c r="E1058" s="370"/>
      <c r="F1058" s="371"/>
      <c r="G1058" s="107"/>
      <c r="H1058" s="385"/>
    </row>
    <row r="1059" spans="1:8" ht="15.75" customHeight="1" x14ac:dyDescent="0.25">
      <c r="A1059" s="105" t="s">
        <v>1772</v>
      </c>
      <c r="B1059" s="15">
        <v>1045</v>
      </c>
      <c r="C1059" s="106" t="s">
        <v>1785</v>
      </c>
      <c r="D1059" s="406" t="s">
        <v>203</v>
      </c>
      <c r="E1059" s="370"/>
      <c r="F1059" s="371"/>
      <c r="G1059" s="107" t="s">
        <v>1786</v>
      </c>
      <c r="H1059" s="385"/>
    </row>
    <row r="1060" spans="1:8" ht="15" customHeight="1" x14ac:dyDescent="0.25">
      <c r="A1060" s="105" t="s">
        <v>1772</v>
      </c>
      <c r="B1060" s="15">
        <v>1046</v>
      </c>
      <c r="C1060" s="114" t="s">
        <v>1787</v>
      </c>
      <c r="D1060" s="406" t="s">
        <v>203</v>
      </c>
      <c r="E1060" s="370"/>
      <c r="F1060" s="371"/>
      <c r="G1060" s="113" t="s">
        <v>1778</v>
      </c>
      <c r="H1060" s="385"/>
    </row>
    <row r="1061" spans="1:8" ht="15" customHeight="1" x14ac:dyDescent="0.25">
      <c r="A1061" s="105" t="s">
        <v>1772</v>
      </c>
      <c r="B1061" s="15">
        <v>1047</v>
      </c>
      <c r="C1061" s="109" t="s">
        <v>1788</v>
      </c>
      <c r="D1061" s="406" t="s">
        <v>203</v>
      </c>
      <c r="E1061" s="370"/>
      <c r="F1061" s="371"/>
      <c r="G1061" s="107" t="s">
        <v>279</v>
      </c>
      <c r="H1061" s="385"/>
    </row>
    <row r="1062" spans="1:8" ht="15" customHeight="1" x14ac:dyDescent="0.25">
      <c r="A1062" s="105" t="s">
        <v>1772</v>
      </c>
      <c r="B1062" s="15">
        <v>1048</v>
      </c>
      <c r="C1062" s="109" t="s">
        <v>1789</v>
      </c>
      <c r="D1062" s="406" t="s">
        <v>203</v>
      </c>
      <c r="E1062" s="370"/>
      <c r="F1062" s="371"/>
      <c r="G1062" s="107" t="s">
        <v>1790</v>
      </c>
      <c r="H1062" s="385"/>
    </row>
    <row r="1063" spans="1:8" ht="15" customHeight="1" x14ac:dyDescent="0.25">
      <c r="A1063" s="105" t="s">
        <v>1772</v>
      </c>
      <c r="B1063" s="15">
        <v>1049</v>
      </c>
      <c r="C1063" s="109" t="s">
        <v>1791</v>
      </c>
      <c r="D1063" s="406" t="s">
        <v>208</v>
      </c>
      <c r="E1063" s="370"/>
      <c r="F1063" s="371"/>
      <c r="G1063" s="107"/>
      <c r="H1063" s="385"/>
    </row>
    <row r="1064" spans="1:8" ht="15" customHeight="1" x14ac:dyDescent="0.25">
      <c r="A1064" s="105" t="s">
        <v>1772</v>
      </c>
      <c r="B1064" s="15">
        <v>1050</v>
      </c>
      <c r="C1064" s="109" t="s">
        <v>1792</v>
      </c>
      <c r="D1064" s="406" t="s">
        <v>247</v>
      </c>
      <c r="E1064" s="370"/>
      <c r="F1064" s="371"/>
      <c r="G1064" s="107"/>
      <c r="H1064" s="385"/>
    </row>
    <row r="1065" spans="1:8" ht="15" customHeight="1" x14ac:dyDescent="0.25">
      <c r="A1065" s="105" t="s">
        <v>1772</v>
      </c>
      <c r="B1065" s="15">
        <v>1051</v>
      </c>
      <c r="C1065" s="109" t="s">
        <v>1793</v>
      </c>
      <c r="D1065" s="406" t="s">
        <v>247</v>
      </c>
      <c r="E1065" s="370"/>
      <c r="F1065" s="371"/>
      <c r="G1065" s="107"/>
      <c r="H1065" s="385"/>
    </row>
    <row r="1066" spans="1:8" ht="15" customHeight="1" x14ac:dyDescent="0.25">
      <c r="A1066" s="105" t="s">
        <v>1772</v>
      </c>
      <c r="B1066" s="15">
        <v>1052</v>
      </c>
      <c r="C1066" s="109" t="s">
        <v>1794</v>
      </c>
      <c r="D1066" s="406" t="s">
        <v>203</v>
      </c>
      <c r="E1066" s="370"/>
      <c r="F1066" s="371"/>
      <c r="G1066" s="107" t="s">
        <v>1795</v>
      </c>
      <c r="H1066" s="385"/>
    </row>
    <row r="1067" spans="1:8" ht="15.75" customHeight="1" x14ac:dyDescent="0.25">
      <c r="A1067" s="105" t="s">
        <v>1772</v>
      </c>
      <c r="B1067" s="15">
        <v>1053</v>
      </c>
      <c r="C1067" s="109" t="s">
        <v>1796</v>
      </c>
      <c r="D1067" s="406" t="s">
        <v>208</v>
      </c>
      <c r="E1067" s="370"/>
      <c r="F1067" s="371"/>
      <c r="G1067" s="107"/>
      <c r="H1067" s="385"/>
    </row>
    <row r="1068" spans="1:8" ht="15" customHeight="1" x14ac:dyDescent="0.25">
      <c r="A1068" s="105" t="s">
        <v>1772</v>
      </c>
      <c r="B1068" s="15">
        <v>1054</v>
      </c>
      <c r="C1068" s="109" t="s">
        <v>1797</v>
      </c>
      <c r="D1068" s="406" t="s">
        <v>203</v>
      </c>
      <c r="E1068" s="370"/>
      <c r="F1068" s="371"/>
      <c r="G1068" s="107" t="s">
        <v>1677</v>
      </c>
      <c r="H1068" s="385"/>
    </row>
    <row r="1069" spans="1:8" ht="15" customHeight="1" x14ac:dyDescent="0.25">
      <c r="A1069" s="105" t="s">
        <v>1772</v>
      </c>
      <c r="B1069" s="15">
        <v>1055</v>
      </c>
      <c r="C1069" s="109" t="s">
        <v>1798</v>
      </c>
      <c r="D1069" s="406" t="s">
        <v>203</v>
      </c>
      <c r="E1069" s="370"/>
      <c r="F1069" s="371"/>
      <c r="G1069" s="107" t="s">
        <v>1799</v>
      </c>
      <c r="H1069" s="385"/>
    </row>
    <row r="1070" spans="1:8" ht="15" customHeight="1" x14ac:dyDescent="0.25">
      <c r="A1070" s="105" t="s">
        <v>1772</v>
      </c>
      <c r="B1070" s="15">
        <v>1056</v>
      </c>
      <c r="C1070" s="109" t="s">
        <v>1800</v>
      </c>
      <c r="D1070" s="406" t="s">
        <v>203</v>
      </c>
      <c r="E1070" s="370"/>
      <c r="F1070" s="371"/>
      <c r="G1070" s="107" t="s">
        <v>1801</v>
      </c>
      <c r="H1070" s="385"/>
    </row>
    <row r="1071" spans="1:8" ht="15" customHeight="1" x14ac:dyDescent="0.25">
      <c r="A1071" s="105" t="s">
        <v>1772</v>
      </c>
      <c r="B1071" s="15">
        <v>1057</v>
      </c>
      <c r="C1071" s="109" t="s">
        <v>1802</v>
      </c>
      <c r="D1071" s="406" t="s">
        <v>208</v>
      </c>
      <c r="E1071" s="370"/>
      <c r="F1071" s="371"/>
      <c r="G1071" s="107"/>
      <c r="H1071" s="385"/>
    </row>
    <row r="1072" spans="1:8" ht="15" customHeight="1" x14ac:dyDescent="0.25">
      <c r="A1072" s="105" t="s">
        <v>1772</v>
      </c>
      <c r="B1072" s="15">
        <v>1058</v>
      </c>
      <c r="C1072" s="109" t="s">
        <v>1803</v>
      </c>
      <c r="D1072" s="406" t="s">
        <v>208</v>
      </c>
      <c r="E1072" s="370"/>
      <c r="F1072" s="371"/>
      <c r="G1072" s="107"/>
      <c r="H1072" s="385"/>
    </row>
    <row r="1073" spans="1:8" ht="15" customHeight="1" x14ac:dyDescent="0.25">
      <c r="A1073" s="105" t="s">
        <v>1772</v>
      </c>
      <c r="B1073" s="15">
        <v>1059</v>
      </c>
      <c r="C1073" s="109" t="s">
        <v>1804</v>
      </c>
      <c r="D1073" s="406" t="s">
        <v>203</v>
      </c>
      <c r="E1073" s="370"/>
      <c r="F1073" s="371"/>
      <c r="G1073" s="107" t="s">
        <v>1805</v>
      </c>
      <c r="H1073" s="385"/>
    </row>
    <row r="1074" spans="1:8" ht="15" customHeight="1" x14ac:dyDescent="0.25">
      <c r="A1074" s="105" t="s">
        <v>1772</v>
      </c>
      <c r="B1074" s="15">
        <v>1060</v>
      </c>
      <c r="C1074" s="109" t="s">
        <v>1806</v>
      </c>
      <c r="D1074" s="406" t="s">
        <v>203</v>
      </c>
      <c r="E1074" s="370"/>
      <c r="F1074" s="371"/>
      <c r="G1074" s="107" t="s">
        <v>1677</v>
      </c>
      <c r="H1074" s="385"/>
    </row>
    <row r="1075" spans="1:8" ht="15" customHeight="1" x14ac:dyDescent="0.25">
      <c r="A1075" s="105" t="s">
        <v>1772</v>
      </c>
      <c r="B1075" s="15">
        <v>1061</v>
      </c>
      <c r="C1075" s="109" t="s">
        <v>1807</v>
      </c>
      <c r="D1075" s="406" t="s">
        <v>247</v>
      </c>
      <c r="E1075" s="370"/>
      <c r="F1075" s="371"/>
      <c r="G1075" s="107"/>
      <c r="H1075" s="385"/>
    </row>
    <row r="1076" spans="1:8" ht="15" customHeight="1" x14ac:dyDescent="0.25">
      <c r="A1076" s="105" t="s">
        <v>1772</v>
      </c>
      <c r="B1076" s="15">
        <v>1062</v>
      </c>
      <c r="C1076" s="109" t="s">
        <v>1808</v>
      </c>
      <c r="D1076" s="406" t="s">
        <v>203</v>
      </c>
      <c r="E1076" s="370"/>
      <c r="F1076" s="371"/>
      <c r="G1076" s="107" t="s">
        <v>1809</v>
      </c>
      <c r="H1076" s="385"/>
    </row>
    <row r="1077" spans="1:8" ht="15" customHeight="1" x14ac:dyDescent="0.25">
      <c r="A1077" s="105" t="s">
        <v>1772</v>
      </c>
      <c r="B1077" s="15">
        <v>1063</v>
      </c>
      <c r="C1077" s="109" t="s">
        <v>1810</v>
      </c>
      <c r="D1077" s="406" t="s">
        <v>247</v>
      </c>
      <c r="E1077" s="370"/>
      <c r="F1077" s="371"/>
      <c r="G1077" s="107"/>
      <c r="H1077" s="385"/>
    </row>
    <row r="1078" spans="1:8" ht="15" customHeight="1" x14ac:dyDescent="0.25">
      <c r="A1078" s="105" t="s">
        <v>1772</v>
      </c>
      <c r="B1078" s="15">
        <v>1064</v>
      </c>
      <c r="C1078" s="109" t="s">
        <v>1811</v>
      </c>
      <c r="D1078" s="406" t="s">
        <v>203</v>
      </c>
      <c r="E1078" s="370"/>
      <c r="F1078" s="371"/>
      <c r="G1078" s="107" t="s">
        <v>656</v>
      </c>
      <c r="H1078" s="385"/>
    </row>
    <row r="1079" spans="1:8" ht="15" customHeight="1" x14ac:dyDescent="0.25">
      <c r="A1079" s="105" t="s">
        <v>1772</v>
      </c>
      <c r="B1079" s="15">
        <v>1065</v>
      </c>
      <c r="C1079" s="109" t="s">
        <v>1812</v>
      </c>
      <c r="D1079" s="406" t="s">
        <v>203</v>
      </c>
      <c r="E1079" s="370"/>
      <c r="F1079" s="371"/>
      <c r="G1079" s="107" t="s">
        <v>1813</v>
      </c>
      <c r="H1079" s="385"/>
    </row>
    <row r="1080" spans="1:8" ht="15" customHeight="1" x14ac:dyDescent="0.25">
      <c r="A1080" s="105" t="s">
        <v>1772</v>
      </c>
      <c r="B1080" s="15">
        <v>1066</v>
      </c>
      <c r="C1080" s="109" t="s">
        <v>1814</v>
      </c>
      <c r="D1080" s="406" t="s">
        <v>247</v>
      </c>
      <c r="E1080" s="370"/>
      <c r="F1080" s="371"/>
      <c r="G1080" s="107"/>
      <c r="H1080" s="385"/>
    </row>
    <row r="1081" spans="1:8" ht="15" customHeight="1" x14ac:dyDescent="0.25">
      <c r="A1081" s="105" t="s">
        <v>1772</v>
      </c>
      <c r="B1081" s="15">
        <v>1067</v>
      </c>
      <c r="C1081" s="109" t="s">
        <v>1815</v>
      </c>
      <c r="D1081" s="406" t="s">
        <v>247</v>
      </c>
      <c r="E1081" s="370"/>
      <c r="F1081" s="371"/>
      <c r="G1081" s="107"/>
      <c r="H1081" s="385"/>
    </row>
    <row r="1082" spans="1:8" ht="15" customHeight="1" x14ac:dyDescent="0.25">
      <c r="A1082" s="105" t="s">
        <v>1772</v>
      </c>
      <c r="B1082" s="15">
        <v>1068</v>
      </c>
      <c r="C1082" s="109" t="s">
        <v>1816</v>
      </c>
      <c r="D1082" s="406" t="s">
        <v>203</v>
      </c>
      <c r="E1082" s="370"/>
      <c r="F1082" s="371"/>
      <c r="G1082" s="107" t="s">
        <v>1765</v>
      </c>
      <c r="H1082" s="385"/>
    </row>
    <row r="1083" spans="1:8" ht="15" customHeight="1" x14ac:dyDescent="0.25">
      <c r="A1083" s="105" t="s">
        <v>1772</v>
      </c>
      <c r="B1083" s="15">
        <v>1069</v>
      </c>
      <c r="C1083" s="109" t="s">
        <v>1817</v>
      </c>
      <c r="D1083" s="406" t="s">
        <v>247</v>
      </c>
      <c r="E1083" s="370"/>
      <c r="F1083" s="371"/>
      <c r="G1083" s="107"/>
      <c r="H1083" s="385"/>
    </row>
    <row r="1084" spans="1:8" ht="15" customHeight="1" x14ac:dyDescent="0.25">
      <c r="A1084" s="105" t="s">
        <v>1772</v>
      </c>
      <c r="B1084" s="15">
        <v>1070</v>
      </c>
      <c r="C1084" s="109" t="s">
        <v>1818</v>
      </c>
      <c r="D1084" s="406" t="s">
        <v>208</v>
      </c>
      <c r="E1084" s="370"/>
      <c r="F1084" s="371"/>
      <c r="G1084" s="107"/>
      <c r="H1084" s="385"/>
    </row>
    <row r="1085" spans="1:8" ht="15" customHeight="1" x14ac:dyDescent="0.25">
      <c r="A1085" s="105" t="s">
        <v>1772</v>
      </c>
      <c r="B1085" s="15">
        <v>1071</v>
      </c>
      <c r="C1085" s="109" t="s">
        <v>1819</v>
      </c>
      <c r="D1085" s="406" t="s">
        <v>247</v>
      </c>
      <c r="E1085" s="370"/>
      <c r="F1085" s="371"/>
      <c r="G1085" s="107"/>
      <c r="H1085" s="385"/>
    </row>
    <row r="1086" spans="1:8" ht="15" customHeight="1" x14ac:dyDescent="0.25">
      <c r="A1086" s="105" t="s">
        <v>1772</v>
      </c>
      <c r="B1086" s="15">
        <v>1072</v>
      </c>
      <c r="C1086" s="109" t="s">
        <v>1820</v>
      </c>
      <c r="D1086" s="406" t="s">
        <v>203</v>
      </c>
      <c r="E1086" s="370"/>
      <c r="F1086" s="371"/>
      <c r="G1086" s="107" t="s">
        <v>1821</v>
      </c>
      <c r="H1086" s="385"/>
    </row>
    <row r="1087" spans="1:8" ht="15" customHeight="1" x14ac:dyDescent="0.25">
      <c r="A1087" s="105" t="s">
        <v>1772</v>
      </c>
      <c r="B1087" s="15">
        <v>1073</v>
      </c>
      <c r="C1087" s="109" t="s">
        <v>1822</v>
      </c>
      <c r="D1087" s="406" t="s">
        <v>208</v>
      </c>
      <c r="E1087" s="370"/>
      <c r="F1087" s="371"/>
      <c r="G1087" s="107"/>
      <c r="H1087" s="385"/>
    </row>
    <row r="1088" spans="1:8" ht="15" customHeight="1" x14ac:dyDescent="0.25">
      <c r="A1088" s="105" t="s">
        <v>1772</v>
      </c>
      <c r="B1088" s="15">
        <v>1074</v>
      </c>
      <c r="C1088" s="109" t="s">
        <v>1823</v>
      </c>
      <c r="D1088" s="406" t="s">
        <v>247</v>
      </c>
      <c r="E1088" s="370"/>
      <c r="F1088" s="371"/>
      <c r="G1088" s="107"/>
      <c r="H1088" s="385"/>
    </row>
    <row r="1089" spans="1:8" ht="15" customHeight="1" x14ac:dyDescent="0.25">
      <c r="A1089" s="105" t="s">
        <v>1772</v>
      </c>
      <c r="B1089" s="15">
        <v>1075</v>
      </c>
      <c r="C1089" s="109" t="s">
        <v>1824</v>
      </c>
      <c r="D1089" s="406" t="s">
        <v>208</v>
      </c>
      <c r="E1089" s="370"/>
      <c r="F1089" s="371"/>
      <c r="G1089" s="107"/>
      <c r="H1089" s="385"/>
    </row>
    <row r="1090" spans="1:8" ht="15" customHeight="1" x14ac:dyDescent="0.25">
      <c r="A1090" s="105" t="s">
        <v>1772</v>
      </c>
      <c r="B1090" s="15">
        <v>1076</v>
      </c>
      <c r="C1090" s="109" t="s">
        <v>1825</v>
      </c>
      <c r="D1090" s="406" t="s">
        <v>247</v>
      </c>
      <c r="E1090" s="370"/>
      <c r="F1090" s="371"/>
      <c r="G1090" s="107"/>
      <c r="H1090" s="385"/>
    </row>
    <row r="1091" spans="1:8" ht="15" customHeight="1" x14ac:dyDescent="0.25">
      <c r="A1091" s="105" t="s">
        <v>1772</v>
      </c>
      <c r="B1091" s="15">
        <v>1077</v>
      </c>
      <c r="C1091" s="109" t="s">
        <v>1826</v>
      </c>
      <c r="D1091" s="406" t="s">
        <v>203</v>
      </c>
      <c r="E1091" s="370"/>
      <c r="F1091" s="371"/>
      <c r="G1091" s="107" t="s">
        <v>1827</v>
      </c>
      <c r="H1091" s="385"/>
    </row>
    <row r="1092" spans="1:8" ht="15" customHeight="1" x14ac:dyDescent="0.25">
      <c r="A1092" s="105" t="s">
        <v>1772</v>
      </c>
      <c r="B1092" s="15">
        <v>1078</v>
      </c>
      <c r="C1092" s="109" t="s">
        <v>1828</v>
      </c>
      <c r="D1092" s="406" t="s">
        <v>247</v>
      </c>
      <c r="E1092" s="370"/>
      <c r="F1092" s="371"/>
      <c r="G1092" s="107"/>
      <c r="H1092" s="385"/>
    </row>
    <row r="1093" spans="1:8" ht="15" customHeight="1" x14ac:dyDescent="0.25">
      <c r="A1093" s="105" t="s">
        <v>1772</v>
      </c>
      <c r="B1093" s="15">
        <v>1079</v>
      </c>
      <c r="C1093" s="109" t="s">
        <v>1829</v>
      </c>
      <c r="D1093" s="406" t="s">
        <v>208</v>
      </c>
      <c r="E1093" s="370"/>
      <c r="F1093" s="371"/>
      <c r="G1093" s="107"/>
      <c r="H1093" s="385"/>
    </row>
    <row r="1094" spans="1:8" ht="15" customHeight="1" x14ac:dyDescent="0.25">
      <c r="A1094" s="105" t="s">
        <v>1772</v>
      </c>
      <c r="B1094" s="15">
        <v>1080</v>
      </c>
      <c r="C1094" s="109" t="s">
        <v>1830</v>
      </c>
      <c r="D1094" s="406" t="s">
        <v>208</v>
      </c>
      <c r="E1094" s="370"/>
      <c r="F1094" s="371"/>
      <c r="G1094" s="107"/>
      <c r="H1094" s="385"/>
    </row>
    <row r="1095" spans="1:8" ht="15" customHeight="1" x14ac:dyDescent="0.25">
      <c r="A1095" s="105" t="s">
        <v>1772</v>
      </c>
      <c r="B1095" s="15">
        <v>1081</v>
      </c>
      <c r="C1095" s="109" t="s">
        <v>1831</v>
      </c>
      <c r="D1095" s="406" t="s">
        <v>247</v>
      </c>
      <c r="E1095" s="370"/>
      <c r="F1095" s="371"/>
      <c r="G1095" s="107"/>
      <c r="H1095" s="385"/>
    </row>
    <row r="1096" spans="1:8" ht="15" customHeight="1" x14ac:dyDescent="0.25">
      <c r="A1096" s="105" t="s">
        <v>1772</v>
      </c>
      <c r="B1096" s="15">
        <v>1082</v>
      </c>
      <c r="C1096" s="109" t="s">
        <v>1832</v>
      </c>
      <c r="D1096" s="406" t="s">
        <v>203</v>
      </c>
      <c r="E1096" s="370"/>
      <c r="F1096" s="371"/>
      <c r="G1096" s="107" t="s">
        <v>1833</v>
      </c>
      <c r="H1096" s="385"/>
    </row>
    <row r="1097" spans="1:8" ht="15" customHeight="1" x14ac:dyDescent="0.25">
      <c r="A1097" s="105" t="s">
        <v>1772</v>
      </c>
      <c r="B1097" s="15">
        <v>1083</v>
      </c>
      <c r="C1097" s="109" t="s">
        <v>1834</v>
      </c>
      <c r="D1097" s="406" t="s">
        <v>208</v>
      </c>
      <c r="E1097" s="370"/>
      <c r="F1097" s="371"/>
      <c r="G1097" s="107"/>
      <c r="H1097" s="385"/>
    </row>
    <row r="1098" spans="1:8" ht="15" customHeight="1" x14ac:dyDescent="0.25">
      <c r="A1098" s="105" t="s">
        <v>1772</v>
      </c>
      <c r="B1098" s="15">
        <v>1084</v>
      </c>
      <c r="C1098" s="109" t="s">
        <v>1835</v>
      </c>
      <c r="D1098" s="406" t="s">
        <v>203</v>
      </c>
      <c r="E1098" s="370"/>
      <c r="F1098" s="371"/>
      <c r="G1098" s="107" t="s">
        <v>1836</v>
      </c>
      <c r="H1098" s="385"/>
    </row>
    <row r="1099" spans="1:8" ht="15" customHeight="1" x14ac:dyDescent="0.25">
      <c r="A1099" s="105" t="s">
        <v>1772</v>
      </c>
      <c r="B1099" s="15">
        <v>1085</v>
      </c>
      <c r="C1099" s="109" t="s">
        <v>1837</v>
      </c>
      <c r="D1099" s="406" t="s">
        <v>203</v>
      </c>
      <c r="E1099" s="370"/>
      <c r="F1099" s="371"/>
      <c r="G1099" s="107" t="s">
        <v>1838</v>
      </c>
      <c r="H1099" s="385"/>
    </row>
    <row r="1100" spans="1:8" ht="15" customHeight="1" x14ac:dyDescent="0.25">
      <c r="A1100" s="105" t="s">
        <v>1772</v>
      </c>
      <c r="B1100" s="15">
        <v>1086</v>
      </c>
      <c r="C1100" s="109" t="s">
        <v>1839</v>
      </c>
      <c r="D1100" s="406" t="s">
        <v>208</v>
      </c>
      <c r="E1100" s="370"/>
      <c r="F1100" s="371"/>
      <c r="G1100" s="107"/>
      <c r="H1100" s="385"/>
    </row>
    <row r="1101" spans="1:8" ht="15" customHeight="1" x14ac:dyDescent="0.25">
      <c r="A1101" s="105" t="s">
        <v>1772</v>
      </c>
      <c r="B1101" s="15">
        <v>1087</v>
      </c>
      <c r="C1101" s="109" t="s">
        <v>1840</v>
      </c>
      <c r="D1101" s="406" t="s">
        <v>208</v>
      </c>
      <c r="E1101" s="370"/>
      <c r="F1101" s="371"/>
      <c r="G1101" s="107"/>
      <c r="H1101" s="385"/>
    </row>
    <row r="1102" spans="1:8" ht="15" customHeight="1" x14ac:dyDescent="0.25">
      <c r="A1102" s="105" t="s">
        <v>1772</v>
      </c>
      <c r="B1102" s="15">
        <v>1088</v>
      </c>
      <c r="C1102" s="109" t="s">
        <v>1841</v>
      </c>
      <c r="D1102" s="406" t="s">
        <v>203</v>
      </c>
      <c r="E1102" s="370"/>
      <c r="F1102" s="371"/>
      <c r="G1102" s="107" t="s">
        <v>1765</v>
      </c>
      <c r="H1102" s="385"/>
    </row>
    <row r="1103" spans="1:8" ht="15" customHeight="1" x14ac:dyDescent="0.25">
      <c r="A1103" s="105" t="s">
        <v>1772</v>
      </c>
      <c r="B1103" s="15">
        <v>1089</v>
      </c>
      <c r="C1103" s="109" t="s">
        <v>1842</v>
      </c>
      <c r="D1103" s="406" t="s">
        <v>203</v>
      </c>
      <c r="E1103" s="370"/>
      <c r="F1103" s="371"/>
      <c r="G1103" s="107" t="s">
        <v>1843</v>
      </c>
      <c r="H1103" s="385"/>
    </row>
    <row r="1104" spans="1:8" ht="15" customHeight="1" x14ac:dyDescent="0.25">
      <c r="A1104" s="105" t="s">
        <v>1772</v>
      </c>
      <c r="B1104" s="15">
        <v>1090</v>
      </c>
      <c r="C1104" s="109" t="s">
        <v>1844</v>
      </c>
      <c r="D1104" s="406" t="s">
        <v>247</v>
      </c>
      <c r="E1104" s="370"/>
      <c r="F1104" s="371"/>
      <c r="G1104" s="107"/>
      <c r="H1104" s="385"/>
    </row>
    <row r="1105" spans="1:8" ht="15" customHeight="1" x14ac:dyDescent="0.25">
      <c r="A1105" s="105" t="s">
        <v>1772</v>
      </c>
      <c r="B1105" s="15">
        <v>1091</v>
      </c>
      <c r="C1105" s="109" t="s">
        <v>1845</v>
      </c>
      <c r="D1105" s="406" t="s">
        <v>203</v>
      </c>
      <c r="E1105" s="370"/>
      <c r="F1105" s="371"/>
      <c r="G1105" s="117" t="s">
        <v>1846</v>
      </c>
      <c r="H1105" s="385"/>
    </row>
    <row r="1106" spans="1:8" ht="15" customHeight="1" x14ac:dyDescent="0.25">
      <c r="A1106" s="105" t="s">
        <v>1772</v>
      </c>
      <c r="B1106" s="15">
        <v>1092</v>
      </c>
      <c r="C1106" s="109" t="s">
        <v>1847</v>
      </c>
      <c r="D1106" s="406" t="s">
        <v>203</v>
      </c>
      <c r="E1106" s="370"/>
      <c r="F1106" s="371"/>
      <c r="G1106" s="107" t="s">
        <v>1622</v>
      </c>
      <c r="H1106" s="385"/>
    </row>
    <row r="1107" spans="1:8" ht="15" customHeight="1" x14ac:dyDescent="0.25">
      <c r="A1107" s="105" t="s">
        <v>1772</v>
      </c>
      <c r="B1107" s="15">
        <v>1093</v>
      </c>
      <c r="C1107" s="109" t="s">
        <v>1848</v>
      </c>
      <c r="D1107" s="406" t="s">
        <v>203</v>
      </c>
      <c r="E1107" s="370"/>
      <c r="F1107" s="371"/>
      <c r="G1107" s="107" t="s">
        <v>1849</v>
      </c>
      <c r="H1107" s="385"/>
    </row>
    <row r="1108" spans="1:8" ht="15" customHeight="1" x14ac:dyDescent="0.25">
      <c r="A1108" s="108"/>
      <c r="B1108" s="15"/>
      <c r="C1108" s="15"/>
      <c r="D1108" s="15"/>
      <c r="E1108" s="15"/>
      <c r="F1108" s="15"/>
      <c r="G1108" s="16"/>
      <c r="H1108" s="385"/>
    </row>
    <row r="1109" spans="1:8" ht="15" customHeight="1" x14ac:dyDescent="0.25">
      <c r="A1109" s="415" t="s">
        <v>1850</v>
      </c>
      <c r="B1109" s="378"/>
      <c r="C1109" s="417">
        <v>1093</v>
      </c>
      <c r="D1109" s="123" t="s">
        <v>1851</v>
      </c>
      <c r="E1109" s="123" t="s">
        <v>1852</v>
      </c>
      <c r="F1109" s="123" t="s">
        <v>1853</v>
      </c>
      <c r="G1109" s="124"/>
      <c r="H1109" s="385"/>
    </row>
    <row r="1110" spans="1:8" ht="15" customHeight="1" x14ac:dyDescent="0.25">
      <c r="A1110" s="416"/>
      <c r="B1110" s="380"/>
      <c r="C1110" s="368"/>
      <c r="D1110" s="125">
        <v>623</v>
      </c>
      <c r="E1110" s="125">
        <f>COUNTIF(D15:F1108,[2]Legend!A4)</f>
        <v>0</v>
      </c>
      <c r="F1110" s="125">
        <v>324</v>
      </c>
      <c r="G1110" s="124"/>
      <c r="H1110" s="385"/>
    </row>
    <row r="1111" spans="1:8" ht="15" customHeight="1" x14ac:dyDescent="0.25">
      <c r="A1111" s="418" t="s">
        <v>1854</v>
      </c>
      <c r="B1111" s="370"/>
      <c r="C1111" s="370"/>
      <c r="D1111" s="370"/>
      <c r="E1111" s="370"/>
      <c r="F1111" s="370"/>
      <c r="G1111" s="371"/>
      <c r="H1111" s="385"/>
    </row>
    <row r="1112" spans="1:8" ht="15.75" customHeight="1" x14ac:dyDescent="0.25">
      <c r="A1112" s="105" t="s">
        <v>28</v>
      </c>
      <c r="B1112" s="15">
        <v>1</v>
      </c>
      <c r="C1112" s="109" t="s">
        <v>1855</v>
      </c>
      <c r="D1112" s="406" t="s">
        <v>208</v>
      </c>
      <c r="E1112" s="370"/>
      <c r="F1112" s="371"/>
      <c r="G1112" s="107"/>
      <c r="H1112" s="385"/>
    </row>
    <row r="1113" spans="1:8" ht="15" customHeight="1" x14ac:dyDescent="0.25">
      <c r="A1113" s="105" t="s">
        <v>28</v>
      </c>
      <c r="B1113" s="15">
        <v>2</v>
      </c>
      <c r="C1113" s="109" t="s">
        <v>1856</v>
      </c>
      <c r="D1113" s="406" t="s">
        <v>208</v>
      </c>
      <c r="E1113" s="370"/>
      <c r="F1113" s="371"/>
      <c r="G1113" s="107"/>
      <c r="H1113" s="385"/>
    </row>
    <row r="1114" spans="1:8" ht="15" customHeight="1" x14ac:dyDescent="0.25">
      <c r="A1114" s="105" t="s">
        <v>28</v>
      </c>
      <c r="B1114" s="15">
        <v>3</v>
      </c>
      <c r="C1114" s="109" t="s">
        <v>1857</v>
      </c>
      <c r="D1114" s="406" t="s">
        <v>208</v>
      </c>
      <c r="E1114" s="370"/>
      <c r="F1114" s="371"/>
      <c r="G1114" s="107"/>
      <c r="H1114" s="385"/>
    </row>
    <row r="1115" spans="1:8" ht="15" customHeight="1" x14ac:dyDescent="0.25">
      <c r="A1115" s="105" t="s">
        <v>28</v>
      </c>
      <c r="B1115" s="15">
        <v>4</v>
      </c>
      <c r="C1115" s="109" t="s">
        <v>1858</v>
      </c>
      <c r="D1115" s="406" t="s">
        <v>203</v>
      </c>
      <c r="E1115" s="370"/>
      <c r="F1115" s="371"/>
      <c r="G1115" s="107" t="s">
        <v>388</v>
      </c>
      <c r="H1115" s="385"/>
    </row>
    <row r="1116" spans="1:8" ht="15" customHeight="1" x14ac:dyDescent="0.25">
      <c r="A1116" s="105" t="s">
        <v>28</v>
      </c>
      <c r="B1116" s="15">
        <v>5</v>
      </c>
      <c r="C1116" s="109" t="s">
        <v>1859</v>
      </c>
      <c r="D1116" s="406" t="s">
        <v>208</v>
      </c>
      <c r="E1116" s="370"/>
      <c r="F1116" s="371"/>
      <c r="G1116" s="107"/>
      <c r="H1116" s="385"/>
    </row>
    <row r="1117" spans="1:8" ht="15" customHeight="1" x14ac:dyDescent="0.25">
      <c r="A1117" s="105" t="s">
        <v>28</v>
      </c>
      <c r="B1117" s="15">
        <v>6</v>
      </c>
      <c r="C1117" s="109" t="s">
        <v>1860</v>
      </c>
      <c r="D1117" s="406" t="s">
        <v>203</v>
      </c>
      <c r="E1117" s="370"/>
      <c r="F1117" s="371"/>
      <c r="G1117" s="107" t="s">
        <v>391</v>
      </c>
      <c r="H1117" s="385"/>
    </row>
    <row r="1118" spans="1:8" ht="15" customHeight="1" x14ac:dyDescent="0.25">
      <c r="A1118" s="105" t="s">
        <v>28</v>
      </c>
      <c r="B1118" s="15">
        <v>7</v>
      </c>
      <c r="C1118" s="109" t="s">
        <v>1861</v>
      </c>
      <c r="D1118" s="406" t="s">
        <v>203</v>
      </c>
      <c r="E1118" s="370"/>
      <c r="F1118" s="371"/>
      <c r="G1118" s="107" t="s">
        <v>393</v>
      </c>
      <c r="H1118" s="385"/>
    </row>
    <row r="1119" spans="1:8" ht="15" customHeight="1" x14ac:dyDescent="0.25">
      <c r="A1119" s="105" t="s">
        <v>28</v>
      </c>
      <c r="B1119" s="15">
        <v>8</v>
      </c>
      <c r="C1119" s="109" t="s">
        <v>1862</v>
      </c>
      <c r="D1119" s="406" t="s">
        <v>208</v>
      </c>
      <c r="E1119" s="370"/>
      <c r="F1119" s="371"/>
      <c r="G1119" s="107"/>
      <c r="H1119" s="385"/>
    </row>
    <row r="1120" spans="1:8" ht="15" customHeight="1" x14ac:dyDescent="0.25">
      <c r="A1120" s="105" t="s">
        <v>28</v>
      </c>
      <c r="B1120" s="15">
        <v>9</v>
      </c>
      <c r="C1120" s="109" t="s">
        <v>1863</v>
      </c>
      <c r="D1120" s="406" t="s">
        <v>208</v>
      </c>
      <c r="E1120" s="370"/>
      <c r="F1120" s="371"/>
      <c r="G1120" s="107"/>
      <c r="H1120" s="385"/>
    </row>
    <row r="1121" spans="1:8" ht="15.75" customHeight="1" x14ac:dyDescent="0.25">
      <c r="A1121" s="105" t="s">
        <v>28</v>
      </c>
      <c r="B1121" s="15">
        <v>10</v>
      </c>
      <c r="C1121" s="106" t="s">
        <v>1864</v>
      </c>
      <c r="D1121" s="406" t="s">
        <v>203</v>
      </c>
      <c r="E1121" s="370"/>
      <c r="F1121" s="371"/>
      <c r="G1121" s="107" t="s">
        <v>397</v>
      </c>
      <c r="H1121" s="385"/>
    </row>
    <row r="1122" spans="1:8" ht="15" customHeight="1" x14ac:dyDescent="0.25">
      <c r="A1122" s="105" t="s">
        <v>28</v>
      </c>
      <c r="B1122" s="15">
        <v>11</v>
      </c>
      <c r="C1122" s="109" t="s">
        <v>1865</v>
      </c>
      <c r="D1122" s="406" t="s">
        <v>203</v>
      </c>
      <c r="E1122" s="370"/>
      <c r="F1122" s="371"/>
      <c r="G1122" s="107" t="s">
        <v>399</v>
      </c>
      <c r="H1122" s="385"/>
    </row>
    <row r="1123" spans="1:8" ht="15" customHeight="1" x14ac:dyDescent="0.25">
      <c r="A1123" s="105" t="s">
        <v>28</v>
      </c>
      <c r="B1123" s="15">
        <v>12</v>
      </c>
      <c r="C1123" s="109" t="s">
        <v>1866</v>
      </c>
      <c r="D1123" s="406" t="s">
        <v>203</v>
      </c>
      <c r="E1123" s="370"/>
      <c r="F1123" s="371"/>
      <c r="G1123" s="107" t="s">
        <v>401</v>
      </c>
      <c r="H1123" s="385"/>
    </row>
    <row r="1124" spans="1:8" ht="15" customHeight="1" x14ac:dyDescent="0.25">
      <c r="A1124" s="105" t="s">
        <v>28</v>
      </c>
      <c r="B1124" s="15">
        <v>13</v>
      </c>
      <c r="C1124" s="109" t="s">
        <v>1867</v>
      </c>
      <c r="D1124" s="406" t="s">
        <v>208</v>
      </c>
      <c r="E1124" s="370"/>
      <c r="F1124" s="371"/>
      <c r="G1124" s="107"/>
      <c r="H1124" s="385"/>
    </row>
    <row r="1125" spans="1:8" ht="15" customHeight="1" x14ac:dyDescent="0.25">
      <c r="A1125" s="105" t="s">
        <v>28</v>
      </c>
      <c r="B1125" s="15">
        <v>14</v>
      </c>
      <c r="C1125" s="109" t="s">
        <v>1868</v>
      </c>
      <c r="D1125" s="406" t="s">
        <v>208</v>
      </c>
      <c r="E1125" s="370"/>
      <c r="F1125" s="371"/>
      <c r="G1125" s="107"/>
      <c r="H1125" s="385"/>
    </row>
    <row r="1126" spans="1:8" ht="15" customHeight="1" x14ac:dyDescent="0.25">
      <c r="A1126" s="105" t="s">
        <v>28</v>
      </c>
      <c r="B1126" s="15">
        <v>15</v>
      </c>
      <c r="C1126" s="109" t="s">
        <v>1869</v>
      </c>
      <c r="D1126" s="406" t="s">
        <v>208</v>
      </c>
      <c r="E1126" s="370"/>
      <c r="F1126" s="371"/>
      <c r="G1126" s="107"/>
      <c r="H1126" s="385"/>
    </row>
    <row r="1127" spans="1:8" ht="15" customHeight="1" x14ac:dyDescent="0.25">
      <c r="A1127" s="105" t="s">
        <v>28</v>
      </c>
      <c r="B1127" s="15">
        <v>16</v>
      </c>
      <c r="C1127" s="109" t="s">
        <v>1870</v>
      </c>
      <c r="D1127" s="406" t="s">
        <v>203</v>
      </c>
      <c r="E1127" s="370"/>
      <c r="F1127" s="371"/>
      <c r="G1127" s="107" t="s">
        <v>406</v>
      </c>
      <c r="H1127" s="385"/>
    </row>
    <row r="1128" spans="1:8" ht="15" customHeight="1" x14ac:dyDescent="0.25">
      <c r="A1128" s="105" t="s">
        <v>28</v>
      </c>
      <c r="B1128" s="15">
        <v>17</v>
      </c>
      <c r="C1128" s="109" t="s">
        <v>1871</v>
      </c>
      <c r="D1128" s="406" t="s">
        <v>208</v>
      </c>
      <c r="E1128" s="370"/>
      <c r="F1128" s="371"/>
      <c r="G1128" s="107"/>
      <c r="H1128" s="385"/>
    </row>
    <row r="1129" spans="1:8" ht="15" customHeight="1" x14ac:dyDescent="0.25">
      <c r="A1129" s="105" t="s">
        <v>28</v>
      </c>
      <c r="B1129" s="15">
        <v>18</v>
      </c>
      <c r="C1129" s="109" t="s">
        <v>1872</v>
      </c>
      <c r="D1129" s="406" t="s">
        <v>208</v>
      </c>
      <c r="E1129" s="370"/>
      <c r="F1129" s="371"/>
      <c r="G1129" s="107"/>
      <c r="H1129" s="385"/>
    </row>
    <row r="1130" spans="1:8" ht="15" customHeight="1" x14ac:dyDescent="0.25">
      <c r="A1130" s="105" t="s">
        <v>28</v>
      </c>
      <c r="B1130" s="15">
        <v>19</v>
      </c>
      <c r="C1130" s="109" t="s">
        <v>1873</v>
      </c>
      <c r="D1130" s="406" t="s">
        <v>203</v>
      </c>
      <c r="E1130" s="370"/>
      <c r="F1130" s="371"/>
      <c r="G1130" s="107" t="s">
        <v>410</v>
      </c>
      <c r="H1130" s="385"/>
    </row>
    <row r="1131" spans="1:8" ht="15" customHeight="1" x14ac:dyDescent="0.25">
      <c r="A1131" s="105" t="s">
        <v>28</v>
      </c>
      <c r="B1131" s="15">
        <v>20</v>
      </c>
      <c r="C1131" s="109" t="s">
        <v>1874</v>
      </c>
      <c r="D1131" s="406" t="s">
        <v>203</v>
      </c>
      <c r="E1131" s="370"/>
      <c r="F1131" s="371"/>
      <c r="G1131" s="107" t="s">
        <v>412</v>
      </c>
      <c r="H1131" s="385"/>
    </row>
    <row r="1132" spans="1:8" ht="15" customHeight="1" x14ac:dyDescent="0.25">
      <c r="A1132" s="105" t="s">
        <v>28</v>
      </c>
      <c r="B1132" s="15">
        <v>21</v>
      </c>
      <c r="C1132" s="109" t="s">
        <v>1875</v>
      </c>
      <c r="D1132" s="406" t="s">
        <v>208</v>
      </c>
      <c r="E1132" s="370"/>
      <c r="F1132" s="371"/>
      <c r="G1132" s="107"/>
      <c r="H1132" s="385"/>
    </row>
    <row r="1133" spans="1:8" ht="15" customHeight="1" x14ac:dyDescent="0.25">
      <c r="A1133" s="105" t="s">
        <v>28</v>
      </c>
      <c r="B1133" s="15">
        <v>22</v>
      </c>
      <c r="C1133" s="109" t="s">
        <v>1876</v>
      </c>
      <c r="D1133" s="406" t="s">
        <v>203</v>
      </c>
      <c r="E1133" s="370"/>
      <c r="F1133" s="371"/>
      <c r="G1133" s="107" t="s">
        <v>415</v>
      </c>
      <c r="H1133" s="385"/>
    </row>
    <row r="1134" spans="1:8" ht="15.75" customHeight="1" x14ac:dyDescent="0.25">
      <c r="A1134" s="105" t="s">
        <v>28</v>
      </c>
      <c r="B1134" s="15">
        <v>23</v>
      </c>
      <c r="C1134" s="109" t="s">
        <v>1877</v>
      </c>
      <c r="D1134" s="406" t="s">
        <v>203</v>
      </c>
      <c r="E1134" s="370"/>
      <c r="F1134" s="371"/>
      <c r="G1134" s="107" t="s">
        <v>417</v>
      </c>
      <c r="H1134" s="385"/>
    </row>
    <row r="1135" spans="1:8" ht="15" customHeight="1" x14ac:dyDescent="0.25">
      <c r="A1135" s="105" t="s">
        <v>28</v>
      </c>
      <c r="B1135" s="15">
        <v>24</v>
      </c>
      <c r="C1135" s="109" t="s">
        <v>1878</v>
      </c>
      <c r="D1135" s="406" t="s">
        <v>203</v>
      </c>
      <c r="E1135" s="370"/>
      <c r="F1135" s="371"/>
      <c r="G1135" s="107" t="s">
        <v>406</v>
      </c>
      <c r="H1135" s="385"/>
    </row>
    <row r="1136" spans="1:8" ht="15" customHeight="1" x14ac:dyDescent="0.25">
      <c r="A1136" s="105" t="s">
        <v>28</v>
      </c>
      <c r="B1136" s="15">
        <v>25</v>
      </c>
      <c r="C1136" s="109" t="s">
        <v>1879</v>
      </c>
      <c r="D1136" s="406" t="s">
        <v>203</v>
      </c>
      <c r="E1136" s="370"/>
      <c r="F1136" s="371"/>
      <c r="G1136" s="107" t="s">
        <v>420</v>
      </c>
      <c r="H1136" s="385"/>
    </row>
    <row r="1137" spans="1:8" ht="15" customHeight="1" x14ac:dyDescent="0.25">
      <c r="A1137" s="105" t="s">
        <v>28</v>
      </c>
      <c r="B1137" s="15">
        <v>26</v>
      </c>
      <c r="C1137" s="109" t="s">
        <v>1880</v>
      </c>
      <c r="D1137" s="406" t="s">
        <v>203</v>
      </c>
      <c r="E1137" s="370"/>
      <c r="F1137" s="371"/>
      <c r="G1137" s="107" t="s">
        <v>422</v>
      </c>
      <c r="H1137" s="385"/>
    </row>
    <row r="1138" spans="1:8" ht="15" customHeight="1" x14ac:dyDescent="0.25">
      <c r="A1138" s="105" t="s">
        <v>28</v>
      </c>
      <c r="B1138" s="15">
        <v>27</v>
      </c>
      <c r="C1138" s="109" t="s">
        <v>1881</v>
      </c>
      <c r="D1138" s="406" t="s">
        <v>203</v>
      </c>
      <c r="E1138" s="370"/>
      <c r="F1138" s="371"/>
      <c r="G1138" s="107" t="s">
        <v>279</v>
      </c>
      <c r="H1138" s="385"/>
    </row>
    <row r="1139" spans="1:8" ht="15" customHeight="1" x14ac:dyDescent="0.25">
      <c r="A1139" s="105" t="s">
        <v>28</v>
      </c>
      <c r="B1139" s="15">
        <v>28</v>
      </c>
      <c r="C1139" s="109" t="s">
        <v>1882</v>
      </c>
      <c r="D1139" s="406" t="s">
        <v>208</v>
      </c>
      <c r="E1139" s="370"/>
      <c r="F1139" s="371"/>
      <c r="G1139" s="107"/>
      <c r="H1139" s="385"/>
    </row>
    <row r="1140" spans="1:8" ht="15" customHeight="1" x14ac:dyDescent="0.25">
      <c r="A1140" s="105" t="s">
        <v>28</v>
      </c>
      <c r="B1140" s="15">
        <v>29</v>
      </c>
      <c r="C1140" s="109" t="s">
        <v>1883</v>
      </c>
      <c r="D1140" s="406" t="s">
        <v>208</v>
      </c>
      <c r="E1140" s="370"/>
      <c r="F1140" s="371"/>
      <c r="G1140" s="107"/>
      <c r="H1140" s="385"/>
    </row>
    <row r="1141" spans="1:8" ht="15.75" customHeight="1" x14ac:dyDescent="0.25">
      <c r="A1141" s="105" t="s">
        <v>28</v>
      </c>
      <c r="B1141" s="15">
        <v>30</v>
      </c>
      <c r="C1141" s="109" t="s">
        <v>1884</v>
      </c>
      <c r="D1141" s="406" t="s">
        <v>203</v>
      </c>
      <c r="E1141" s="370"/>
      <c r="F1141" s="371"/>
      <c r="G1141" s="107" t="s">
        <v>1885</v>
      </c>
      <c r="H1141" s="385"/>
    </row>
    <row r="1142" spans="1:8" ht="15" customHeight="1" x14ac:dyDescent="0.25">
      <c r="A1142" s="105" t="s">
        <v>28</v>
      </c>
      <c r="B1142" s="15">
        <v>31</v>
      </c>
      <c r="C1142" s="109" t="s">
        <v>1886</v>
      </c>
      <c r="D1142" s="406" t="s">
        <v>208</v>
      </c>
      <c r="E1142" s="370"/>
      <c r="F1142" s="371"/>
      <c r="G1142" s="16"/>
      <c r="H1142" s="385"/>
    </row>
    <row r="1143" spans="1:8" ht="15" customHeight="1" x14ac:dyDescent="0.25">
      <c r="A1143" s="105" t="s">
        <v>28</v>
      </c>
      <c r="B1143" s="15">
        <v>32</v>
      </c>
      <c r="C1143" s="109" t="s">
        <v>1887</v>
      </c>
      <c r="D1143" s="406" t="s">
        <v>208</v>
      </c>
      <c r="E1143" s="370"/>
      <c r="F1143" s="371"/>
      <c r="G1143" s="16"/>
      <c r="H1143" s="385"/>
    </row>
    <row r="1144" spans="1:8" ht="15" customHeight="1" x14ac:dyDescent="0.25">
      <c r="A1144" s="105" t="s">
        <v>28</v>
      </c>
      <c r="B1144" s="15">
        <v>33</v>
      </c>
      <c r="C1144" s="109" t="s">
        <v>1888</v>
      </c>
      <c r="D1144" s="406" t="s">
        <v>208</v>
      </c>
      <c r="E1144" s="370"/>
      <c r="F1144" s="371"/>
      <c r="G1144" s="16"/>
      <c r="H1144" s="385"/>
    </row>
    <row r="1145" spans="1:8" ht="15" customHeight="1" x14ac:dyDescent="0.25">
      <c r="A1145" s="105" t="s">
        <v>28</v>
      </c>
      <c r="B1145" s="15">
        <v>34</v>
      </c>
      <c r="C1145" s="109" t="s">
        <v>1889</v>
      </c>
      <c r="D1145" s="406" t="s">
        <v>208</v>
      </c>
      <c r="E1145" s="370"/>
      <c r="F1145" s="371"/>
      <c r="G1145" s="16"/>
      <c r="H1145" s="385"/>
    </row>
    <row r="1146" spans="1:8" ht="15" customHeight="1" x14ac:dyDescent="0.25">
      <c r="A1146" s="105" t="s">
        <v>28</v>
      </c>
      <c r="B1146" s="15">
        <v>35</v>
      </c>
      <c r="C1146" s="109" t="s">
        <v>1890</v>
      </c>
      <c r="D1146" s="406" t="s">
        <v>208</v>
      </c>
      <c r="E1146" s="370"/>
      <c r="F1146" s="371"/>
      <c r="G1146" s="16"/>
      <c r="H1146" s="385"/>
    </row>
    <row r="1147" spans="1:8" ht="15" customHeight="1" x14ac:dyDescent="0.25">
      <c r="A1147" s="108" t="s">
        <v>1891</v>
      </c>
      <c r="B1147" s="15">
        <v>36</v>
      </c>
      <c r="C1147" s="109" t="s">
        <v>1892</v>
      </c>
      <c r="D1147" s="406" t="s">
        <v>203</v>
      </c>
      <c r="E1147" s="370"/>
      <c r="F1147" s="371"/>
      <c r="G1147" s="113" t="s">
        <v>1893</v>
      </c>
      <c r="H1147" s="385"/>
    </row>
    <row r="1148" spans="1:8" ht="15" customHeight="1" x14ac:dyDescent="0.25">
      <c r="A1148" s="108" t="s">
        <v>1891</v>
      </c>
      <c r="B1148" s="15">
        <v>37</v>
      </c>
      <c r="C1148" s="109" t="s">
        <v>1894</v>
      </c>
      <c r="D1148" s="406" t="s">
        <v>203</v>
      </c>
      <c r="E1148" s="370"/>
      <c r="F1148" s="371"/>
      <c r="G1148" s="113" t="s">
        <v>1895</v>
      </c>
      <c r="H1148" s="385"/>
    </row>
    <row r="1149" spans="1:8" ht="15" customHeight="1" x14ac:dyDescent="0.25">
      <c r="A1149" s="108" t="s">
        <v>1891</v>
      </c>
      <c r="B1149" s="15">
        <v>38</v>
      </c>
      <c r="C1149" s="109" t="s">
        <v>1896</v>
      </c>
      <c r="D1149" s="406" t="s">
        <v>203</v>
      </c>
      <c r="E1149" s="370"/>
      <c r="F1149" s="371"/>
      <c r="G1149" s="113" t="s">
        <v>1897</v>
      </c>
      <c r="H1149" s="385"/>
    </row>
    <row r="1150" spans="1:8" ht="15" customHeight="1" x14ac:dyDescent="0.25">
      <c r="A1150" s="108" t="s">
        <v>1891</v>
      </c>
      <c r="B1150" s="15">
        <v>39</v>
      </c>
      <c r="C1150" s="109" t="s">
        <v>1898</v>
      </c>
      <c r="D1150" s="406" t="s">
        <v>208</v>
      </c>
      <c r="E1150" s="370"/>
      <c r="F1150" s="371"/>
      <c r="G1150" s="113"/>
      <c r="H1150" s="385"/>
    </row>
    <row r="1151" spans="1:8" ht="15" customHeight="1" x14ac:dyDescent="0.25">
      <c r="A1151" s="108" t="s">
        <v>1891</v>
      </c>
      <c r="B1151" s="15">
        <v>40</v>
      </c>
      <c r="C1151" s="109" t="s">
        <v>1899</v>
      </c>
      <c r="D1151" s="406" t="s">
        <v>203</v>
      </c>
      <c r="E1151" s="370"/>
      <c r="F1151" s="371"/>
      <c r="G1151" s="113" t="s">
        <v>1730</v>
      </c>
      <c r="H1151" s="385"/>
    </row>
    <row r="1152" spans="1:8" ht="15" customHeight="1" x14ac:dyDescent="0.25">
      <c r="A1152" s="108" t="s">
        <v>1891</v>
      </c>
      <c r="B1152" s="15">
        <v>41</v>
      </c>
      <c r="C1152" s="109" t="s">
        <v>1900</v>
      </c>
      <c r="D1152" s="406" t="s">
        <v>203</v>
      </c>
      <c r="E1152" s="370"/>
      <c r="F1152" s="371"/>
      <c r="G1152" s="113" t="s">
        <v>1901</v>
      </c>
      <c r="H1152" s="385"/>
    </row>
    <row r="1153" spans="1:8" ht="15" customHeight="1" x14ac:dyDescent="0.25">
      <c r="A1153" s="108" t="s">
        <v>1891</v>
      </c>
      <c r="B1153" s="15">
        <v>42</v>
      </c>
      <c r="C1153" s="109" t="s">
        <v>1902</v>
      </c>
      <c r="D1153" s="406" t="s">
        <v>203</v>
      </c>
      <c r="E1153" s="370"/>
      <c r="F1153" s="371"/>
      <c r="G1153" s="113" t="s">
        <v>1903</v>
      </c>
      <c r="H1153" s="385"/>
    </row>
    <row r="1154" spans="1:8" ht="15" customHeight="1" x14ac:dyDescent="0.25">
      <c r="A1154" s="108" t="s">
        <v>1891</v>
      </c>
      <c r="B1154" s="15">
        <v>43</v>
      </c>
      <c r="C1154" s="109" t="s">
        <v>1904</v>
      </c>
      <c r="D1154" s="406" t="s">
        <v>247</v>
      </c>
      <c r="E1154" s="370"/>
      <c r="F1154" s="371"/>
      <c r="G1154" s="113"/>
      <c r="H1154" s="385"/>
    </row>
    <row r="1155" spans="1:8" ht="15" customHeight="1" x14ac:dyDescent="0.25">
      <c r="A1155" s="108" t="s">
        <v>1891</v>
      </c>
      <c r="B1155" s="15">
        <v>44</v>
      </c>
      <c r="C1155" s="109" t="s">
        <v>1905</v>
      </c>
      <c r="D1155" s="406" t="s">
        <v>203</v>
      </c>
      <c r="E1155" s="370"/>
      <c r="F1155" s="371"/>
      <c r="G1155" s="113" t="s">
        <v>1906</v>
      </c>
      <c r="H1155" s="385"/>
    </row>
    <row r="1156" spans="1:8" ht="15" customHeight="1" x14ac:dyDescent="0.25">
      <c r="A1156" s="108" t="s">
        <v>1891</v>
      </c>
      <c r="B1156" s="15">
        <v>45</v>
      </c>
      <c r="C1156" s="109" t="s">
        <v>1907</v>
      </c>
      <c r="D1156" s="406" t="s">
        <v>203</v>
      </c>
      <c r="E1156" s="370"/>
      <c r="F1156" s="371"/>
      <c r="G1156" s="113" t="s">
        <v>1908</v>
      </c>
      <c r="H1156" s="385"/>
    </row>
    <row r="1157" spans="1:8" ht="15" customHeight="1" x14ac:dyDescent="0.25">
      <c r="A1157" s="108" t="s">
        <v>1891</v>
      </c>
      <c r="B1157" s="15">
        <v>46</v>
      </c>
      <c r="C1157" s="109" t="s">
        <v>1909</v>
      </c>
      <c r="D1157" s="406" t="s">
        <v>203</v>
      </c>
      <c r="E1157" s="370"/>
      <c r="F1157" s="371"/>
      <c r="G1157" s="113" t="s">
        <v>1910</v>
      </c>
      <c r="H1157" s="385"/>
    </row>
    <row r="1158" spans="1:8" ht="15" customHeight="1" x14ac:dyDescent="0.25">
      <c r="A1158" s="108" t="s">
        <v>1891</v>
      </c>
      <c r="B1158" s="15">
        <v>47</v>
      </c>
      <c r="C1158" s="109" t="s">
        <v>1911</v>
      </c>
      <c r="D1158" s="406" t="s">
        <v>208</v>
      </c>
      <c r="E1158" s="370"/>
      <c r="F1158" s="371"/>
      <c r="G1158" s="113"/>
      <c r="H1158" s="385"/>
    </row>
    <row r="1159" spans="1:8" ht="15" customHeight="1" x14ac:dyDescent="0.25">
      <c r="A1159" s="108" t="s">
        <v>1891</v>
      </c>
      <c r="B1159" s="15">
        <v>48</v>
      </c>
      <c r="C1159" s="109" t="s">
        <v>1912</v>
      </c>
      <c r="D1159" s="406" t="s">
        <v>208</v>
      </c>
      <c r="E1159" s="370"/>
      <c r="F1159" s="371"/>
      <c r="G1159" s="113"/>
      <c r="H1159" s="385"/>
    </row>
    <row r="1160" spans="1:8" ht="15.75" customHeight="1" x14ac:dyDescent="0.25">
      <c r="A1160" s="108" t="s">
        <v>1891</v>
      </c>
      <c r="B1160" s="15">
        <v>49</v>
      </c>
      <c r="C1160" s="109" t="s">
        <v>1913</v>
      </c>
      <c r="D1160" s="406" t="s">
        <v>203</v>
      </c>
      <c r="E1160" s="370"/>
      <c r="F1160" s="371"/>
      <c r="G1160" s="120" t="s">
        <v>1914</v>
      </c>
      <c r="H1160" s="385"/>
    </row>
    <row r="1161" spans="1:8" ht="15" customHeight="1" x14ac:dyDescent="0.25">
      <c r="A1161" s="108" t="s">
        <v>1891</v>
      </c>
      <c r="B1161" s="15">
        <v>50</v>
      </c>
      <c r="C1161" s="109" t="s">
        <v>1915</v>
      </c>
      <c r="D1161" s="406" t="s">
        <v>203</v>
      </c>
      <c r="E1161" s="370"/>
      <c r="F1161" s="371"/>
      <c r="G1161" s="113" t="s">
        <v>1916</v>
      </c>
      <c r="H1161" s="385"/>
    </row>
    <row r="1162" spans="1:8" ht="15" customHeight="1" x14ac:dyDescent="0.25">
      <c r="A1162" s="108" t="s">
        <v>1891</v>
      </c>
      <c r="B1162" s="15">
        <v>51</v>
      </c>
      <c r="C1162" s="109" t="s">
        <v>1917</v>
      </c>
      <c r="D1162" s="406" t="s">
        <v>203</v>
      </c>
      <c r="E1162" s="370"/>
      <c r="F1162" s="371"/>
      <c r="G1162" s="113" t="s">
        <v>1918</v>
      </c>
      <c r="H1162" s="385"/>
    </row>
    <row r="1163" spans="1:8" ht="15" customHeight="1" x14ac:dyDescent="0.25">
      <c r="A1163" s="108" t="s">
        <v>1891</v>
      </c>
      <c r="B1163" s="15">
        <v>52</v>
      </c>
      <c r="C1163" s="109" t="s">
        <v>1919</v>
      </c>
      <c r="D1163" s="406" t="s">
        <v>208</v>
      </c>
      <c r="E1163" s="370"/>
      <c r="F1163" s="371"/>
      <c r="G1163" s="113"/>
      <c r="H1163" s="385"/>
    </row>
    <row r="1164" spans="1:8" ht="15" customHeight="1" x14ac:dyDescent="0.25">
      <c r="A1164" s="108" t="s">
        <v>1891</v>
      </c>
      <c r="B1164" s="15">
        <v>53</v>
      </c>
      <c r="C1164" s="109" t="s">
        <v>1920</v>
      </c>
      <c r="D1164" s="406" t="s">
        <v>203</v>
      </c>
      <c r="E1164" s="370"/>
      <c r="F1164" s="371"/>
      <c r="G1164" s="113" t="s">
        <v>1921</v>
      </c>
      <c r="H1164" s="385"/>
    </row>
    <row r="1165" spans="1:8" ht="15" customHeight="1" x14ac:dyDescent="0.25">
      <c r="A1165" s="108" t="s">
        <v>1891</v>
      </c>
      <c r="B1165" s="15">
        <v>54</v>
      </c>
      <c r="C1165" s="109" t="s">
        <v>1922</v>
      </c>
      <c r="D1165" s="406" t="s">
        <v>203</v>
      </c>
      <c r="E1165" s="370"/>
      <c r="F1165" s="371"/>
      <c r="G1165" s="113" t="s">
        <v>1923</v>
      </c>
      <c r="H1165" s="385"/>
    </row>
    <row r="1166" spans="1:8" ht="15" customHeight="1" x14ac:dyDescent="0.25">
      <c r="A1166" s="108" t="s">
        <v>1891</v>
      </c>
      <c r="B1166" s="15">
        <v>55</v>
      </c>
      <c r="C1166" s="109" t="s">
        <v>1924</v>
      </c>
      <c r="D1166" s="406" t="s">
        <v>203</v>
      </c>
      <c r="E1166" s="370"/>
      <c r="F1166" s="371"/>
      <c r="G1166" s="113" t="s">
        <v>1925</v>
      </c>
      <c r="H1166" s="385"/>
    </row>
    <row r="1167" spans="1:8" ht="15" customHeight="1" x14ac:dyDescent="0.25">
      <c r="A1167" s="108" t="s">
        <v>1891</v>
      </c>
      <c r="B1167" s="15">
        <v>56</v>
      </c>
      <c r="C1167" s="109" t="s">
        <v>1926</v>
      </c>
      <c r="D1167" s="406" t="s">
        <v>203</v>
      </c>
      <c r="E1167" s="370"/>
      <c r="F1167" s="371"/>
      <c r="G1167" s="113" t="s">
        <v>1927</v>
      </c>
      <c r="H1167" s="385"/>
    </row>
    <row r="1168" spans="1:8" ht="15" customHeight="1" x14ac:dyDescent="0.25">
      <c r="A1168" s="108" t="s">
        <v>1891</v>
      </c>
      <c r="B1168" s="15">
        <v>57</v>
      </c>
      <c r="C1168" s="109" t="s">
        <v>1928</v>
      </c>
      <c r="D1168" s="406" t="s">
        <v>208</v>
      </c>
      <c r="E1168" s="370"/>
      <c r="F1168" s="371"/>
      <c r="G1168" s="113"/>
      <c r="H1168" s="385"/>
    </row>
    <row r="1169" spans="1:8" ht="15" customHeight="1" x14ac:dyDescent="0.25">
      <c r="A1169" s="108" t="s">
        <v>1891</v>
      </c>
      <c r="B1169" s="15">
        <v>58</v>
      </c>
      <c r="C1169" s="109" t="s">
        <v>1929</v>
      </c>
      <c r="D1169" s="406" t="s">
        <v>203</v>
      </c>
      <c r="E1169" s="370"/>
      <c r="F1169" s="371"/>
      <c r="G1169" s="113" t="s">
        <v>1075</v>
      </c>
      <c r="H1169" s="385"/>
    </row>
    <row r="1170" spans="1:8" ht="15" customHeight="1" x14ac:dyDescent="0.25">
      <c r="A1170" s="108" t="s">
        <v>1891</v>
      </c>
      <c r="B1170" s="15">
        <v>59</v>
      </c>
      <c r="C1170" s="109" t="s">
        <v>1930</v>
      </c>
      <c r="D1170" s="406" t="s">
        <v>203</v>
      </c>
      <c r="E1170" s="370"/>
      <c r="F1170" s="371"/>
      <c r="G1170" s="117" t="s">
        <v>1931</v>
      </c>
      <c r="H1170" s="385"/>
    </row>
    <row r="1171" spans="1:8" ht="15.75" customHeight="1" x14ac:dyDescent="0.25">
      <c r="A1171" s="108" t="s">
        <v>1891</v>
      </c>
      <c r="B1171" s="15">
        <v>60</v>
      </c>
      <c r="C1171" s="109" t="s">
        <v>1932</v>
      </c>
      <c r="D1171" s="406" t="s">
        <v>203</v>
      </c>
      <c r="E1171" s="370"/>
      <c r="F1171" s="371"/>
      <c r="G1171" s="113" t="s">
        <v>1933</v>
      </c>
      <c r="H1171" s="385"/>
    </row>
    <row r="1172" spans="1:8" ht="15" customHeight="1" x14ac:dyDescent="0.25">
      <c r="A1172" s="108" t="s">
        <v>1891</v>
      </c>
      <c r="B1172" s="15">
        <v>61</v>
      </c>
      <c r="C1172" s="109" t="s">
        <v>1934</v>
      </c>
      <c r="D1172" s="406" t="s">
        <v>203</v>
      </c>
      <c r="E1172" s="370"/>
      <c r="F1172" s="371"/>
      <c r="G1172" s="117" t="s">
        <v>1451</v>
      </c>
      <c r="H1172" s="385"/>
    </row>
    <row r="1173" spans="1:8" ht="15" customHeight="1" x14ac:dyDescent="0.25">
      <c r="A1173" s="108" t="s">
        <v>1891</v>
      </c>
      <c r="B1173" s="15">
        <v>62</v>
      </c>
      <c r="C1173" s="109" t="s">
        <v>1935</v>
      </c>
      <c r="D1173" s="406" t="s">
        <v>208</v>
      </c>
      <c r="E1173" s="370"/>
      <c r="F1173" s="371"/>
      <c r="G1173" s="113"/>
      <c r="H1173" s="385"/>
    </row>
    <row r="1174" spans="1:8" ht="15" customHeight="1" x14ac:dyDescent="0.25">
      <c r="A1174" s="108" t="s">
        <v>1891</v>
      </c>
      <c r="B1174" s="15">
        <v>63</v>
      </c>
      <c r="C1174" s="109" t="s">
        <v>1936</v>
      </c>
      <c r="D1174" s="406" t="s">
        <v>203</v>
      </c>
      <c r="E1174" s="370"/>
      <c r="F1174" s="371"/>
      <c r="G1174" s="113" t="s">
        <v>1937</v>
      </c>
      <c r="H1174" s="385"/>
    </row>
    <row r="1175" spans="1:8" ht="15" customHeight="1" x14ac:dyDescent="0.25">
      <c r="A1175" s="108" t="s">
        <v>1891</v>
      </c>
      <c r="B1175" s="15">
        <v>64</v>
      </c>
      <c r="C1175" s="109" t="s">
        <v>1938</v>
      </c>
      <c r="D1175" s="406" t="s">
        <v>203</v>
      </c>
      <c r="E1175" s="370"/>
      <c r="F1175" s="371"/>
      <c r="G1175" s="113" t="s">
        <v>1939</v>
      </c>
      <c r="H1175" s="385"/>
    </row>
    <row r="1176" spans="1:8" ht="15" customHeight="1" x14ac:dyDescent="0.25">
      <c r="A1176" s="108" t="s">
        <v>1891</v>
      </c>
      <c r="B1176" s="15">
        <v>65</v>
      </c>
      <c r="C1176" s="109" t="s">
        <v>1940</v>
      </c>
      <c r="D1176" s="406" t="s">
        <v>203</v>
      </c>
      <c r="E1176" s="370"/>
      <c r="F1176" s="371"/>
      <c r="G1176" s="113" t="s">
        <v>1941</v>
      </c>
      <c r="H1176" s="385"/>
    </row>
    <row r="1177" spans="1:8" ht="15" customHeight="1" x14ac:dyDescent="0.25">
      <c r="A1177" s="108" t="s">
        <v>1891</v>
      </c>
      <c r="B1177" s="15">
        <v>66</v>
      </c>
      <c r="C1177" s="109" t="s">
        <v>1942</v>
      </c>
      <c r="D1177" s="406" t="s">
        <v>203</v>
      </c>
      <c r="E1177" s="370"/>
      <c r="F1177" s="371"/>
      <c r="G1177" s="113" t="s">
        <v>1943</v>
      </c>
      <c r="H1177" s="385"/>
    </row>
    <row r="1178" spans="1:8" ht="15" customHeight="1" x14ac:dyDescent="0.25">
      <c r="A1178" s="108" t="s">
        <v>1891</v>
      </c>
      <c r="B1178" s="15">
        <v>67</v>
      </c>
      <c r="C1178" s="109" t="s">
        <v>1944</v>
      </c>
      <c r="D1178" s="406" t="s">
        <v>203</v>
      </c>
      <c r="E1178" s="370"/>
      <c r="F1178" s="371"/>
      <c r="G1178" s="113" t="s">
        <v>1945</v>
      </c>
      <c r="H1178" s="385"/>
    </row>
    <row r="1179" spans="1:8" ht="15" customHeight="1" x14ac:dyDescent="0.25">
      <c r="A1179" s="108" t="s">
        <v>1891</v>
      </c>
      <c r="B1179" s="15">
        <v>68</v>
      </c>
      <c r="C1179" s="109" t="s">
        <v>1946</v>
      </c>
      <c r="D1179" s="406" t="s">
        <v>203</v>
      </c>
      <c r="E1179" s="370"/>
      <c r="F1179" s="371"/>
      <c r="G1179" s="113" t="s">
        <v>1947</v>
      </c>
      <c r="H1179" s="385"/>
    </row>
    <row r="1180" spans="1:8" ht="15" customHeight="1" x14ac:dyDescent="0.25">
      <c r="A1180" s="108" t="s">
        <v>1891</v>
      </c>
      <c r="B1180" s="15">
        <v>69</v>
      </c>
      <c r="C1180" s="109" t="s">
        <v>1948</v>
      </c>
      <c r="D1180" s="406" t="s">
        <v>203</v>
      </c>
      <c r="E1180" s="370"/>
      <c r="F1180" s="371"/>
      <c r="G1180" s="113" t="s">
        <v>1949</v>
      </c>
      <c r="H1180" s="385"/>
    </row>
    <row r="1181" spans="1:8" ht="15" customHeight="1" x14ac:dyDescent="0.25">
      <c r="A1181" s="108" t="s">
        <v>1891</v>
      </c>
      <c r="B1181" s="15">
        <v>70</v>
      </c>
      <c r="C1181" s="109" t="s">
        <v>1950</v>
      </c>
      <c r="D1181" s="406" t="s">
        <v>203</v>
      </c>
      <c r="E1181" s="370"/>
      <c r="F1181" s="371"/>
      <c r="G1181" s="113" t="s">
        <v>1951</v>
      </c>
      <c r="H1181" s="385"/>
    </row>
    <row r="1182" spans="1:8" ht="15.75" customHeight="1" x14ac:dyDescent="0.25">
      <c r="A1182" s="126" t="s">
        <v>1952</v>
      </c>
      <c r="B1182" s="15">
        <v>71</v>
      </c>
      <c r="C1182" s="106" t="s">
        <v>1953</v>
      </c>
      <c r="D1182" s="406" t="s">
        <v>203</v>
      </c>
      <c r="E1182" s="370"/>
      <c r="F1182" s="371"/>
      <c r="G1182" s="116" t="s">
        <v>1954</v>
      </c>
      <c r="H1182" s="385"/>
    </row>
    <row r="1183" spans="1:8" ht="15" customHeight="1" x14ac:dyDescent="0.25">
      <c r="A1183" s="126" t="s">
        <v>1952</v>
      </c>
      <c r="B1183" s="15">
        <v>72</v>
      </c>
      <c r="C1183" s="109" t="s">
        <v>1955</v>
      </c>
      <c r="D1183" s="406" t="s">
        <v>208</v>
      </c>
      <c r="E1183" s="370"/>
      <c r="F1183" s="371"/>
      <c r="G1183" s="113"/>
      <c r="H1183" s="385"/>
    </row>
    <row r="1184" spans="1:8" ht="15" customHeight="1" x14ac:dyDescent="0.25">
      <c r="A1184" s="126" t="s">
        <v>1952</v>
      </c>
      <c r="B1184" s="15">
        <v>73</v>
      </c>
      <c r="C1184" s="109" t="s">
        <v>1956</v>
      </c>
      <c r="D1184" s="406" t="s">
        <v>203</v>
      </c>
      <c r="E1184" s="370"/>
      <c r="F1184" s="371"/>
      <c r="G1184" s="113" t="s">
        <v>1957</v>
      </c>
      <c r="H1184" s="385"/>
    </row>
    <row r="1185" spans="1:8" ht="15" customHeight="1" x14ac:dyDescent="0.25">
      <c r="A1185" s="126" t="s">
        <v>1952</v>
      </c>
      <c r="B1185" s="15">
        <v>74</v>
      </c>
      <c r="C1185" s="109" t="s">
        <v>1958</v>
      </c>
      <c r="D1185" s="406" t="s">
        <v>203</v>
      </c>
      <c r="E1185" s="370"/>
      <c r="F1185" s="371"/>
      <c r="G1185" s="113" t="s">
        <v>1959</v>
      </c>
      <c r="H1185" s="385"/>
    </row>
    <row r="1186" spans="1:8" ht="15.75" customHeight="1" x14ac:dyDescent="0.25">
      <c r="A1186" s="126" t="s">
        <v>1952</v>
      </c>
      <c r="B1186" s="15">
        <v>75</v>
      </c>
      <c r="C1186" s="109" t="s">
        <v>1960</v>
      </c>
      <c r="D1186" s="406" t="s">
        <v>208</v>
      </c>
      <c r="E1186" s="370"/>
      <c r="F1186" s="371"/>
      <c r="G1186" s="113" t="s">
        <v>1961</v>
      </c>
      <c r="H1186" s="385"/>
    </row>
    <row r="1187" spans="1:8" ht="15" customHeight="1" x14ac:dyDescent="0.25">
      <c r="A1187" s="126" t="s">
        <v>1952</v>
      </c>
      <c r="B1187" s="15">
        <v>76</v>
      </c>
      <c r="C1187" s="109" t="s">
        <v>1962</v>
      </c>
      <c r="D1187" s="406" t="s">
        <v>203</v>
      </c>
      <c r="E1187" s="370"/>
      <c r="F1187" s="371"/>
      <c r="G1187" s="113" t="s">
        <v>1963</v>
      </c>
      <c r="H1187" s="385"/>
    </row>
    <row r="1188" spans="1:8" ht="15" customHeight="1" x14ac:dyDescent="0.25">
      <c r="A1188" s="126" t="s">
        <v>1952</v>
      </c>
      <c r="B1188" s="15">
        <v>77</v>
      </c>
      <c r="C1188" s="109" t="s">
        <v>1964</v>
      </c>
      <c r="D1188" s="406" t="s">
        <v>203</v>
      </c>
      <c r="E1188" s="370"/>
      <c r="F1188" s="371"/>
      <c r="G1188" s="113" t="s">
        <v>1965</v>
      </c>
      <c r="H1188" s="385"/>
    </row>
    <row r="1189" spans="1:8" ht="15" customHeight="1" x14ac:dyDescent="0.25">
      <c r="A1189" s="126" t="s">
        <v>1952</v>
      </c>
      <c r="B1189" s="15">
        <v>78</v>
      </c>
      <c r="C1189" s="109" t="s">
        <v>1966</v>
      </c>
      <c r="D1189" s="406" t="s">
        <v>203</v>
      </c>
      <c r="E1189" s="370"/>
      <c r="F1189" s="371"/>
      <c r="G1189" s="113" t="s">
        <v>1075</v>
      </c>
      <c r="H1189" s="385"/>
    </row>
    <row r="1190" spans="1:8" ht="15" customHeight="1" x14ac:dyDescent="0.25">
      <c r="A1190" s="126" t="s">
        <v>1952</v>
      </c>
      <c r="B1190" s="15">
        <v>79</v>
      </c>
      <c r="C1190" s="109" t="s">
        <v>1967</v>
      </c>
      <c r="D1190" s="406" t="s">
        <v>203</v>
      </c>
      <c r="E1190" s="370"/>
      <c r="F1190" s="371"/>
      <c r="G1190" s="117" t="s">
        <v>1968</v>
      </c>
      <c r="H1190" s="385"/>
    </row>
    <row r="1191" spans="1:8" ht="15" customHeight="1" x14ac:dyDescent="0.25">
      <c r="A1191" s="126" t="s">
        <v>1952</v>
      </c>
      <c r="B1191" s="15">
        <v>80</v>
      </c>
      <c r="C1191" s="109" t="s">
        <v>1969</v>
      </c>
      <c r="D1191" s="406" t="s">
        <v>203</v>
      </c>
      <c r="E1191" s="370"/>
      <c r="F1191" s="371"/>
      <c r="G1191" s="113" t="s">
        <v>1970</v>
      </c>
      <c r="H1191" s="385"/>
    </row>
    <row r="1192" spans="1:8" ht="15" customHeight="1" x14ac:dyDescent="0.25">
      <c r="A1192" s="126" t="s">
        <v>1952</v>
      </c>
      <c r="B1192" s="15">
        <v>81</v>
      </c>
      <c r="C1192" s="109" t="s">
        <v>1971</v>
      </c>
      <c r="D1192" s="406" t="s">
        <v>203</v>
      </c>
      <c r="E1192" s="370"/>
      <c r="F1192" s="371"/>
      <c r="G1192" s="113" t="s">
        <v>1972</v>
      </c>
      <c r="H1192" s="385"/>
    </row>
    <row r="1193" spans="1:8" ht="15" customHeight="1" x14ac:dyDescent="0.25">
      <c r="A1193" s="126" t="s">
        <v>1952</v>
      </c>
      <c r="B1193" s="15">
        <v>82</v>
      </c>
      <c r="C1193" s="109" t="s">
        <v>1973</v>
      </c>
      <c r="D1193" s="406" t="s">
        <v>203</v>
      </c>
      <c r="E1193" s="370"/>
      <c r="F1193" s="371"/>
      <c r="G1193" s="113" t="s">
        <v>1974</v>
      </c>
      <c r="H1193" s="385"/>
    </row>
    <row r="1194" spans="1:8" ht="15" customHeight="1" x14ac:dyDescent="0.25">
      <c r="A1194" s="126" t="s">
        <v>1952</v>
      </c>
      <c r="B1194" s="15">
        <v>83</v>
      </c>
      <c r="C1194" s="109" t="s">
        <v>1975</v>
      </c>
      <c r="D1194" s="406" t="s">
        <v>203</v>
      </c>
      <c r="E1194" s="370"/>
      <c r="F1194" s="371"/>
      <c r="G1194" s="113" t="s">
        <v>1145</v>
      </c>
      <c r="H1194" s="385"/>
    </row>
    <row r="1195" spans="1:8" ht="15" customHeight="1" x14ac:dyDescent="0.25">
      <c r="A1195" s="126" t="s">
        <v>1952</v>
      </c>
      <c r="B1195" s="15">
        <v>84</v>
      </c>
      <c r="C1195" s="109" t="s">
        <v>1976</v>
      </c>
      <c r="D1195" s="406" t="s">
        <v>203</v>
      </c>
      <c r="E1195" s="370"/>
      <c r="F1195" s="371"/>
      <c r="G1195" s="113" t="s">
        <v>1145</v>
      </c>
      <c r="H1195" s="385"/>
    </row>
    <row r="1196" spans="1:8" ht="15" customHeight="1" x14ac:dyDescent="0.25">
      <c r="A1196" s="126" t="s">
        <v>1952</v>
      </c>
      <c r="B1196" s="15">
        <v>85</v>
      </c>
      <c r="C1196" s="109" t="s">
        <v>1977</v>
      </c>
      <c r="D1196" s="406" t="s">
        <v>203</v>
      </c>
      <c r="E1196" s="370"/>
      <c r="F1196" s="371"/>
      <c r="G1196" s="113" t="s">
        <v>1075</v>
      </c>
      <c r="H1196" s="385"/>
    </row>
    <row r="1197" spans="1:8" ht="15" customHeight="1" x14ac:dyDescent="0.25">
      <c r="A1197" s="126" t="s">
        <v>1952</v>
      </c>
      <c r="B1197" s="15">
        <v>86</v>
      </c>
      <c r="C1197" s="106" t="s">
        <v>1978</v>
      </c>
      <c r="D1197" s="406" t="s">
        <v>203</v>
      </c>
      <c r="E1197" s="370"/>
      <c r="F1197" s="371"/>
      <c r="G1197" s="116" t="s">
        <v>1979</v>
      </c>
      <c r="H1197" s="385"/>
    </row>
    <row r="1198" spans="1:8" ht="15.75" customHeight="1" x14ac:dyDescent="0.25">
      <c r="A1198" s="126" t="s">
        <v>34</v>
      </c>
      <c r="B1198" s="15">
        <v>87</v>
      </c>
      <c r="C1198" s="106" t="s">
        <v>1980</v>
      </c>
      <c r="D1198" s="406" t="s">
        <v>203</v>
      </c>
      <c r="E1198" s="370"/>
      <c r="F1198" s="371"/>
      <c r="G1198" s="116" t="s">
        <v>645</v>
      </c>
      <c r="H1198" s="385"/>
    </row>
    <row r="1199" spans="1:8" ht="15" customHeight="1" x14ac:dyDescent="0.25">
      <c r="A1199" s="126" t="s">
        <v>34</v>
      </c>
      <c r="B1199" s="15">
        <v>88</v>
      </c>
      <c r="C1199" s="109" t="s">
        <v>1981</v>
      </c>
      <c r="D1199" s="406" t="s">
        <v>203</v>
      </c>
      <c r="E1199" s="370"/>
      <c r="F1199" s="371"/>
      <c r="G1199" s="113" t="s">
        <v>1982</v>
      </c>
      <c r="H1199" s="385"/>
    </row>
    <row r="1200" spans="1:8" ht="15" customHeight="1" x14ac:dyDescent="0.25">
      <c r="A1200" s="126" t="s">
        <v>34</v>
      </c>
      <c r="B1200" s="15">
        <v>89</v>
      </c>
      <c r="C1200" s="109" t="s">
        <v>1983</v>
      </c>
      <c r="D1200" s="406" t="s">
        <v>208</v>
      </c>
      <c r="E1200" s="370"/>
      <c r="F1200" s="371"/>
      <c r="G1200" s="113"/>
      <c r="H1200" s="385"/>
    </row>
    <row r="1201" spans="1:8" ht="15" customHeight="1" x14ac:dyDescent="0.25">
      <c r="A1201" s="126" t="s">
        <v>34</v>
      </c>
      <c r="B1201" s="15">
        <v>90</v>
      </c>
      <c r="C1201" s="109" t="s">
        <v>1984</v>
      </c>
      <c r="D1201" s="406" t="s">
        <v>203</v>
      </c>
      <c r="E1201" s="370"/>
      <c r="F1201" s="371"/>
      <c r="G1201" s="113" t="s">
        <v>1985</v>
      </c>
      <c r="H1201" s="385"/>
    </row>
    <row r="1202" spans="1:8" ht="15" customHeight="1" x14ac:dyDescent="0.25">
      <c r="A1202" s="126" t="s">
        <v>34</v>
      </c>
      <c r="B1202" s="15">
        <v>91</v>
      </c>
      <c r="C1202" s="109" t="s">
        <v>1986</v>
      </c>
      <c r="D1202" s="406" t="s">
        <v>203</v>
      </c>
      <c r="E1202" s="370"/>
      <c r="F1202" s="371"/>
      <c r="G1202" s="113" t="s">
        <v>1987</v>
      </c>
      <c r="H1202" s="385"/>
    </row>
    <row r="1203" spans="1:8" ht="15" customHeight="1" x14ac:dyDescent="0.25">
      <c r="A1203" s="126" t="s">
        <v>34</v>
      </c>
      <c r="B1203" s="15">
        <v>92</v>
      </c>
      <c r="C1203" s="109" t="s">
        <v>1988</v>
      </c>
      <c r="D1203" s="406" t="s">
        <v>203</v>
      </c>
      <c r="E1203" s="370"/>
      <c r="F1203" s="371"/>
      <c r="G1203" s="113" t="s">
        <v>1989</v>
      </c>
      <c r="H1203" s="385"/>
    </row>
    <row r="1204" spans="1:8" ht="15" customHeight="1" x14ac:dyDescent="0.25">
      <c r="A1204" s="126" t="s">
        <v>34</v>
      </c>
      <c r="B1204" s="15">
        <v>93</v>
      </c>
      <c r="C1204" s="109" t="s">
        <v>1990</v>
      </c>
      <c r="D1204" s="406" t="s">
        <v>203</v>
      </c>
      <c r="E1204" s="370"/>
      <c r="F1204" s="371"/>
      <c r="G1204" s="113" t="s">
        <v>1991</v>
      </c>
      <c r="H1204" s="385"/>
    </row>
    <row r="1205" spans="1:8" ht="15" customHeight="1" x14ac:dyDescent="0.25">
      <c r="A1205" s="126" t="s">
        <v>34</v>
      </c>
      <c r="B1205" s="15">
        <v>94</v>
      </c>
      <c r="C1205" s="109" t="s">
        <v>1992</v>
      </c>
      <c r="D1205" s="406" t="s">
        <v>208</v>
      </c>
      <c r="E1205" s="370"/>
      <c r="F1205" s="371"/>
      <c r="G1205" s="113"/>
      <c r="H1205" s="385"/>
    </row>
    <row r="1206" spans="1:8" ht="15" customHeight="1" x14ac:dyDescent="0.25">
      <c r="A1206" s="126" t="s">
        <v>34</v>
      </c>
      <c r="B1206" s="15">
        <v>95</v>
      </c>
      <c r="C1206" s="109" t="s">
        <v>1993</v>
      </c>
      <c r="D1206" s="406" t="s">
        <v>203</v>
      </c>
      <c r="E1206" s="370"/>
      <c r="F1206" s="371"/>
      <c r="G1206" s="113" t="s">
        <v>1994</v>
      </c>
      <c r="H1206" s="385"/>
    </row>
    <row r="1207" spans="1:8" ht="15" customHeight="1" x14ac:dyDescent="0.25">
      <c r="A1207" s="126" t="s">
        <v>34</v>
      </c>
      <c r="B1207" s="15">
        <v>96</v>
      </c>
      <c r="C1207" s="109" t="s">
        <v>1995</v>
      </c>
      <c r="D1207" s="406" t="s">
        <v>208</v>
      </c>
      <c r="E1207" s="370"/>
      <c r="F1207" s="371"/>
      <c r="G1207" s="113"/>
      <c r="H1207" s="385"/>
    </row>
    <row r="1208" spans="1:8" ht="15" customHeight="1" x14ac:dyDescent="0.25">
      <c r="A1208" s="126" t="s">
        <v>34</v>
      </c>
      <c r="B1208" s="15">
        <v>97</v>
      </c>
      <c r="C1208" s="109" t="s">
        <v>1996</v>
      </c>
      <c r="D1208" s="406" t="s">
        <v>208</v>
      </c>
      <c r="E1208" s="370"/>
      <c r="F1208" s="371"/>
      <c r="G1208" s="113"/>
      <c r="H1208" s="385"/>
    </row>
    <row r="1209" spans="1:8" ht="15" customHeight="1" x14ac:dyDescent="0.25">
      <c r="A1209" s="126" t="s">
        <v>34</v>
      </c>
      <c r="B1209" s="15">
        <v>98</v>
      </c>
      <c r="C1209" s="109" t="s">
        <v>1997</v>
      </c>
      <c r="D1209" s="406" t="s">
        <v>208</v>
      </c>
      <c r="E1209" s="370"/>
      <c r="F1209" s="371"/>
      <c r="G1209" s="113"/>
      <c r="H1209" s="385"/>
    </row>
    <row r="1210" spans="1:8" ht="15" customHeight="1" x14ac:dyDescent="0.25">
      <c r="A1210" s="126" t="s">
        <v>34</v>
      </c>
      <c r="B1210" s="15">
        <v>99</v>
      </c>
      <c r="C1210" s="109" t="s">
        <v>1998</v>
      </c>
      <c r="D1210" s="406" t="s">
        <v>203</v>
      </c>
      <c r="E1210" s="370"/>
      <c r="F1210" s="371"/>
      <c r="G1210" s="113" t="s">
        <v>1999</v>
      </c>
      <c r="H1210" s="385"/>
    </row>
    <row r="1211" spans="1:8" ht="15" customHeight="1" x14ac:dyDescent="0.25">
      <c r="A1211" s="126" t="s">
        <v>34</v>
      </c>
      <c r="B1211" s="15">
        <v>100</v>
      </c>
      <c r="C1211" s="109" t="s">
        <v>2000</v>
      </c>
      <c r="D1211" s="406" t="s">
        <v>203</v>
      </c>
      <c r="E1211" s="370"/>
      <c r="F1211" s="371"/>
      <c r="G1211" s="113" t="s">
        <v>2001</v>
      </c>
      <c r="H1211" s="385"/>
    </row>
    <row r="1212" spans="1:8" ht="15" customHeight="1" x14ac:dyDescent="0.25">
      <c r="A1212" s="126" t="s">
        <v>34</v>
      </c>
      <c r="B1212" s="15">
        <v>101</v>
      </c>
      <c r="C1212" s="109" t="s">
        <v>2002</v>
      </c>
      <c r="D1212" s="406" t="s">
        <v>247</v>
      </c>
      <c r="E1212" s="370"/>
      <c r="F1212" s="371"/>
      <c r="G1212" s="113"/>
      <c r="H1212" s="385"/>
    </row>
    <row r="1213" spans="1:8" ht="15" customHeight="1" x14ac:dyDescent="0.25">
      <c r="A1213" s="126" t="s">
        <v>34</v>
      </c>
      <c r="B1213" s="15">
        <v>102</v>
      </c>
      <c r="C1213" s="109" t="s">
        <v>2003</v>
      </c>
      <c r="D1213" s="406" t="s">
        <v>203</v>
      </c>
      <c r="E1213" s="370"/>
      <c r="F1213" s="371"/>
      <c r="G1213" s="113" t="s">
        <v>2004</v>
      </c>
      <c r="H1213" s="385"/>
    </row>
    <row r="1214" spans="1:8" ht="15" customHeight="1" x14ac:dyDescent="0.25">
      <c r="A1214" s="126" t="s">
        <v>34</v>
      </c>
      <c r="B1214" s="15">
        <v>103</v>
      </c>
      <c r="C1214" s="109" t="s">
        <v>2005</v>
      </c>
      <c r="D1214" s="406" t="s">
        <v>203</v>
      </c>
      <c r="E1214" s="370"/>
      <c r="F1214" s="371"/>
      <c r="G1214" s="113" t="s">
        <v>2006</v>
      </c>
      <c r="H1214" s="385"/>
    </row>
    <row r="1215" spans="1:8" ht="15" customHeight="1" x14ac:dyDescent="0.25">
      <c r="A1215" s="126" t="s">
        <v>34</v>
      </c>
      <c r="B1215" s="15">
        <v>104</v>
      </c>
      <c r="C1215" s="109" t="s">
        <v>2007</v>
      </c>
      <c r="D1215" s="406" t="s">
        <v>203</v>
      </c>
      <c r="E1215" s="370"/>
      <c r="F1215" s="371"/>
      <c r="G1215" s="113" t="s">
        <v>2008</v>
      </c>
      <c r="H1215" s="385"/>
    </row>
    <row r="1216" spans="1:8" ht="15" customHeight="1" x14ac:dyDescent="0.25">
      <c r="A1216" s="126" t="s">
        <v>34</v>
      </c>
      <c r="B1216" s="15">
        <v>105</v>
      </c>
      <c r="C1216" s="109" t="s">
        <v>2009</v>
      </c>
      <c r="D1216" s="406" t="s">
        <v>203</v>
      </c>
      <c r="E1216" s="370"/>
      <c r="F1216" s="371"/>
      <c r="G1216" s="113" t="s">
        <v>2010</v>
      </c>
      <c r="H1216" s="385"/>
    </row>
    <row r="1217" spans="1:8" ht="15" customHeight="1" x14ac:dyDescent="0.25">
      <c r="A1217" s="126" t="s">
        <v>34</v>
      </c>
      <c r="B1217" s="15">
        <v>106</v>
      </c>
      <c r="C1217" s="109" t="s">
        <v>2011</v>
      </c>
      <c r="D1217" s="406" t="s">
        <v>247</v>
      </c>
      <c r="E1217" s="370"/>
      <c r="F1217" s="371"/>
      <c r="G1217" s="113"/>
      <c r="H1217" s="385"/>
    </row>
    <row r="1218" spans="1:8" ht="15" customHeight="1" x14ac:dyDescent="0.25">
      <c r="A1218" s="126" t="s">
        <v>34</v>
      </c>
      <c r="B1218" s="15">
        <v>107</v>
      </c>
      <c r="C1218" s="109" t="s">
        <v>2012</v>
      </c>
      <c r="D1218" s="406" t="s">
        <v>203</v>
      </c>
      <c r="E1218" s="370"/>
      <c r="F1218" s="371"/>
      <c r="G1218" s="113" t="s">
        <v>2013</v>
      </c>
      <c r="H1218" s="385"/>
    </row>
    <row r="1219" spans="1:8" ht="15" customHeight="1" x14ac:dyDescent="0.25">
      <c r="A1219" s="126" t="s">
        <v>34</v>
      </c>
      <c r="B1219" s="15">
        <v>108</v>
      </c>
      <c r="C1219" s="109" t="s">
        <v>2014</v>
      </c>
      <c r="D1219" s="406" t="s">
        <v>203</v>
      </c>
      <c r="E1219" s="370"/>
      <c r="F1219" s="371"/>
      <c r="G1219" s="113" t="s">
        <v>2015</v>
      </c>
      <c r="H1219" s="385"/>
    </row>
    <row r="1220" spans="1:8" ht="15" customHeight="1" x14ac:dyDescent="0.25">
      <c r="A1220" s="126" t="s">
        <v>34</v>
      </c>
      <c r="B1220" s="15">
        <v>109</v>
      </c>
      <c r="C1220" s="109" t="s">
        <v>2016</v>
      </c>
      <c r="D1220" s="406" t="s">
        <v>203</v>
      </c>
      <c r="E1220" s="370"/>
      <c r="F1220" s="371"/>
      <c r="G1220" s="113" t="s">
        <v>2017</v>
      </c>
      <c r="H1220" s="385"/>
    </row>
    <row r="1221" spans="1:8" ht="15" customHeight="1" x14ac:dyDescent="0.25">
      <c r="A1221" s="126" t="s">
        <v>34</v>
      </c>
      <c r="B1221" s="15">
        <v>110</v>
      </c>
      <c r="C1221" s="109" t="s">
        <v>2018</v>
      </c>
      <c r="D1221" s="406" t="s">
        <v>208</v>
      </c>
      <c r="E1221" s="370"/>
      <c r="F1221" s="371"/>
      <c r="G1221" s="113"/>
      <c r="H1221" s="385"/>
    </row>
    <row r="1222" spans="1:8" ht="15" customHeight="1" x14ac:dyDescent="0.25">
      <c r="A1222" s="126" t="s">
        <v>34</v>
      </c>
      <c r="B1222" s="15">
        <v>111</v>
      </c>
      <c r="C1222" s="109" t="s">
        <v>2019</v>
      </c>
      <c r="D1222" s="406" t="s">
        <v>203</v>
      </c>
      <c r="E1222" s="370"/>
      <c r="F1222" s="371"/>
      <c r="G1222" s="113" t="s">
        <v>2020</v>
      </c>
      <c r="H1222" s="385"/>
    </row>
    <row r="1223" spans="1:8" ht="15" customHeight="1" x14ac:dyDescent="0.25">
      <c r="A1223" s="126" t="s">
        <v>34</v>
      </c>
      <c r="B1223" s="15">
        <v>112</v>
      </c>
      <c r="C1223" s="109" t="s">
        <v>2021</v>
      </c>
      <c r="D1223" s="406" t="s">
        <v>208</v>
      </c>
      <c r="E1223" s="370"/>
      <c r="F1223" s="371"/>
      <c r="G1223" s="113"/>
      <c r="H1223" s="385"/>
    </row>
    <row r="1224" spans="1:8" ht="15" customHeight="1" x14ac:dyDescent="0.25">
      <c r="A1224" s="126" t="s">
        <v>34</v>
      </c>
      <c r="B1224" s="15">
        <v>113</v>
      </c>
      <c r="C1224" s="109" t="s">
        <v>2022</v>
      </c>
      <c r="D1224" s="406" t="s">
        <v>203</v>
      </c>
      <c r="E1224" s="370"/>
      <c r="F1224" s="371"/>
      <c r="G1224" s="117" t="s">
        <v>2023</v>
      </c>
      <c r="H1224" s="385"/>
    </row>
    <row r="1225" spans="1:8" ht="15.75" customHeight="1" x14ac:dyDescent="0.25">
      <c r="A1225" s="126" t="s">
        <v>46</v>
      </c>
      <c r="B1225" s="15">
        <v>114</v>
      </c>
      <c r="C1225" s="106" t="s">
        <v>2024</v>
      </c>
      <c r="D1225" s="406" t="s">
        <v>208</v>
      </c>
      <c r="E1225" s="370"/>
      <c r="F1225" s="371"/>
      <c r="G1225" s="111"/>
      <c r="H1225" s="385"/>
    </row>
    <row r="1226" spans="1:8" ht="15" customHeight="1" x14ac:dyDescent="0.25">
      <c r="A1226" s="126" t="s">
        <v>46</v>
      </c>
      <c r="B1226" s="15">
        <v>115</v>
      </c>
      <c r="C1226" s="109" t="s">
        <v>2025</v>
      </c>
      <c r="D1226" s="406" t="s">
        <v>208</v>
      </c>
      <c r="E1226" s="370"/>
      <c r="F1226" s="371"/>
      <c r="G1226" s="107"/>
      <c r="H1226" s="385"/>
    </row>
    <row r="1227" spans="1:8" ht="15" customHeight="1" x14ac:dyDescent="0.25">
      <c r="A1227" s="126" t="s">
        <v>46</v>
      </c>
      <c r="B1227" s="15">
        <v>116</v>
      </c>
      <c r="C1227" s="109" t="s">
        <v>2026</v>
      </c>
      <c r="D1227" s="406" t="s">
        <v>208</v>
      </c>
      <c r="E1227" s="370"/>
      <c r="F1227" s="371"/>
      <c r="G1227" s="107"/>
      <c r="H1227" s="385"/>
    </row>
    <row r="1228" spans="1:8" ht="15" customHeight="1" x14ac:dyDescent="0.25">
      <c r="A1228" s="126" t="s">
        <v>46</v>
      </c>
      <c r="B1228" s="15">
        <v>117</v>
      </c>
      <c r="C1228" s="109" t="s">
        <v>2027</v>
      </c>
      <c r="D1228" s="406" t="s">
        <v>203</v>
      </c>
      <c r="E1228" s="370"/>
      <c r="F1228" s="371"/>
      <c r="G1228" s="107" t="s">
        <v>2028</v>
      </c>
      <c r="H1228" s="385"/>
    </row>
    <row r="1229" spans="1:8" ht="15" customHeight="1" x14ac:dyDescent="0.25">
      <c r="A1229" s="126" t="s">
        <v>46</v>
      </c>
      <c r="B1229" s="15">
        <v>118</v>
      </c>
      <c r="C1229" s="109" t="s">
        <v>2029</v>
      </c>
      <c r="D1229" s="406" t="s">
        <v>208</v>
      </c>
      <c r="E1229" s="370"/>
      <c r="F1229" s="371"/>
      <c r="G1229" s="107"/>
      <c r="H1229" s="385"/>
    </row>
    <row r="1230" spans="1:8" ht="15" customHeight="1" x14ac:dyDescent="0.25">
      <c r="A1230" s="126" t="s">
        <v>46</v>
      </c>
      <c r="B1230" s="15">
        <v>119</v>
      </c>
      <c r="C1230" s="109" t="s">
        <v>2030</v>
      </c>
      <c r="D1230" s="406" t="s">
        <v>208</v>
      </c>
      <c r="E1230" s="370"/>
      <c r="F1230" s="371"/>
      <c r="G1230" s="107"/>
      <c r="H1230" s="385"/>
    </row>
    <row r="1231" spans="1:8" ht="15" customHeight="1" x14ac:dyDescent="0.25">
      <c r="A1231" s="126" t="s">
        <v>46</v>
      </c>
      <c r="B1231" s="15">
        <v>120</v>
      </c>
      <c r="C1231" s="109" t="s">
        <v>2031</v>
      </c>
      <c r="D1231" s="406" t="s">
        <v>208</v>
      </c>
      <c r="E1231" s="370"/>
      <c r="F1231" s="371"/>
      <c r="G1231" s="107"/>
      <c r="H1231" s="385"/>
    </row>
    <row r="1232" spans="1:8" ht="15" customHeight="1" x14ac:dyDescent="0.25">
      <c r="A1232" s="126" t="s">
        <v>46</v>
      </c>
      <c r="B1232" s="15">
        <v>121</v>
      </c>
      <c r="C1232" s="109" t="s">
        <v>2032</v>
      </c>
      <c r="D1232" s="406" t="s">
        <v>208</v>
      </c>
      <c r="E1232" s="370"/>
      <c r="F1232" s="371"/>
      <c r="G1232" s="107"/>
      <c r="H1232" s="385"/>
    </row>
    <row r="1233" spans="1:8" ht="15" customHeight="1" x14ac:dyDescent="0.25">
      <c r="A1233" s="126" t="s">
        <v>46</v>
      </c>
      <c r="B1233" s="15">
        <v>122</v>
      </c>
      <c r="C1233" s="109" t="s">
        <v>2033</v>
      </c>
      <c r="D1233" s="406" t="s">
        <v>208</v>
      </c>
      <c r="E1233" s="370"/>
      <c r="F1233" s="371"/>
      <c r="G1233" s="107"/>
      <c r="H1233" s="385"/>
    </row>
    <row r="1234" spans="1:8" ht="15" customHeight="1" x14ac:dyDescent="0.25">
      <c r="A1234" s="126" t="s">
        <v>46</v>
      </c>
      <c r="B1234" s="15">
        <v>123</v>
      </c>
      <c r="C1234" s="109" t="s">
        <v>2034</v>
      </c>
      <c r="D1234" s="406" t="s">
        <v>208</v>
      </c>
      <c r="E1234" s="370"/>
      <c r="F1234" s="371"/>
      <c r="G1234" s="113" t="s">
        <v>2035</v>
      </c>
      <c r="H1234" s="385"/>
    </row>
    <row r="1235" spans="1:8" ht="15" customHeight="1" x14ac:dyDescent="0.25">
      <c r="A1235" s="126" t="s">
        <v>46</v>
      </c>
      <c r="B1235" s="15">
        <v>124</v>
      </c>
      <c r="C1235" s="109" t="s">
        <v>2036</v>
      </c>
      <c r="D1235" s="406" t="s">
        <v>208</v>
      </c>
      <c r="E1235" s="370"/>
      <c r="F1235" s="371"/>
      <c r="G1235" s="107"/>
      <c r="H1235" s="385"/>
    </row>
    <row r="1236" spans="1:8" ht="15" customHeight="1" x14ac:dyDescent="0.25">
      <c r="A1236" s="126" t="s">
        <v>46</v>
      </c>
      <c r="B1236" s="15">
        <v>125</v>
      </c>
      <c r="C1236" s="109" t="s">
        <v>2037</v>
      </c>
      <c r="D1236" s="406" t="s">
        <v>208</v>
      </c>
      <c r="E1236" s="370"/>
      <c r="F1236" s="371"/>
      <c r="G1236" s="107"/>
      <c r="H1236" s="385"/>
    </row>
    <row r="1237" spans="1:8" ht="15" customHeight="1" x14ac:dyDescent="0.25">
      <c r="A1237" s="126" t="s">
        <v>46</v>
      </c>
      <c r="B1237" s="15">
        <v>126</v>
      </c>
      <c r="C1237" s="109" t="s">
        <v>2038</v>
      </c>
      <c r="D1237" s="406" t="s">
        <v>208</v>
      </c>
      <c r="E1237" s="370"/>
      <c r="F1237" s="371"/>
      <c r="G1237" s="107"/>
      <c r="H1237" s="385"/>
    </row>
    <row r="1238" spans="1:8" ht="15" customHeight="1" x14ac:dyDescent="0.25">
      <c r="A1238" s="126" t="s">
        <v>46</v>
      </c>
      <c r="B1238" s="15">
        <v>127</v>
      </c>
      <c r="C1238" s="109" t="s">
        <v>2039</v>
      </c>
      <c r="D1238" s="406" t="s">
        <v>247</v>
      </c>
      <c r="E1238" s="370"/>
      <c r="F1238" s="371"/>
      <c r="G1238" s="107"/>
      <c r="H1238" s="385"/>
    </row>
    <row r="1239" spans="1:8" ht="15" customHeight="1" x14ac:dyDescent="0.25">
      <c r="A1239" s="126" t="s">
        <v>46</v>
      </c>
      <c r="B1239" s="15">
        <v>128</v>
      </c>
      <c r="C1239" s="109" t="s">
        <v>2040</v>
      </c>
      <c r="D1239" s="406" t="s">
        <v>203</v>
      </c>
      <c r="E1239" s="370"/>
      <c r="F1239" s="371"/>
      <c r="G1239" s="113" t="s">
        <v>2041</v>
      </c>
      <c r="H1239" s="385"/>
    </row>
    <row r="1240" spans="1:8" ht="15" customHeight="1" x14ac:dyDescent="0.25">
      <c r="A1240" s="126" t="s">
        <v>46</v>
      </c>
      <c r="B1240" s="15">
        <v>129</v>
      </c>
      <c r="C1240" s="109" t="s">
        <v>2042</v>
      </c>
      <c r="D1240" s="406" t="s">
        <v>203</v>
      </c>
      <c r="E1240" s="370"/>
      <c r="F1240" s="371"/>
      <c r="G1240" s="107" t="s">
        <v>2043</v>
      </c>
      <c r="H1240" s="385"/>
    </row>
    <row r="1241" spans="1:8" ht="15" customHeight="1" x14ac:dyDescent="0.25">
      <c r="A1241" s="126" t="s">
        <v>46</v>
      </c>
      <c r="B1241" s="15">
        <v>130</v>
      </c>
      <c r="C1241" s="109" t="s">
        <v>2044</v>
      </c>
      <c r="D1241" s="406" t="s">
        <v>208</v>
      </c>
      <c r="E1241" s="370"/>
      <c r="F1241" s="371"/>
      <c r="G1241" s="107"/>
      <c r="H1241" s="385"/>
    </row>
    <row r="1242" spans="1:8" ht="15" customHeight="1" x14ac:dyDescent="0.25">
      <c r="A1242" s="126" t="s">
        <v>46</v>
      </c>
      <c r="B1242" s="15">
        <v>131</v>
      </c>
      <c r="C1242" s="109" t="s">
        <v>2045</v>
      </c>
      <c r="D1242" s="406" t="s">
        <v>208</v>
      </c>
      <c r="E1242" s="370"/>
      <c r="F1242" s="371"/>
      <c r="G1242" s="107"/>
      <c r="H1242" s="385"/>
    </row>
    <row r="1243" spans="1:8" ht="15" customHeight="1" x14ac:dyDescent="0.25">
      <c r="A1243" s="126" t="s">
        <v>46</v>
      </c>
      <c r="B1243" s="15">
        <v>132</v>
      </c>
      <c r="C1243" s="109" t="s">
        <v>2046</v>
      </c>
      <c r="D1243" s="406" t="s">
        <v>208</v>
      </c>
      <c r="E1243" s="370"/>
      <c r="F1243" s="371"/>
      <c r="G1243" s="107"/>
      <c r="H1243" s="385"/>
    </row>
    <row r="1244" spans="1:8" ht="15" customHeight="1" x14ac:dyDescent="0.25">
      <c r="A1244" s="126" t="s">
        <v>46</v>
      </c>
      <c r="B1244" s="15">
        <v>133</v>
      </c>
      <c r="C1244" s="109" t="s">
        <v>2047</v>
      </c>
      <c r="D1244" s="406" t="s">
        <v>208</v>
      </c>
      <c r="E1244" s="370"/>
      <c r="F1244" s="371"/>
      <c r="G1244" s="107"/>
      <c r="H1244" s="385"/>
    </row>
    <row r="1245" spans="1:8" ht="15" customHeight="1" x14ac:dyDescent="0.25">
      <c r="A1245" s="126" t="s">
        <v>46</v>
      </c>
      <c r="B1245" s="15">
        <v>134</v>
      </c>
      <c r="C1245" s="109" t="s">
        <v>2048</v>
      </c>
      <c r="D1245" s="406" t="s">
        <v>203</v>
      </c>
      <c r="E1245" s="370"/>
      <c r="F1245" s="371"/>
      <c r="G1245" s="117" t="s">
        <v>2049</v>
      </c>
      <c r="H1245" s="385"/>
    </row>
    <row r="1246" spans="1:8" ht="15" customHeight="1" x14ac:dyDescent="0.25">
      <c r="A1246" s="126" t="s">
        <v>46</v>
      </c>
      <c r="B1246" s="15">
        <v>135</v>
      </c>
      <c r="C1246" s="109" t="s">
        <v>2050</v>
      </c>
      <c r="D1246" s="406" t="s">
        <v>247</v>
      </c>
      <c r="E1246" s="370"/>
      <c r="F1246" s="371"/>
      <c r="G1246" s="107"/>
      <c r="H1246" s="385"/>
    </row>
    <row r="1247" spans="1:8" ht="15" customHeight="1" x14ac:dyDescent="0.25">
      <c r="A1247" s="126" t="s">
        <v>46</v>
      </c>
      <c r="B1247" s="15">
        <v>136</v>
      </c>
      <c r="C1247" s="109" t="s">
        <v>2051</v>
      </c>
      <c r="D1247" s="406" t="s">
        <v>208</v>
      </c>
      <c r="E1247" s="370"/>
      <c r="F1247" s="371"/>
      <c r="G1247" s="107"/>
      <c r="H1247" s="385"/>
    </row>
    <row r="1248" spans="1:8" ht="15" customHeight="1" x14ac:dyDescent="0.25">
      <c r="A1248" s="126" t="s">
        <v>46</v>
      </c>
      <c r="B1248" s="15">
        <v>137</v>
      </c>
      <c r="C1248" s="109" t="s">
        <v>2052</v>
      </c>
      <c r="D1248" s="406" t="s">
        <v>247</v>
      </c>
      <c r="E1248" s="370"/>
      <c r="F1248" s="371"/>
      <c r="G1248" s="107"/>
      <c r="H1248" s="385"/>
    </row>
    <row r="1249" spans="1:8" ht="15" customHeight="1" x14ac:dyDescent="0.25">
      <c r="A1249" s="126" t="s">
        <v>46</v>
      </c>
      <c r="B1249" s="15">
        <v>138</v>
      </c>
      <c r="C1249" s="109" t="s">
        <v>2053</v>
      </c>
      <c r="D1249" s="406" t="s">
        <v>208</v>
      </c>
      <c r="E1249" s="370"/>
      <c r="F1249" s="371"/>
      <c r="G1249" s="107"/>
      <c r="H1249" s="385"/>
    </row>
    <row r="1250" spans="1:8" ht="15.75" customHeight="1" x14ac:dyDescent="0.25">
      <c r="A1250" s="126" t="s">
        <v>46</v>
      </c>
      <c r="B1250" s="15">
        <v>139</v>
      </c>
      <c r="C1250" s="109" t="s">
        <v>2054</v>
      </c>
      <c r="D1250" s="406" t="s">
        <v>203</v>
      </c>
      <c r="E1250" s="370"/>
      <c r="F1250" s="371"/>
      <c r="G1250" s="107" t="s">
        <v>2055</v>
      </c>
      <c r="H1250" s="385"/>
    </row>
    <row r="1251" spans="1:8" ht="15" customHeight="1" x14ac:dyDescent="0.25">
      <c r="A1251" s="126" t="s">
        <v>46</v>
      </c>
      <c r="B1251" s="15">
        <v>140</v>
      </c>
      <c r="C1251" s="109" t="s">
        <v>2056</v>
      </c>
      <c r="D1251" s="406" t="s">
        <v>208</v>
      </c>
      <c r="E1251" s="370"/>
      <c r="F1251" s="371"/>
      <c r="G1251" s="107"/>
      <c r="H1251" s="385"/>
    </row>
    <row r="1252" spans="1:8" ht="15" customHeight="1" x14ac:dyDescent="0.25">
      <c r="A1252" s="126" t="s">
        <v>46</v>
      </c>
      <c r="B1252" s="15">
        <v>141</v>
      </c>
      <c r="C1252" s="109" t="s">
        <v>2057</v>
      </c>
      <c r="D1252" s="406" t="s">
        <v>208</v>
      </c>
      <c r="E1252" s="370"/>
      <c r="F1252" s="371"/>
      <c r="G1252" s="107"/>
      <c r="H1252" s="385"/>
    </row>
    <row r="1253" spans="1:8" ht="15" customHeight="1" x14ac:dyDescent="0.25">
      <c r="A1253" s="126" t="s">
        <v>46</v>
      </c>
      <c r="B1253" s="15">
        <v>142</v>
      </c>
      <c r="C1253" s="109" t="s">
        <v>2058</v>
      </c>
      <c r="D1253" s="406" t="s">
        <v>208</v>
      </c>
      <c r="E1253" s="370"/>
      <c r="F1253" s="371"/>
      <c r="G1253" s="107"/>
      <c r="H1253" s="385"/>
    </row>
    <row r="1254" spans="1:8" ht="15" customHeight="1" x14ac:dyDescent="0.25">
      <c r="A1254" s="126" t="s">
        <v>46</v>
      </c>
      <c r="B1254" s="15">
        <v>143</v>
      </c>
      <c r="C1254" s="109" t="s">
        <v>2059</v>
      </c>
      <c r="D1254" s="406" t="s">
        <v>208</v>
      </c>
      <c r="E1254" s="370"/>
      <c r="F1254" s="371"/>
      <c r="G1254" s="107"/>
      <c r="H1254" s="385"/>
    </row>
    <row r="1255" spans="1:8" ht="15" customHeight="1" x14ac:dyDescent="0.25">
      <c r="A1255" s="126" t="s">
        <v>46</v>
      </c>
      <c r="B1255" s="15">
        <v>144</v>
      </c>
      <c r="C1255" s="109" t="s">
        <v>2060</v>
      </c>
      <c r="D1255" s="406" t="s">
        <v>203</v>
      </c>
      <c r="E1255" s="370"/>
      <c r="F1255" s="371"/>
      <c r="G1255" s="107" t="s">
        <v>2061</v>
      </c>
      <c r="H1255" s="385"/>
    </row>
    <row r="1256" spans="1:8" ht="15" customHeight="1" x14ac:dyDescent="0.25">
      <c r="A1256" s="126" t="s">
        <v>46</v>
      </c>
      <c r="B1256" s="15">
        <v>145</v>
      </c>
      <c r="C1256" s="109" t="s">
        <v>2062</v>
      </c>
      <c r="D1256" s="406" t="s">
        <v>208</v>
      </c>
      <c r="E1256" s="370"/>
      <c r="F1256" s="371"/>
      <c r="G1256" s="107"/>
      <c r="H1256" s="385"/>
    </row>
    <row r="1257" spans="1:8" ht="15" customHeight="1" x14ac:dyDescent="0.25">
      <c r="A1257" s="126" t="s">
        <v>46</v>
      </c>
      <c r="B1257" s="15">
        <v>146</v>
      </c>
      <c r="C1257" s="109" t="s">
        <v>2063</v>
      </c>
      <c r="D1257" s="406" t="s">
        <v>203</v>
      </c>
      <c r="E1257" s="370"/>
      <c r="F1257" s="371"/>
      <c r="G1257" s="117" t="s">
        <v>2064</v>
      </c>
      <c r="H1257" s="385"/>
    </row>
    <row r="1258" spans="1:8" ht="15" customHeight="1" x14ac:dyDescent="0.25">
      <c r="A1258" s="126" t="s">
        <v>46</v>
      </c>
      <c r="B1258" s="15">
        <v>147</v>
      </c>
      <c r="C1258" s="109" t="s">
        <v>2065</v>
      </c>
      <c r="D1258" s="406" t="s">
        <v>208</v>
      </c>
      <c r="E1258" s="370"/>
      <c r="F1258" s="371"/>
      <c r="G1258" s="107"/>
      <c r="H1258" s="385"/>
    </row>
    <row r="1259" spans="1:8" ht="15" customHeight="1" x14ac:dyDescent="0.25">
      <c r="A1259" s="126" t="s">
        <v>46</v>
      </c>
      <c r="B1259" s="15">
        <v>148</v>
      </c>
      <c r="C1259" s="109" t="s">
        <v>2066</v>
      </c>
      <c r="D1259" s="406" t="s">
        <v>208</v>
      </c>
      <c r="E1259" s="370"/>
      <c r="F1259" s="371"/>
      <c r="G1259" s="107"/>
      <c r="H1259" s="385"/>
    </row>
    <row r="1260" spans="1:8" ht="15.75" customHeight="1" x14ac:dyDescent="0.25">
      <c r="A1260" s="126" t="s">
        <v>46</v>
      </c>
      <c r="B1260" s="15">
        <v>149</v>
      </c>
      <c r="C1260" s="109" t="s">
        <v>2067</v>
      </c>
      <c r="D1260" s="406" t="s">
        <v>203</v>
      </c>
      <c r="E1260" s="370"/>
      <c r="F1260" s="371"/>
      <c r="G1260" s="107" t="s">
        <v>2068</v>
      </c>
      <c r="H1260" s="385"/>
    </row>
    <row r="1261" spans="1:8" ht="15.75" customHeight="1" x14ac:dyDescent="0.25">
      <c r="A1261" s="110" t="s">
        <v>2069</v>
      </c>
      <c r="B1261" s="15">
        <v>150</v>
      </c>
      <c r="C1261" s="109" t="s">
        <v>2070</v>
      </c>
      <c r="D1261" s="406" t="s">
        <v>208</v>
      </c>
      <c r="E1261" s="370"/>
      <c r="F1261" s="371"/>
      <c r="G1261" s="107"/>
      <c r="H1261" s="385"/>
    </row>
    <row r="1262" spans="1:8" ht="15" customHeight="1" x14ac:dyDescent="0.25">
      <c r="A1262" s="110" t="s">
        <v>2069</v>
      </c>
      <c r="B1262" s="15">
        <v>151</v>
      </c>
      <c r="C1262" s="109" t="s">
        <v>2071</v>
      </c>
      <c r="D1262" s="406" t="s">
        <v>247</v>
      </c>
      <c r="E1262" s="370"/>
      <c r="F1262" s="371"/>
      <c r="G1262" s="107"/>
      <c r="H1262" s="385"/>
    </row>
    <row r="1263" spans="1:8" ht="15" customHeight="1" x14ac:dyDescent="0.25">
      <c r="A1263" s="110" t="s">
        <v>2069</v>
      </c>
      <c r="B1263" s="15">
        <v>152</v>
      </c>
      <c r="C1263" s="109" t="s">
        <v>2072</v>
      </c>
      <c r="D1263" s="406" t="s">
        <v>247</v>
      </c>
      <c r="E1263" s="370"/>
      <c r="F1263" s="371"/>
      <c r="G1263" s="107"/>
      <c r="H1263" s="385"/>
    </row>
    <row r="1264" spans="1:8" ht="15" customHeight="1" x14ac:dyDescent="0.25">
      <c r="A1264" s="110" t="s">
        <v>2069</v>
      </c>
      <c r="B1264" s="15">
        <v>153</v>
      </c>
      <c r="C1264" s="109" t="s">
        <v>2073</v>
      </c>
      <c r="D1264" s="406" t="s">
        <v>247</v>
      </c>
      <c r="E1264" s="370"/>
      <c r="F1264" s="371"/>
      <c r="G1264" s="107"/>
      <c r="H1264" s="385"/>
    </row>
    <row r="1265" spans="1:8" ht="15" customHeight="1" x14ac:dyDescent="0.25">
      <c r="A1265" s="110" t="s">
        <v>2069</v>
      </c>
      <c r="B1265" s="15">
        <v>154</v>
      </c>
      <c r="C1265" s="109" t="s">
        <v>2074</v>
      </c>
      <c r="D1265" s="406" t="s">
        <v>208</v>
      </c>
      <c r="E1265" s="370"/>
      <c r="F1265" s="371"/>
      <c r="G1265" s="107"/>
      <c r="H1265" s="385"/>
    </row>
    <row r="1266" spans="1:8" ht="15" customHeight="1" x14ac:dyDescent="0.25">
      <c r="A1266" s="110" t="s">
        <v>2069</v>
      </c>
      <c r="B1266" s="15">
        <v>155</v>
      </c>
      <c r="C1266" s="109" t="s">
        <v>2075</v>
      </c>
      <c r="D1266" s="406" t="s">
        <v>247</v>
      </c>
      <c r="E1266" s="370"/>
      <c r="F1266" s="371"/>
      <c r="G1266" s="107"/>
      <c r="H1266" s="385"/>
    </row>
    <row r="1267" spans="1:8" ht="15" customHeight="1" x14ac:dyDescent="0.25">
      <c r="A1267" s="110" t="s">
        <v>2069</v>
      </c>
      <c r="B1267" s="15">
        <v>156</v>
      </c>
      <c r="C1267" s="109" t="s">
        <v>2076</v>
      </c>
      <c r="D1267" s="406" t="s">
        <v>208</v>
      </c>
      <c r="E1267" s="370"/>
      <c r="F1267" s="371"/>
      <c r="G1267" s="107"/>
      <c r="H1267" s="385"/>
    </row>
    <row r="1268" spans="1:8" ht="15" customHeight="1" x14ac:dyDescent="0.25">
      <c r="A1268" s="110" t="s">
        <v>2069</v>
      </c>
      <c r="B1268" s="15">
        <v>157</v>
      </c>
      <c r="C1268" s="109" t="s">
        <v>2077</v>
      </c>
      <c r="D1268" s="406" t="s">
        <v>203</v>
      </c>
      <c r="E1268" s="370"/>
      <c r="F1268" s="371"/>
      <c r="G1268" s="107" t="s">
        <v>2078</v>
      </c>
      <c r="H1268" s="385"/>
    </row>
    <row r="1269" spans="1:8" ht="15" customHeight="1" x14ac:dyDescent="0.25">
      <c r="A1269" s="110" t="s">
        <v>2069</v>
      </c>
      <c r="B1269" s="15">
        <v>158</v>
      </c>
      <c r="C1269" s="109" t="s">
        <v>2079</v>
      </c>
      <c r="D1269" s="406" t="s">
        <v>208</v>
      </c>
      <c r="E1269" s="370"/>
      <c r="F1269" s="371"/>
      <c r="G1269" s="107"/>
      <c r="H1269" s="385"/>
    </row>
    <row r="1270" spans="1:8" ht="15" customHeight="1" x14ac:dyDescent="0.25">
      <c r="A1270" s="110" t="s">
        <v>2069</v>
      </c>
      <c r="B1270" s="15">
        <v>159</v>
      </c>
      <c r="C1270" s="109" t="s">
        <v>2080</v>
      </c>
      <c r="D1270" s="406" t="s">
        <v>208</v>
      </c>
      <c r="E1270" s="370"/>
      <c r="F1270" s="371"/>
      <c r="G1270" s="107"/>
      <c r="H1270" s="385"/>
    </row>
    <row r="1271" spans="1:8" ht="15" customHeight="1" x14ac:dyDescent="0.25">
      <c r="A1271" s="110" t="s">
        <v>2069</v>
      </c>
      <c r="B1271" s="15">
        <v>160</v>
      </c>
      <c r="C1271" s="109" t="s">
        <v>2081</v>
      </c>
      <c r="D1271" s="406" t="s">
        <v>203</v>
      </c>
      <c r="E1271" s="370"/>
      <c r="F1271" s="371"/>
      <c r="G1271" s="107" t="s">
        <v>1451</v>
      </c>
      <c r="H1271" s="385"/>
    </row>
    <row r="1272" spans="1:8" ht="15" customHeight="1" x14ac:dyDescent="0.25">
      <c r="A1272" s="110" t="s">
        <v>2069</v>
      </c>
      <c r="B1272" s="15">
        <v>161</v>
      </c>
      <c r="C1272" s="109" t="s">
        <v>2082</v>
      </c>
      <c r="D1272" s="406" t="s">
        <v>247</v>
      </c>
      <c r="E1272" s="370"/>
      <c r="F1272" s="371"/>
      <c r="G1272" s="107"/>
      <c r="H1272" s="385"/>
    </row>
    <row r="1273" spans="1:8" ht="15" customHeight="1" x14ac:dyDescent="0.25">
      <c r="A1273" s="110" t="s">
        <v>2069</v>
      </c>
      <c r="B1273" s="15">
        <v>162</v>
      </c>
      <c r="C1273" s="109" t="s">
        <v>2083</v>
      </c>
      <c r="D1273" s="406" t="s">
        <v>247</v>
      </c>
      <c r="E1273" s="370"/>
      <c r="F1273" s="371"/>
      <c r="G1273" s="107"/>
      <c r="H1273" s="385"/>
    </row>
    <row r="1274" spans="1:8" ht="15" customHeight="1" x14ac:dyDescent="0.25">
      <c r="A1274" s="110" t="s">
        <v>2069</v>
      </c>
      <c r="B1274" s="15">
        <v>163</v>
      </c>
      <c r="C1274" s="109" t="s">
        <v>2084</v>
      </c>
      <c r="D1274" s="406" t="s">
        <v>208</v>
      </c>
      <c r="E1274" s="370"/>
      <c r="F1274" s="371"/>
      <c r="G1274" s="107"/>
      <c r="H1274" s="385"/>
    </row>
    <row r="1275" spans="1:8" ht="15" customHeight="1" x14ac:dyDescent="0.25">
      <c r="A1275" s="110" t="s">
        <v>2069</v>
      </c>
      <c r="B1275" s="15">
        <v>164</v>
      </c>
      <c r="C1275" s="109" t="s">
        <v>2085</v>
      </c>
      <c r="D1275" s="406" t="s">
        <v>247</v>
      </c>
      <c r="E1275" s="370"/>
      <c r="F1275" s="371"/>
      <c r="G1275" s="107"/>
      <c r="H1275" s="385"/>
    </row>
    <row r="1276" spans="1:8" ht="15" customHeight="1" x14ac:dyDescent="0.25">
      <c r="A1276" s="110" t="s">
        <v>2069</v>
      </c>
      <c r="B1276" s="15">
        <v>165</v>
      </c>
      <c r="C1276" s="109" t="s">
        <v>2086</v>
      </c>
      <c r="D1276" s="406" t="s">
        <v>247</v>
      </c>
      <c r="E1276" s="370"/>
      <c r="F1276" s="371"/>
      <c r="G1276" s="107"/>
      <c r="H1276" s="385"/>
    </row>
    <row r="1277" spans="1:8" ht="15" customHeight="1" x14ac:dyDescent="0.25">
      <c r="A1277" s="110" t="s">
        <v>2069</v>
      </c>
      <c r="B1277" s="15">
        <v>166</v>
      </c>
      <c r="C1277" s="109" t="s">
        <v>2087</v>
      </c>
      <c r="D1277" s="406" t="s">
        <v>203</v>
      </c>
      <c r="E1277" s="370"/>
      <c r="F1277" s="371"/>
      <c r="G1277" s="107" t="s">
        <v>2088</v>
      </c>
      <c r="H1277" s="385"/>
    </row>
    <row r="1278" spans="1:8" ht="15" customHeight="1" x14ac:dyDescent="0.25">
      <c r="A1278" s="110" t="s">
        <v>2069</v>
      </c>
      <c r="B1278" s="15">
        <v>167</v>
      </c>
      <c r="C1278" s="109" t="s">
        <v>2089</v>
      </c>
      <c r="D1278" s="406" t="s">
        <v>208</v>
      </c>
      <c r="E1278" s="370"/>
      <c r="F1278" s="371"/>
      <c r="G1278" s="107"/>
      <c r="H1278" s="385"/>
    </row>
    <row r="1279" spans="1:8" ht="15" customHeight="1" x14ac:dyDescent="0.25">
      <c r="A1279" s="110" t="s">
        <v>2069</v>
      </c>
      <c r="B1279" s="15">
        <v>168</v>
      </c>
      <c r="C1279" s="109" t="s">
        <v>2090</v>
      </c>
      <c r="D1279" s="406" t="s">
        <v>208</v>
      </c>
      <c r="E1279" s="370"/>
      <c r="F1279" s="371"/>
      <c r="G1279" s="107"/>
      <c r="H1279" s="385"/>
    </row>
    <row r="1280" spans="1:8" ht="15" customHeight="1" x14ac:dyDescent="0.25">
      <c r="A1280" s="110" t="s">
        <v>2069</v>
      </c>
      <c r="B1280" s="15">
        <v>169</v>
      </c>
      <c r="C1280" s="109" t="s">
        <v>2091</v>
      </c>
      <c r="D1280" s="406" t="s">
        <v>247</v>
      </c>
      <c r="E1280" s="370"/>
      <c r="F1280" s="371"/>
      <c r="G1280" s="107"/>
      <c r="H1280" s="385"/>
    </row>
    <row r="1281" spans="1:8" ht="15" customHeight="1" x14ac:dyDescent="0.25">
      <c r="A1281" s="110" t="s">
        <v>2069</v>
      </c>
      <c r="B1281" s="15">
        <v>170</v>
      </c>
      <c r="C1281" s="109" t="s">
        <v>2092</v>
      </c>
      <c r="D1281" s="406" t="s">
        <v>208</v>
      </c>
      <c r="E1281" s="370"/>
      <c r="F1281" s="371"/>
      <c r="G1281" s="107"/>
      <c r="H1281" s="385"/>
    </row>
    <row r="1282" spans="1:8" ht="15" customHeight="1" x14ac:dyDescent="0.25">
      <c r="A1282" s="110" t="s">
        <v>2069</v>
      </c>
      <c r="B1282" s="15">
        <v>171</v>
      </c>
      <c r="C1282" s="109" t="s">
        <v>2093</v>
      </c>
      <c r="D1282" s="406" t="s">
        <v>203</v>
      </c>
      <c r="E1282" s="370"/>
      <c r="F1282" s="371"/>
      <c r="G1282" s="107" t="s">
        <v>2094</v>
      </c>
      <c r="H1282" s="385"/>
    </row>
    <row r="1283" spans="1:8" ht="15" customHeight="1" x14ac:dyDescent="0.25">
      <c r="A1283" s="110" t="s">
        <v>2069</v>
      </c>
      <c r="B1283" s="15">
        <v>172</v>
      </c>
      <c r="C1283" s="109" t="s">
        <v>2095</v>
      </c>
      <c r="D1283" s="406" t="s">
        <v>247</v>
      </c>
      <c r="E1283" s="370"/>
      <c r="F1283" s="371"/>
      <c r="G1283" s="107"/>
      <c r="H1283" s="385"/>
    </row>
    <row r="1284" spans="1:8" ht="15" customHeight="1" x14ac:dyDescent="0.25">
      <c r="A1284" s="110" t="s">
        <v>2069</v>
      </c>
      <c r="B1284" s="15">
        <v>173</v>
      </c>
      <c r="C1284" s="109" t="s">
        <v>2096</v>
      </c>
      <c r="D1284" s="406" t="s">
        <v>208</v>
      </c>
      <c r="E1284" s="370"/>
      <c r="F1284" s="371"/>
      <c r="G1284" s="107"/>
      <c r="H1284" s="385"/>
    </row>
    <row r="1285" spans="1:8" ht="15" customHeight="1" x14ac:dyDescent="0.25">
      <c r="A1285" s="110" t="s">
        <v>2069</v>
      </c>
      <c r="B1285" s="15">
        <v>174</v>
      </c>
      <c r="C1285" s="109" t="s">
        <v>2097</v>
      </c>
      <c r="D1285" s="406" t="s">
        <v>208</v>
      </c>
      <c r="E1285" s="370"/>
      <c r="F1285" s="371"/>
      <c r="G1285" s="107"/>
      <c r="H1285" s="385"/>
    </row>
    <row r="1286" spans="1:8" ht="15" customHeight="1" x14ac:dyDescent="0.25">
      <c r="A1286" s="110" t="s">
        <v>2069</v>
      </c>
      <c r="B1286" s="15">
        <v>175</v>
      </c>
      <c r="C1286" s="109" t="s">
        <v>2098</v>
      </c>
      <c r="D1286" s="406" t="s">
        <v>208</v>
      </c>
      <c r="E1286" s="370"/>
      <c r="F1286" s="371"/>
      <c r="G1286" s="107"/>
      <c r="H1286" s="385"/>
    </row>
    <row r="1287" spans="1:8" ht="15" customHeight="1" x14ac:dyDescent="0.25">
      <c r="A1287" s="110" t="s">
        <v>2069</v>
      </c>
      <c r="B1287" s="15">
        <v>176</v>
      </c>
      <c r="C1287" s="109" t="s">
        <v>2099</v>
      </c>
      <c r="D1287" s="406" t="s">
        <v>247</v>
      </c>
      <c r="E1287" s="370"/>
      <c r="F1287" s="371"/>
      <c r="G1287" s="107"/>
      <c r="H1287" s="385"/>
    </row>
    <row r="1288" spans="1:8" ht="15" customHeight="1" x14ac:dyDescent="0.25">
      <c r="A1288" s="110" t="s">
        <v>2069</v>
      </c>
      <c r="B1288" s="15">
        <v>177</v>
      </c>
      <c r="C1288" s="109" t="s">
        <v>2100</v>
      </c>
      <c r="D1288" s="406" t="s">
        <v>247</v>
      </c>
      <c r="E1288" s="370"/>
      <c r="F1288" s="371"/>
      <c r="G1288" s="107"/>
      <c r="H1288" s="385"/>
    </row>
    <row r="1289" spans="1:8" ht="15" customHeight="1" x14ac:dyDescent="0.25">
      <c r="A1289" s="110" t="s">
        <v>2069</v>
      </c>
      <c r="B1289" s="15">
        <v>178</v>
      </c>
      <c r="C1289" s="109" t="s">
        <v>2101</v>
      </c>
      <c r="D1289" s="406" t="s">
        <v>208</v>
      </c>
      <c r="E1289" s="370"/>
      <c r="F1289" s="371"/>
      <c r="G1289" s="107"/>
      <c r="H1289" s="385"/>
    </row>
    <row r="1290" spans="1:8" ht="15" customHeight="1" x14ac:dyDescent="0.25">
      <c r="A1290" s="110" t="s">
        <v>2069</v>
      </c>
      <c r="B1290" s="15">
        <v>179</v>
      </c>
      <c r="C1290" s="109" t="s">
        <v>2102</v>
      </c>
      <c r="D1290" s="406" t="s">
        <v>208</v>
      </c>
      <c r="E1290" s="370"/>
      <c r="F1290" s="371"/>
      <c r="G1290" s="107"/>
      <c r="H1290" s="385"/>
    </row>
    <row r="1291" spans="1:8" ht="15" customHeight="1" x14ac:dyDescent="0.25">
      <c r="A1291" s="110" t="s">
        <v>2069</v>
      </c>
      <c r="B1291" s="15">
        <v>180</v>
      </c>
      <c r="C1291" s="109" t="s">
        <v>2103</v>
      </c>
      <c r="D1291" s="406" t="s">
        <v>208</v>
      </c>
      <c r="E1291" s="370"/>
      <c r="F1291" s="371"/>
      <c r="G1291" s="107"/>
      <c r="H1291" s="385"/>
    </row>
    <row r="1292" spans="1:8" ht="15" customHeight="1" x14ac:dyDescent="0.25">
      <c r="A1292" s="110" t="s">
        <v>2069</v>
      </c>
      <c r="B1292" s="15">
        <v>181</v>
      </c>
      <c r="C1292" s="109" t="s">
        <v>2104</v>
      </c>
      <c r="D1292" s="406" t="s">
        <v>208</v>
      </c>
      <c r="E1292" s="370"/>
      <c r="F1292" s="371"/>
      <c r="G1292" s="107"/>
      <c r="H1292" s="385"/>
    </row>
    <row r="1293" spans="1:8" ht="15" customHeight="1" x14ac:dyDescent="0.25">
      <c r="A1293" s="110" t="s">
        <v>2069</v>
      </c>
      <c r="B1293" s="15">
        <v>182</v>
      </c>
      <c r="C1293" s="109" t="s">
        <v>2105</v>
      </c>
      <c r="D1293" s="406" t="s">
        <v>203</v>
      </c>
      <c r="E1293" s="370"/>
      <c r="F1293" s="371"/>
      <c r="G1293" s="107" t="s">
        <v>2106</v>
      </c>
      <c r="H1293" s="385"/>
    </row>
    <row r="1294" spans="1:8" ht="15" customHeight="1" x14ac:dyDescent="0.25">
      <c r="A1294" s="110" t="s">
        <v>2069</v>
      </c>
      <c r="B1294" s="15">
        <v>183</v>
      </c>
      <c r="C1294" s="109" t="s">
        <v>2107</v>
      </c>
      <c r="D1294" s="406" t="s">
        <v>203</v>
      </c>
      <c r="E1294" s="370"/>
      <c r="F1294" s="371"/>
      <c r="G1294" s="117" t="s">
        <v>662</v>
      </c>
      <c r="H1294" s="385"/>
    </row>
    <row r="1295" spans="1:8" ht="15" customHeight="1" x14ac:dyDescent="0.25">
      <c r="A1295" s="110" t="s">
        <v>2069</v>
      </c>
      <c r="B1295" s="15">
        <v>184</v>
      </c>
      <c r="C1295" s="109" t="s">
        <v>2108</v>
      </c>
      <c r="D1295" s="406" t="s">
        <v>208</v>
      </c>
      <c r="E1295" s="370"/>
      <c r="F1295" s="371"/>
      <c r="G1295" s="107"/>
      <c r="H1295" s="385"/>
    </row>
    <row r="1296" spans="1:8" ht="15" customHeight="1" x14ac:dyDescent="0.25">
      <c r="A1296" s="110" t="s">
        <v>2069</v>
      </c>
      <c r="B1296" s="15">
        <v>185</v>
      </c>
      <c r="C1296" s="109" t="s">
        <v>2109</v>
      </c>
      <c r="D1296" s="406" t="s">
        <v>247</v>
      </c>
      <c r="E1296" s="370"/>
      <c r="F1296" s="371"/>
      <c r="G1296" s="107"/>
      <c r="H1296" s="385"/>
    </row>
    <row r="1297" spans="1:8" ht="15" customHeight="1" x14ac:dyDescent="0.25">
      <c r="A1297" s="110" t="s">
        <v>2069</v>
      </c>
      <c r="B1297" s="15">
        <v>186</v>
      </c>
      <c r="C1297" s="109" t="s">
        <v>2110</v>
      </c>
      <c r="D1297" s="406" t="s">
        <v>208</v>
      </c>
      <c r="E1297" s="370"/>
      <c r="F1297" s="371"/>
      <c r="G1297" s="107"/>
      <c r="H1297" s="385"/>
    </row>
    <row r="1298" spans="1:8" ht="15" customHeight="1" x14ac:dyDescent="0.25">
      <c r="A1298" s="110" t="s">
        <v>2069</v>
      </c>
      <c r="B1298" s="15">
        <v>187</v>
      </c>
      <c r="C1298" s="109" t="s">
        <v>2111</v>
      </c>
      <c r="D1298" s="406" t="s">
        <v>208</v>
      </c>
      <c r="E1298" s="370"/>
      <c r="F1298" s="371"/>
      <c r="G1298" s="107"/>
      <c r="H1298" s="385"/>
    </row>
    <row r="1299" spans="1:8" ht="15" customHeight="1" x14ac:dyDescent="0.25">
      <c r="A1299" s="110" t="s">
        <v>2069</v>
      </c>
      <c r="B1299" s="15">
        <v>188</v>
      </c>
      <c r="C1299" s="109" t="s">
        <v>2112</v>
      </c>
      <c r="D1299" s="406" t="s">
        <v>203</v>
      </c>
      <c r="E1299" s="370"/>
      <c r="F1299" s="371"/>
      <c r="G1299" s="107" t="s">
        <v>279</v>
      </c>
      <c r="H1299" s="385"/>
    </row>
    <row r="1300" spans="1:8" ht="15" customHeight="1" x14ac:dyDescent="0.25">
      <c r="A1300" s="110" t="s">
        <v>2069</v>
      </c>
      <c r="B1300" s="15">
        <v>189</v>
      </c>
      <c r="C1300" s="109" t="s">
        <v>2113</v>
      </c>
      <c r="D1300" s="406" t="s">
        <v>203</v>
      </c>
      <c r="E1300" s="370"/>
      <c r="F1300" s="371"/>
      <c r="G1300" s="107" t="s">
        <v>2114</v>
      </c>
      <c r="H1300" s="385"/>
    </row>
    <row r="1301" spans="1:8" ht="15" customHeight="1" x14ac:dyDescent="0.25">
      <c r="A1301" s="110" t="s">
        <v>2069</v>
      </c>
      <c r="B1301" s="15">
        <v>190</v>
      </c>
      <c r="C1301" s="109" t="s">
        <v>2115</v>
      </c>
      <c r="D1301" s="406" t="s">
        <v>247</v>
      </c>
      <c r="E1301" s="370"/>
      <c r="F1301" s="371"/>
      <c r="G1301" s="107"/>
      <c r="H1301" s="385"/>
    </row>
    <row r="1302" spans="1:8" ht="15" customHeight="1" x14ac:dyDescent="0.25">
      <c r="A1302" s="110" t="s">
        <v>2069</v>
      </c>
      <c r="B1302" s="15">
        <v>191</v>
      </c>
      <c r="C1302" s="109" t="s">
        <v>2116</v>
      </c>
      <c r="D1302" s="406" t="s">
        <v>208</v>
      </c>
      <c r="E1302" s="370"/>
      <c r="F1302" s="371"/>
      <c r="G1302" s="107"/>
      <c r="H1302" s="385"/>
    </row>
    <row r="1303" spans="1:8" ht="15" customHeight="1" x14ac:dyDescent="0.25">
      <c r="A1303" s="110" t="s">
        <v>2069</v>
      </c>
      <c r="B1303" s="15">
        <v>192</v>
      </c>
      <c r="C1303" s="109" t="s">
        <v>2117</v>
      </c>
      <c r="D1303" s="406" t="s">
        <v>208</v>
      </c>
      <c r="E1303" s="370"/>
      <c r="F1303" s="371"/>
      <c r="G1303" s="107"/>
      <c r="H1303" s="385"/>
    </row>
    <row r="1304" spans="1:8" ht="15" customHeight="1" x14ac:dyDescent="0.25">
      <c r="A1304" s="110" t="s">
        <v>2069</v>
      </c>
      <c r="B1304" s="15">
        <v>193</v>
      </c>
      <c r="C1304" s="109" t="s">
        <v>2118</v>
      </c>
      <c r="D1304" s="406" t="s">
        <v>203</v>
      </c>
      <c r="E1304" s="370"/>
      <c r="F1304" s="371"/>
      <c r="G1304" s="107" t="s">
        <v>2119</v>
      </c>
      <c r="H1304" s="385"/>
    </row>
    <row r="1305" spans="1:8" ht="15" customHeight="1" x14ac:dyDescent="0.25">
      <c r="A1305" s="110" t="s">
        <v>2069</v>
      </c>
      <c r="B1305" s="15">
        <v>194</v>
      </c>
      <c r="C1305" s="109" t="s">
        <v>2120</v>
      </c>
      <c r="D1305" s="406" t="s">
        <v>208</v>
      </c>
      <c r="E1305" s="370"/>
      <c r="F1305" s="371"/>
      <c r="G1305" s="107"/>
      <c r="H1305" s="385"/>
    </row>
    <row r="1306" spans="1:8" ht="15" customHeight="1" x14ac:dyDescent="0.25">
      <c r="A1306" s="110" t="s">
        <v>2069</v>
      </c>
      <c r="B1306" s="15">
        <v>195</v>
      </c>
      <c r="C1306" s="109" t="s">
        <v>2121</v>
      </c>
      <c r="D1306" s="406" t="s">
        <v>208</v>
      </c>
      <c r="E1306" s="370"/>
      <c r="F1306" s="371"/>
      <c r="G1306" s="107"/>
      <c r="H1306" s="385"/>
    </row>
    <row r="1307" spans="1:8" ht="15" customHeight="1" x14ac:dyDescent="0.25">
      <c r="A1307" s="110" t="s">
        <v>2069</v>
      </c>
      <c r="B1307" s="15">
        <v>196</v>
      </c>
      <c r="C1307" s="109" t="s">
        <v>2122</v>
      </c>
      <c r="D1307" s="406" t="s">
        <v>203</v>
      </c>
      <c r="E1307" s="370"/>
      <c r="F1307" s="371"/>
      <c r="G1307" s="107" t="s">
        <v>2123</v>
      </c>
      <c r="H1307" s="385"/>
    </row>
    <row r="1308" spans="1:8" ht="15" customHeight="1" x14ac:dyDescent="0.25">
      <c r="A1308" s="110" t="s">
        <v>2069</v>
      </c>
      <c r="B1308" s="15">
        <v>197</v>
      </c>
      <c r="C1308" s="109" t="s">
        <v>2124</v>
      </c>
      <c r="D1308" s="406" t="s">
        <v>208</v>
      </c>
      <c r="E1308" s="370"/>
      <c r="F1308" s="371"/>
      <c r="G1308" s="107"/>
      <c r="H1308" s="385"/>
    </row>
    <row r="1309" spans="1:8" ht="15" customHeight="1" x14ac:dyDescent="0.25">
      <c r="A1309" s="110" t="s">
        <v>2069</v>
      </c>
      <c r="B1309" s="15">
        <v>198</v>
      </c>
      <c r="C1309" s="109" t="s">
        <v>2125</v>
      </c>
      <c r="D1309" s="406" t="s">
        <v>208</v>
      </c>
      <c r="E1309" s="370"/>
      <c r="F1309" s="371"/>
      <c r="G1309" s="107"/>
      <c r="H1309" s="385"/>
    </row>
    <row r="1310" spans="1:8" ht="15" customHeight="1" x14ac:dyDescent="0.25">
      <c r="A1310" s="110" t="s">
        <v>2069</v>
      </c>
      <c r="B1310" s="15">
        <v>199</v>
      </c>
      <c r="C1310" s="109" t="s">
        <v>2126</v>
      </c>
      <c r="D1310" s="406" t="s">
        <v>208</v>
      </c>
      <c r="E1310" s="370"/>
      <c r="F1310" s="371"/>
      <c r="G1310" s="107"/>
      <c r="H1310" s="385"/>
    </row>
    <row r="1311" spans="1:8" ht="15" customHeight="1" x14ac:dyDescent="0.25">
      <c r="A1311" s="110" t="s">
        <v>2069</v>
      </c>
      <c r="B1311" s="15">
        <v>200</v>
      </c>
      <c r="C1311" s="109" t="s">
        <v>2127</v>
      </c>
      <c r="D1311" s="406" t="s">
        <v>247</v>
      </c>
      <c r="E1311" s="370"/>
      <c r="F1311" s="371"/>
      <c r="G1311" s="107"/>
      <c r="H1311" s="385"/>
    </row>
    <row r="1312" spans="1:8" ht="15" customHeight="1" x14ac:dyDescent="0.25">
      <c r="A1312" s="110" t="s">
        <v>2069</v>
      </c>
      <c r="B1312" s="15">
        <v>201</v>
      </c>
      <c r="C1312" s="109" t="s">
        <v>2128</v>
      </c>
      <c r="D1312" s="406" t="s">
        <v>208</v>
      </c>
      <c r="E1312" s="370"/>
      <c r="F1312" s="371"/>
      <c r="G1312" s="107"/>
      <c r="H1312" s="385"/>
    </row>
    <row r="1313" spans="1:8" ht="15" customHeight="1" x14ac:dyDescent="0.25">
      <c r="A1313" s="110" t="s">
        <v>2069</v>
      </c>
      <c r="B1313" s="15">
        <v>202</v>
      </c>
      <c r="C1313" s="109" t="s">
        <v>2129</v>
      </c>
      <c r="D1313" s="406" t="s">
        <v>208</v>
      </c>
      <c r="E1313" s="370"/>
      <c r="F1313" s="371"/>
      <c r="G1313" s="107"/>
      <c r="H1313" s="385"/>
    </row>
    <row r="1314" spans="1:8" ht="15" customHeight="1" x14ac:dyDescent="0.25">
      <c r="A1314" s="110" t="s">
        <v>2069</v>
      </c>
      <c r="B1314" s="15">
        <v>203</v>
      </c>
      <c r="C1314" s="109" t="s">
        <v>2130</v>
      </c>
      <c r="D1314" s="406" t="s">
        <v>247</v>
      </c>
      <c r="E1314" s="370"/>
      <c r="F1314" s="371"/>
      <c r="G1314" s="107"/>
      <c r="H1314" s="385"/>
    </row>
    <row r="1315" spans="1:8" ht="15" customHeight="1" x14ac:dyDescent="0.25">
      <c r="A1315" s="110" t="s">
        <v>2069</v>
      </c>
      <c r="B1315" s="15">
        <v>204</v>
      </c>
      <c r="C1315" s="109" t="s">
        <v>2131</v>
      </c>
      <c r="D1315" s="406" t="s">
        <v>247</v>
      </c>
      <c r="E1315" s="370"/>
      <c r="F1315" s="371"/>
      <c r="G1315" s="107"/>
      <c r="H1315" s="385"/>
    </row>
    <row r="1316" spans="1:8" ht="15" customHeight="1" x14ac:dyDescent="0.25">
      <c r="A1316" s="110" t="s">
        <v>2069</v>
      </c>
      <c r="B1316" s="15">
        <v>205</v>
      </c>
      <c r="C1316" s="109" t="s">
        <v>2132</v>
      </c>
      <c r="D1316" s="406" t="s">
        <v>208</v>
      </c>
      <c r="E1316" s="370"/>
      <c r="F1316" s="371"/>
      <c r="G1316" s="107"/>
      <c r="H1316" s="385"/>
    </row>
    <row r="1317" spans="1:8" ht="15" customHeight="1" x14ac:dyDescent="0.25">
      <c r="A1317" s="110" t="s">
        <v>2069</v>
      </c>
      <c r="B1317" s="15">
        <v>206</v>
      </c>
      <c r="C1317" s="109" t="s">
        <v>2133</v>
      </c>
      <c r="D1317" s="406" t="s">
        <v>203</v>
      </c>
      <c r="E1317" s="370"/>
      <c r="F1317" s="371"/>
      <c r="G1317" s="117" t="s">
        <v>2134</v>
      </c>
      <c r="H1317" s="385"/>
    </row>
    <row r="1318" spans="1:8" ht="15" customHeight="1" x14ac:dyDescent="0.25">
      <c r="A1318" s="110" t="s">
        <v>2069</v>
      </c>
      <c r="B1318" s="15">
        <v>207</v>
      </c>
      <c r="C1318" s="109" t="s">
        <v>2135</v>
      </c>
      <c r="D1318" s="406" t="s">
        <v>208</v>
      </c>
      <c r="E1318" s="370"/>
      <c r="F1318" s="371"/>
      <c r="G1318" s="107"/>
      <c r="H1318" s="385"/>
    </row>
    <row r="1319" spans="1:8" ht="15" customHeight="1" x14ac:dyDescent="0.25">
      <c r="A1319" s="110" t="s">
        <v>2069</v>
      </c>
      <c r="B1319" s="15">
        <v>208</v>
      </c>
      <c r="C1319" s="109" t="s">
        <v>2136</v>
      </c>
      <c r="D1319" s="406" t="s">
        <v>247</v>
      </c>
      <c r="E1319" s="370"/>
      <c r="F1319" s="371"/>
      <c r="G1319" s="107"/>
      <c r="H1319" s="385"/>
    </row>
    <row r="1320" spans="1:8" ht="15" customHeight="1" x14ac:dyDescent="0.25">
      <c r="A1320" s="110" t="s">
        <v>2069</v>
      </c>
      <c r="B1320" s="15">
        <v>209</v>
      </c>
      <c r="C1320" s="109" t="s">
        <v>2137</v>
      </c>
      <c r="D1320" s="406" t="s">
        <v>208</v>
      </c>
      <c r="E1320" s="370"/>
      <c r="F1320" s="371"/>
      <c r="G1320" s="107"/>
      <c r="H1320" s="385"/>
    </row>
    <row r="1321" spans="1:8" ht="15" customHeight="1" x14ac:dyDescent="0.25">
      <c r="A1321" s="110" t="s">
        <v>2069</v>
      </c>
      <c r="B1321" s="15">
        <v>210</v>
      </c>
      <c r="C1321" s="109" t="s">
        <v>2138</v>
      </c>
      <c r="D1321" s="406" t="s">
        <v>247</v>
      </c>
      <c r="E1321" s="370"/>
      <c r="F1321" s="371"/>
      <c r="G1321" s="107" t="s">
        <v>2139</v>
      </c>
      <c r="H1321" s="385"/>
    </row>
    <row r="1322" spans="1:8" ht="15" customHeight="1" x14ac:dyDescent="0.25">
      <c r="A1322" s="110" t="s">
        <v>2069</v>
      </c>
      <c r="B1322" s="15">
        <v>211</v>
      </c>
      <c r="C1322" s="109" t="s">
        <v>2140</v>
      </c>
      <c r="D1322" s="406" t="s">
        <v>247</v>
      </c>
      <c r="E1322" s="370"/>
      <c r="F1322" s="371"/>
      <c r="G1322" s="107"/>
      <c r="H1322" s="385"/>
    </row>
    <row r="1323" spans="1:8" ht="15" customHeight="1" x14ac:dyDescent="0.25">
      <c r="A1323" s="110" t="s">
        <v>2069</v>
      </c>
      <c r="B1323" s="15">
        <v>212</v>
      </c>
      <c r="C1323" s="109" t="s">
        <v>2141</v>
      </c>
      <c r="D1323" s="406" t="s">
        <v>208</v>
      </c>
      <c r="E1323" s="370"/>
      <c r="F1323" s="371"/>
      <c r="G1323" s="107"/>
      <c r="H1323" s="385"/>
    </row>
    <row r="1324" spans="1:8" ht="15" customHeight="1" x14ac:dyDescent="0.25">
      <c r="A1324" s="110" t="s">
        <v>2069</v>
      </c>
      <c r="B1324" s="15">
        <v>213</v>
      </c>
      <c r="C1324" s="109" t="s">
        <v>2142</v>
      </c>
      <c r="D1324" s="406" t="s">
        <v>208</v>
      </c>
      <c r="E1324" s="370"/>
      <c r="F1324" s="371"/>
      <c r="G1324" s="107"/>
      <c r="H1324" s="385"/>
    </row>
    <row r="1325" spans="1:8" ht="15" customHeight="1" x14ac:dyDescent="0.25">
      <c r="A1325" s="110" t="s">
        <v>2069</v>
      </c>
      <c r="B1325" s="15">
        <v>214</v>
      </c>
      <c r="C1325" s="109" t="s">
        <v>2143</v>
      </c>
      <c r="D1325" s="406" t="s">
        <v>203</v>
      </c>
      <c r="E1325" s="370"/>
      <c r="F1325" s="371"/>
      <c r="G1325" s="117" t="s">
        <v>662</v>
      </c>
      <c r="H1325" s="385"/>
    </row>
    <row r="1326" spans="1:8" ht="15" customHeight="1" x14ac:dyDescent="0.25">
      <c r="A1326" s="110" t="s">
        <v>2069</v>
      </c>
      <c r="B1326" s="15">
        <v>215</v>
      </c>
      <c r="C1326" s="109" t="s">
        <v>2144</v>
      </c>
      <c r="D1326" s="406" t="s">
        <v>247</v>
      </c>
      <c r="E1326" s="370"/>
      <c r="F1326" s="371"/>
      <c r="G1326" s="107"/>
      <c r="H1326" s="385"/>
    </row>
    <row r="1327" spans="1:8" ht="15" customHeight="1" x14ac:dyDescent="0.25">
      <c r="A1327" s="110" t="s">
        <v>2069</v>
      </c>
      <c r="B1327" s="15">
        <v>216</v>
      </c>
      <c r="C1327" s="109" t="s">
        <v>2145</v>
      </c>
      <c r="D1327" s="406" t="s">
        <v>203</v>
      </c>
      <c r="E1327" s="370"/>
      <c r="F1327" s="371"/>
      <c r="G1327" s="107" t="s">
        <v>2146</v>
      </c>
      <c r="H1327" s="385"/>
    </row>
    <row r="1328" spans="1:8" ht="15" customHeight="1" x14ac:dyDescent="0.25">
      <c r="A1328" s="110" t="s">
        <v>2069</v>
      </c>
      <c r="B1328" s="15">
        <v>217</v>
      </c>
      <c r="C1328" s="109" t="s">
        <v>2147</v>
      </c>
      <c r="D1328" s="406" t="s">
        <v>203</v>
      </c>
      <c r="E1328" s="370"/>
      <c r="F1328" s="371"/>
      <c r="G1328" s="107" t="s">
        <v>2148</v>
      </c>
      <c r="H1328" s="385"/>
    </row>
    <row r="1329" spans="1:8" ht="15" customHeight="1" x14ac:dyDescent="0.25">
      <c r="A1329" s="110" t="s">
        <v>2069</v>
      </c>
      <c r="B1329" s="15">
        <v>218</v>
      </c>
      <c r="C1329" s="109" t="s">
        <v>2149</v>
      </c>
      <c r="D1329" s="406" t="s">
        <v>247</v>
      </c>
      <c r="E1329" s="370"/>
      <c r="F1329" s="371"/>
      <c r="G1329" s="107"/>
      <c r="H1329" s="385"/>
    </row>
    <row r="1330" spans="1:8" ht="15" customHeight="1" x14ac:dyDescent="0.25">
      <c r="A1330" s="110" t="s">
        <v>2069</v>
      </c>
      <c r="B1330" s="15">
        <v>219</v>
      </c>
      <c r="C1330" s="109" t="s">
        <v>2150</v>
      </c>
      <c r="D1330" s="406" t="s">
        <v>247</v>
      </c>
      <c r="E1330" s="370"/>
      <c r="F1330" s="371"/>
      <c r="G1330" s="107"/>
      <c r="H1330" s="385"/>
    </row>
    <row r="1331" spans="1:8" ht="15" customHeight="1" x14ac:dyDescent="0.25">
      <c r="A1331" s="110" t="s">
        <v>2069</v>
      </c>
      <c r="B1331" s="15">
        <v>220</v>
      </c>
      <c r="C1331" s="109" t="s">
        <v>2151</v>
      </c>
      <c r="D1331" s="406" t="s">
        <v>247</v>
      </c>
      <c r="E1331" s="370"/>
      <c r="F1331" s="371"/>
      <c r="G1331" s="107"/>
      <c r="H1331" s="385"/>
    </row>
    <row r="1332" spans="1:8" ht="15" customHeight="1" x14ac:dyDescent="0.25">
      <c r="A1332" s="110" t="s">
        <v>2069</v>
      </c>
      <c r="B1332" s="15">
        <v>221</v>
      </c>
      <c r="C1332" s="109" t="s">
        <v>2152</v>
      </c>
      <c r="D1332" s="406" t="s">
        <v>247</v>
      </c>
      <c r="E1332" s="370"/>
      <c r="F1332" s="371"/>
      <c r="G1332" s="107"/>
      <c r="H1332" s="385"/>
    </row>
    <row r="1333" spans="1:8" ht="15" customHeight="1" x14ac:dyDescent="0.25">
      <c r="A1333" s="110" t="s">
        <v>2069</v>
      </c>
      <c r="B1333" s="15">
        <v>222</v>
      </c>
      <c r="C1333" s="109" t="s">
        <v>2153</v>
      </c>
      <c r="D1333" s="406" t="s">
        <v>203</v>
      </c>
      <c r="E1333" s="370"/>
      <c r="F1333" s="371"/>
      <c r="G1333" s="107" t="s">
        <v>2154</v>
      </c>
      <c r="H1333" s="385"/>
    </row>
    <row r="1334" spans="1:8" ht="15" customHeight="1" x14ac:dyDescent="0.25">
      <c r="A1334" s="110" t="s">
        <v>2069</v>
      </c>
      <c r="B1334" s="15">
        <v>223</v>
      </c>
      <c r="C1334" s="109" t="s">
        <v>2155</v>
      </c>
      <c r="D1334" s="406" t="s">
        <v>247</v>
      </c>
      <c r="E1334" s="370"/>
      <c r="F1334" s="371"/>
      <c r="G1334" s="107"/>
      <c r="H1334" s="385"/>
    </row>
    <row r="1335" spans="1:8" ht="15" customHeight="1" x14ac:dyDescent="0.25">
      <c r="A1335" s="110" t="s">
        <v>2069</v>
      </c>
      <c r="B1335" s="15">
        <v>224</v>
      </c>
      <c r="C1335" s="109" t="s">
        <v>2156</v>
      </c>
      <c r="D1335" s="406" t="s">
        <v>203</v>
      </c>
      <c r="E1335" s="370"/>
      <c r="F1335" s="371"/>
      <c r="G1335" s="107" t="s">
        <v>2157</v>
      </c>
      <c r="H1335" s="385"/>
    </row>
    <row r="1336" spans="1:8" ht="15" customHeight="1" x14ac:dyDescent="0.25">
      <c r="A1336" s="110" t="s">
        <v>2069</v>
      </c>
      <c r="B1336" s="15">
        <v>225</v>
      </c>
      <c r="C1336" s="109" t="s">
        <v>2158</v>
      </c>
      <c r="D1336" s="406" t="s">
        <v>208</v>
      </c>
      <c r="E1336" s="370"/>
      <c r="F1336" s="371"/>
      <c r="G1336" s="107"/>
      <c r="H1336" s="385"/>
    </row>
    <row r="1337" spans="1:8" ht="15" customHeight="1" x14ac:dyDescent="0.25">
      <c r="A1337" s="110" t="s">
        <v>2069</v>
      </c>
      <c r="B1337" s="15">
        <v>226</v>
      </c>
      <c r="C1337" s="109" t="s">
        <v>2159</v>
      </c>
      <c r="D1337" s="406" t="s">
        <v>203</v>
      </c>
      <c r="E1337" s="370"/>
      <c r="F1337" s="371"/>
      <c r="G1337" s="107" t="s">
        <v>2160</v>
      </c>
      <c r="H1337" s="385"/>
    </row>
    <row r="1338" spans="1:8" ht="15.75" customHeight="1" x14ac:dyDescent="0.25">
      <c r="A1338" s="110" t="s">
        <v>2069</v>
      </c>
      <c r="B1338" s="15">
        <v>227</v>
      </c>
      <c r="C1338" s="109" t="s">
        <v>2161</v>
      </c>
      <c r="D1338" s="406" t="s">
        <v>203</v>
      </c>
      <c r="E1338" s="370"/>
      <c r="F1338" s="371"/>
      <c r="G1338" s="107" t="s">
        <v>2162</v>
      </c>
      <c r="H1338" s="385"/>
    </row>
    <row r="1339" spans="1:8" ht="15.75" customHeight="1" x14ac:dyDescent="0.25">
      <c r="A1339" s="110" t="s">
        <v>2163</v>
      </c>
      <c r="B1339" s="15">
        <v>228</v>
      </c>
      <c r="C1339" s="109" t="s">
        <v>2164</v>
      </c>
      <c r="D1339" s="406" t="s">
        <v>203</v>
      </c>
      <c r="E1339" s="370"/>
      <c r="F1339" s="371"/>
      <c r="G1339" s="107" t="s">
        <v>1580</v>
      </c>
      <c r="H1339" s="385"/>
    </row>
    <row r="1340" spans="1:8" ht="15" customHeight="1" x14ac:dyDescent="0.25">
      <c r="A1340" s="110" t="s">
        <v>2163</v>
      </c>
      <c r="B1340" s="15">
        <v>229</v>
      </c>
      <c r="C1340" s="109" t="s">
        <v>2165</v>
      </c>
      <c r="D1340" s="406" t="s">
        <v>203</v>
      </c>
      <c r="E1340" s="370"/>
      <c r="F1340" s="371"/>
      <c r="G1340" s="107" t="s">
        <v>2166</v>
      </c>
      <c r="H1340" s="385"/>
    </row>
    <row r="1341" spans="1:8" ht="15" customHeight="1" x14ac:dyDescent="0.25">
      <c r="A1341" s="110" t="s">
        <v>2163</v>
      </c>
      <c r="B1341" s="15">
        <v>230</v>
      </c>
      <c r="C1341" s="109" t="s">
        <v>2167</v>
      </c>
      <c r="D1341" s="406" t="s">
        <v>208</v>
      </c>
      <c r="E1341" s="370"/>
      <c r="F1341" s="371"/>
      <c r="G1341" s="107"/>
      <c r="H1341" s="385"/>
    </row>
    <row r="1342" spans="1:8" ht="15" customHeight="1" x14ac:dyDescent="0.25">
      <c r="A1342" s="110" t="s">
        <v>2163</v>
      </c>
      <c r="B1342" s="15">
        <v>231</v>
      </c>
      <c r="C1342" s="109" t="s">
        <v>2168</v>
      </c>
      <c r="D1342" s="406" t="s">
        <v>208</v>
      </c>
      <c r="E1342" s="370"/>
      <c r="F1342" s="371"/>
      <c r="G1342" s="107"/>
      <c r="H1342" s="385"/>
    </row>
    <row r="1343" spans="1:8" ht="15" customHeight="1" x14ac:dyDescent="0.25">
      <c r="A1343" s="110" t="s">
        <v>2163</v>
      </c>
      <c r="B1343" s="15">
        <v>232</v>
      </c>
      <c r="C1343" s="109" t="s">
        <v>2169</v>
      </c>
      <c r="D1343" s="406" t="s">
        <v>247</v>
      </c>
      <c r="E1343" s="370"/>
      <c r="F1343" s="371"/>
      <c r="G1343" s="107"/>
      <c r="H1343" s="385"/>
    </row>
    <row r="1344" spans="1:8" ht="15" customHeight="1" x14ac:dyDescent="0.25">
      <c r="A1344" s="110" t="s">
        <v>2163</v>
      </c>
      <c r="B1344" s="15">
        <v>233</v>
      </c>
      <c r="C1344" s="109" t="s">
        <v>2170</v>
      </c>
      <c r="D1344" s="406" t="s">
        <v>203</v>
      </c>
      <c r="E1344" s="370"/>
      <c r="F1344" s="371"/>
      <c r="G1344" s="107" t="s">
        <v>2171</v>
      </c>
      <c r="H1344" s="385"/>
    </row>
    <row r="1345" spans="1:8" ht="15" customHeight="1" x14ac:dyDescent="0.25">
      <c r="A1345" s="110" t="s">
        <v>2163</v>
      </c>
      <c r="B1345" s="15">
        <v>234</v>
      </c>
      <c r="C1345" s="109" t="s">
        <v>2172</v>
      </c>
      <c r="D1345" s="406" t="s">
        <v>208</v>
      </c>
      <c r="E1345" s="370"/>
      <c r="F1345" s="371"/>
      <c r="G1345" s="107"/>
      <c r="H1345" s="385"/>
    </row>
    <row r="1346" spans="1:8" ht="15" customHeight="1" x14ac:dyDescent="0.25">
      <c r="A1346" s="110" t="s">
        <v>2163</v>
      </c>
      <c r="B1346" s="15">
        <v>235</v>
      </c>
      <c r="C1346" s="109" t="s">
        <v>2173</v>
      </c>
      <c r="D1346" s="406" t="s">
        <v>208</v>
      </c>
      <c r="E1346" s="370"/>
      <c r="F1346" s="371"/>
      <c r="G1346" s="107"/>
      <c r="H1346" s="385"/>
    </row>
    <row r="1347" spans="1:8" ht="15" customHeight="1" x14ac:dyDescent="0.25">
      <c r="A1347" s="110" t="s">
        <v>2163</v>
      </c>
      <c r="B1347" s="15">
        <v>236</v>
      </c>
      <c r="C1347" s="109" t="s">
        <v>2174</v>
      </c>
      <c r="D1347" s="406" t="s">
        <v>203</v>
      </c>
      <c r="E1347" s="370"/>
      <c r="F1347" s="371"/>
      <c r="G1347" s="127" t="s">
        <v>2175</v>
      </c>
      <c r="H1347" s="385"/>
    </row>
    <row r="1348" spans="1:8" ht="15" customHeight="1" x14ac:dyDescent="0.25">
      <c r="A1348" s="110" t="s">
        <v>2163</v>
      </c>
      <c r="B1348" s="15">
        <v>237</v>
      </c>
      <c r="C1348" s="109" t="s">
        <v>2176</v>
      </c>
      <c r="D1348" s="406" t="s">
        <v>208</v>
      </c>
      <c r="E1348" s="370"/>
      <c r="F1348" s="371"/>
      <c r="G1348" s="107"/>
      <c r="H1348" s="385"/>
    </row>
    <row r="1349" spans="1:8" ht="15" customHeight="1" x14ac:dyDescent="0.25">
      <c r="A1349" s="110" t="s">
        <v>2163</v>
      </c>
      <c r="B1349" s="15">
        <v>238</v>
      </c>
      <c r="C1349" s="109" t="s">
        <v>2177</v>
      </c>
      <c r="D1349" s="406" t="s">
        <v>203</v>
      </c>
      <c r="E1349" s="370"/>
      <c r="F1349" s="371"/>
      <c r="G1349" s="107" t="s">
        <v>2178</v>
      </c>
      <c r="H1349" s="385"/>
    </row>
    <row r="1350" spans="1:8" ht="15" customHeight="1" x14ac:dyDescent="0.25">
      <c r="A1350" s="110" t="s">
        <v>2163</v>
      </c>
      <c r="B1350" s="15">
        <v>239</v>
      </c>
      <c r="C1350" s="109" t="s">
        <v>2179</v>
      </c>
      <c r="D1350" s="406" t="s">
        <v>208</v>
      </c>
      <c r="E1350" s="370"/>
      <c r="F1350" s="371"/>
      <c r="G1350" s="107"/>
      <c r="H1350" s="385"/>
    </row>
    <row r="1351" spans="1:8" ht="15" customHeight="1" x14ac:dyDescent="0.25">
      <c r="A1351" s="110" t="s">
        <v>2163</v>
      </c>
      <c r="B1351" s="15">
        <v>240</v>
      </c>
      <c r="C1351" s="109" t="s">
        <v>2180</v>
      </c>
      <c r="D1351" s="406" t="s">
        <v>247</v>
      </c>
      <c r="E1351" s="370"/>
      <c r="F1351" s="371"/>
      <c r="G1351" s="107"/>
      <c r="H1351" s="385"/>
    </row>
    <row r="1352" spans="1:8" ht="15" customHeight="1" x14ac:dyDescent="0.25">
      <c r="A1352" s="110" t="s">
        <v>2163</v>
      </c>
      <c r="B1352" s="15">
        <v>241</v>
      </c>
      <c r="C1352" s="109" t="s">
        <v>2181</v>
      </c>
      <c r="D1352" s="406" t="s">
        <v>247</v>
      </c>
      <c r="E1352" s="370"/>
      <c r="F1352" s="371"/>
      <c r="G1352" s="107"/>
      <c r="H1352" s="385"/>
    </row>
    <row r="1353" spans="1:8" ht="15" customHeight="1" x14ac:dyDescent="0.25">
      <c r="A1353" s="110" t="s">
        <v>2163</v>
      </c>
      <c r="B1353" s="15">
        <v>242</v>
      </c>
      <c r="C1353" s="109" t="s">
        <v>2182</v>
      </c>
      <c r="D1353" s="406" t="s">
        <v>203</v>
      </c>
      <c r="E1353" s="370"/>
      <c r="F1353" s="371"/>
      <c r="G1353" s="117" t="s">
        <v>2183</v>
      </c>
      <c r="H1353" s="385"/>
    </row>
    <row r="1354" spans="1:8" ht="15" customHeight="1" x14ac:dyDescent="0.25">
      <c r="A1354" s="110" t="s">
        <v>2163</v>
      </c>
      <c r="B1354" s="15">
        <v>243</v>
      </c>
      <c r="C1354" s="109" t="s">
        <v>2184</v>
      </c>
      <c r="D1354" s="406" t="s">
        <v>203</v>
      </c>
      <c r="E1354" s="370"/>
      <c r="F1354" s="371"/>
      <c r="G1354" s="107" t="s">
        <v>2185</v>
      </c>
      <c r="H1354" s="385"/>
    </row>
    <row r="1355" spans="1:8" ht="15" customHeight="1" x14ac:dyDescent="0.25">
      <c r="A1355" s="110" t="s">
        <v>2163</v>
      </c>
      <c r="B1355" s="15">
        <v>244</v>
      </c>
      <c r="C1355" s="109" t="s">
        <v>2186</v>
      </c>
      <c r="D1355" s="406" t="s">
        <v>208</v>
      </c>
      <c r="E1355" s="370"/>
      <c r="F1355" s="371"/>
      <c r="G1355" s="107"/>
      <c r="H1355" s="385"/>
    </row>
    <row r="1356" spans="1:8" ht="15" customHeight="1" x14ac:dyDescent="0.25">
      <c r="A1356" s="110" t="s">
        <v>2163</v>
      </c>
      <c r="B1356" s="15">
        <v>245</v>
      </c>
      <c r="C1356" s="109" t="s">
        <v>2187</v>
      </c>
      <c r="D1356" s="406" t="s">
        <v>203</v>
      </c>
      <c r="E1356" s="370"/>
      <c r="F1356" s="371"/>
      <c r="G1356" s="117" t="s">
        <v>2188</v>
      </c>
      <c r="H1356" s="385"/>
    </row>
    <row r="1357" spans="1:8" ht="15" customHeight="1" x14ac:dyDescent="0.25">
      <c r="A1357" s="110" t="s">
        <v>2163</v>
      </c>
      <c r="B1357" s="15">
        <v>246</v>
      </c>
      <c r="C1357" s="109" t="s">
        <v>2189</v>
      </c>
      <c r="D1357" s="406" t="s">
        <v>208</v>
      </c>
      <c r="E1357" s="370"/>
      <c r="F1357" s="371"/>
      <c r="G1357" s="107"/>
      <c r="H1357" s="385"/>
    </row>
    <row r="1358" spans="1:8" ht="15" customHeight="1" x14ac:dyDescent="0.25">
      <c r="A1358" s="110" t="s">
        <v>2163</v>
      </c>
      <c r="B1358" s="15">
        <v>247</v>
      </c>
      <c r="C1358" s="109" t="s">
        <v>2190</v>
      </c>
      <c r="D1358" s="406" t="s">
        <v>247</v>
      </c>
      <c r="E1358" s="370"/>
      <c r="F1358" s="371"/>
      <c r="G1358" s="107"/>
      <c r="H1358" s="385"/>
    </row>
    <row r="1359" spans="1:8" ht="15" customHeight="1" x14ac:dyDescent="0.25">
      <c r="A1359" s="110" t="s">
        <v>2163</v>
      </c>
      <c r="B1359" s="15">
        <v>248</v>
      </c>
      <c r="C1359" s="109" t="s">
        <v>2191</v>
      </c>
      <c r="D1359" s="406" t="s">
        <v>247</v>
      </c>
      <c r="E1359" s="370"/>
      <c r="F1359" s="371"/>
      <c r="G1359" s="107"/>
      <c r="H1359" s="385"/>
    </row>
    <row r="1360" spans="1:8" ht="15" customHeight="1" x14ac:dyDescent="0.25">
      <c r="A1360" s="110" t="s">
        <v>2163</v>
      </c>
      <c r="B1360" s="15">
        <v>249</v>
      </c>
      <c r="C1360" s="109" t="s">
        <v>2192</v>
      </c>
      <c r="D1360" s="406" t="s">
        <v>247</v>
      </c>
      <c r="E1360" s="370"/>
      <c r="F1360" s="371"/>
      <c r="G1360" s="107"/>
      <c r="H1360" s="385"/>
    </row>
    <row r="1361" spans="1:26" ht="15" customHeight="1" x14ac:dyDescent="0.25">
      <c r="A1361" s="110" t="s">
        <v>2163</v>
      </c>
      <c r="B1361" s="15">
        <v>250</v>
      </c>
      <c r="C1361" s="109" t="s">
        <v>2193</v>
      </c>
      <c r="D1361" s="406" t="s">
        <v>208</v>
      </c>
      <c r="E1361" s="370"/>
      <c r="F1361" s="371"/>
      <c r="G1361" s="107"/>
      <c r="H1361" s="385"/>
    </row>
    <row r="1362" spans="1:26" ht="15" customHeight="1" x14ac:dyDescent="0.25">
      <c r="A1362" s="110" t="s">
        <v>2163</v>
      </c>
      <c r="B1362" s="15">
        <v>251</v>
      </c>
      <c r="C1362" s="109" t="s">
        <v>2194</v>
      </c>
      <c r="D1362" s="406" t="s">
        <v>208</v>
      </c>
      <c r="E1362" s="370"/>
      <c r="F1362" s="371"/>
      <c r="G1362" s="107"/>
      <c r="H1362" s="385"/>
    </row>
    <row r="1363" spans="1:26" ht="15" customHeight="1" x14ac:dyDescent="0.25">
      <c r="A1363" s="110" t="s">
        <v>2163</v>
      </c>
      <c r="B1363" s="15">
        <v>252</v>
      </c>
      <c r="C1363" s="109" t="s">
        <v>2195</v>
      </c>
      <c r="D1363" s="406" t="s">
        <v>247</v>
      </c>
      <c r="E1363" s="370"/>
      <c r="F1363" s="371"/>
      <c r="G1363" s="107"/>
      <c r="H1363" s="385"/>
    </row>
    <row r="1364" spans="1:26" ht="15" customHeight="1" x14ac:dyDescent="0.25">
      <c r="A1364" s="110" t="s">
        <v>2163</v>
      </c>
      <c r="B1364" s="15">
        <v>253</v>
      </c>
      <c r="C1364" s="109" t="s">
        <v>2196</v>
      </c>
      <c r="D1364" s="406" t="s">
        <v>203</v>
      </c>
      <c r="E1364" s="370"/>
      <c r="F1364" s="371"/>
      <c r="G1364" s="107" t="s">
        <v>2197</v>
      </c>
      <c r="H1364" s="385"/>
    </row>
    <row r="1365" spans="1:26" ht="15" customHeight="1" x14ac:dyDescent="0.25">
      <c r="A1365" s="110" t="s">
        <v>2163</v>
      </c>
      <c r="B1365" s="15">
        <v>254</v>
      </c>
      <c r="C1365" s="109" t="s">
        <v>2198</v>
      </c>
      <c r="D1365" s="406" t="s">
        <v>203</v>
      </c>
      <c r="E1365" s="370"/>
      <c r="F1365" s="371"/>
      <c r="G1365" s="107" t="s">
        <v>2199</v>
      </c>
      <c r="H1365" s="385"/>
    </row>
    <row r="1366" spans="1:26" ht="15" customHeight="1" x14ac:dyDescent="0.25">
      <c r="A1366" s="110" t="s">
        <v>2163</v>
      </c>
      <c r="B1366" s="15">
        <v>255</v>
      </c>
      <c r="C1366" s="109" t="s">
        <v>2200</v>
      </c>
      <c r="D1366" s="406" t="s">
        <v>203</v>
      </c>
      <c r="E1366" s="370"/>
      <c r="F1366" s="371"/>
      <c r="G1366" s="117" t="s">
        <v>2201</v>
      </c>
      <c r="H1366" s="385"/>
    </row>
    <row r="1367" spans="1:26" ht="15" customHeight="1" x14ac:dyDescent="0.25">
      <c r="A1367" s="110" t="s">
        <v>2163</v>
      </c>
      <c r="B1367" s="15">
        <v>256</v>
      </c>
      <c r="C1367" s="109" t="s">
        <v>2202</v>
      </c>
      <c r="D1367" s="406" t="s">
        <v>247</v>
      </c>
      <c r="E1367" s="370"/>
      <c r="F1367" s="371"/>
      <c r="G1367" s="113"/>
      <c r="H1367" s="385"/>
    </row>
    <row r="1368" spans="1:26" ht="15" customHeight="1" x14ac:dyDescent="0.25">
      <c r="A1368" s="110" t="s">
        <v>2163</v>
      </c>
      <c r="B1368" s="15">
        <v>257</v>
      </c>
      <c r="C1368" s="109" t="s">
        <v>2203</v>
      </c>
      <c r="D1368" s="406" t="s">
        <v>208</v>
      </c>
      <c r="E1368" s="370"/>
      <c r="F1368" s="371"/>
      <c r="G1368" s="107"/>
      <c r="H1368" s="385"/>
    </row>
    <row r="1369" spans="1:26" ht="15" customHeight="1" x14ac:dyDescent="0.25">
      <c r="A1369" s="110" t="s">
        <v>2163</v>
      </c>
      <c r="B1369" s="15">
        <v>258</v>
      </c>
      <c r="C1369" s="109" t="s">
        <v>2204</v>
      </c>
      <c r="D1369" s="406" t="s">
        <v>247</v>
      </c>
      <c r="E1369" s="370"/>
      <c r="F1369" s="371"/>
      <c r="G1369" s="107"/>
      <c r="H1369" s="385"/>
      <c r="I1369" s="4"/>
      <c r="J1369" s="4"/>
      <c r="K1369" s="4"/>
      <c r="L1369" s="4"/>
      <c r="M1369" s="4"/>
      <c r="N1369" s="4"/>
      <c r="O1369" s="4"/>
      <c r="P1369" s="4"/>
      <c r="Q1369" s="4"/>
      <c r="R1369" s="4"/>
      <c r="S1369" s="4"/>
      <c r="T1369" s="4"/>
      <c r="U1369" s="4"/>
      <c r="V1369" s="4"/>
      <c r="W1369" s="4"/>
      <c r="X1369" s="4"/>
      <c r="Y1369" s="4"/>
      <c r="Z1369" s="4"/>
    </row>
    <row r="1370" spans="1:26" ht="15" customHeight="1" x14ac:dyDescent="0.25">
      <c r="A1370" s="110" t="s">
        <v>2163</v>
      </c>
      <c r="B1370" s="15">
        <v>259</v>
      </c>
      <c r="C1370" s="109" t="s">
        <v>2205</v>
      </c>
      <c r="D1370" s="406" t="s">
        <v>247</v>
      </c>
      <c r="E1370" s="370"/>
      <c r="F1370" s="371"/>
      <c r="G1370" s="107"/>
      <c r="H1370" s="385"/>
    </row>
    <row r="1371" spans="1:26" ht="15" customHeight="1" x14ac:dyDescent="0.25">
      <c r="A1371" s="110" t="s">
        <v>2163</v>
      </c>
      <c r="B1371" s="15">
        <v>260</v>
      </c>
      <c r="C1371" s="109" t="s">
        <v>2206</v>
      </c>
      <c r="D1371" s="406" t="s">
        <v>247</v>
      </c>
      <c r="E1371" s="370"/>
      <c r="F1371" s="371"/>
      <c r="G1371" s="107"/>
      <c r="H1371" s="385"/>
    </row>
    <row r="1372" spans="1:26" ht="15" customHeight="1" x14ac:dyDescent="0.25">
      <c r="A1372" s="110" t="s">
        <v>2163</v>
      </c>
      <c r="B1372" s="15">
        <v>261</v>
      </c>
      <c r="C1372" s="109" t="s">
        <v>2207</v>
      </c>
      <c r="D1372" s="406" t="s">
        <v>203</v>
      </c>
      <c r="E1372" s="370"/>
      <c r="F1372" s="371"/>
      <c r="G1372" s="107" t="s">
        <v>2208</v>
      </c>
      <c r="H1372" s="385"/>
    </row>
    <row r="1373" spans="1:26" ht="15" customHeight="1" x14ac:dyDescent="0.25">
      <c r="A1373" s="110" t="s">
        <v>2163</v>
      </c>
      <c r="B1373" s="15">
        <v>262</v>
      </c>
      <c r="C1373" s="109" t="s">
        <v>2209</v>
      </c>
      <c r="D1373" s="406" t="s">
        <v>247</v>
      </c>
      <c r="E1373" s="370"/>
      <c r="F1373" s="371"/>
      <c r="G1373" s="107"/>
      <c r="H1373" s="385"/>
    </row>
    <row r="1374" spans="1:26" ht="15" customHeight="1" x14ac:dyDescent="0.25">
      <c r="A1374" s="110" t="s">
        <v>2163</v>
      </c>
      <c r="B1374" s="15">
        <v>263</v>
      </c>
      <c r="C1374" s="109" t="s">
        <v>2210</v>
      </c>
      <c r="D1374" s="406" t="s">
        <v>208</v>
      </c>
      <c r="E1374" s="370"/>
      <c r="F1374" s="371"/>
      <c r="G1374" s="107"/>
      <c r="H1374" s="385"/>
    </row>
    <row r="1375" spans="1:26" ht="15" customHeight="1" x14ac:dyDescent="0.25">
      <c r="A1375" s="110" t="s">
        <v>2163</v>
      </c>
      <c r="B1375" s="15">
        <v>264</v>
      </c>
      <c r="C1375" s="109" t="s">
        <v>2211</v>
      </c>
      <c r="D1375" s="406" t="s">
        <v>203</v>
      </c>
      <c r="E1375" s="370"/>
      <c r="F1375" s="371"/>
      <c r="G1375" s="107" t="s">
        <v>2212</v>
      </c>
      <c r="H1375" s="385"/>
    </row>
    <row r="1376" spans="1:26" ht="15" customHeight="1" x14ac:dyDescent="0.25">
      <c r="A1376" s="110" t="s">
        <v>2163</v>
      </c>
      <c r="B1376" s="15">
        <v>265</v>
      </c>
      <c r="C1376" s="109" t="s">
        <v>2213</v>
      </c>
      <c r="D1376" s="406" t="s">
        <v>208</v>
      </c>
      <c r="E1376" s="370"/>
      <c r="F1376" s="371"/>
      <c r="G1376" s="107"/>
      <c r="H1376" s="385"/>
    </row>
    <row r="1377" spans="1:26" ht="15.75" customHeight="1" x14ac:dyDescent="0.25">
      <c r="A1377" s="110" t="s">
        <v>2163</v>
      </c>
      <c r="B1377" s="15">
        <v>266</v>
      </c>
      <c r="C1377" s="115" t="s">
        <v>2214</v>
      </c>
      <c r="D1377" s="406" t="s">
        <v>203</v>
      </c>
      <c r="E1377" s="370"/>
      <c r="F1377" s="371"/>
      <c r="G1377" s="83" t="s">
        <v>2215</v>
      </c>
      <c r="H1377" s="385"/>
    </row>
    <row r="1378" spans="1:26" ht="15.75" customHeight="1" x14ac:dyDescent="0.25">
      <c r="A1378" s="110" t="s">
        <v>2163</v>
      </c>
      <c r="B1378" s="15">
        <v>267</v>
      </c>
      <c r="C1378" s="115" t="s">
        <v>2216</v>
      </c>
      <c r="D1378" s="406" t="s">
        <v>247</v>
      </c>
      <c r="E1378" s="370"/>
      <c r="F1378" s="371"/>
      <c r="G1378" s="83"/>
      <c r="H1378" s="385"/>
      <c r="I1378" s="4"/>
      <c r="J1378" s="4"/>
      <c r="K1378" s="4"/>
      <c r="L1378" s="4"/>
      <c r="M1378" s="4"/>
      <c r="N1378" s="4"/>
      <c r="O1378" s="4"/>
      <c r="P1378" s="4"/>
      <c r="Q1378" s="4"/>
      <c r="R1378" s="4"/>
      <c r="S1378" s="4"/>
      <c r="T1378" s="4"/>
      <c r="U1378" s="4"/>
      <c r="V1378" s="4"/>
      <c r="W1378" s="4"/>
      <c r="X1378" s="4"/>
      <c r="Y1378" s="4"/>
      <c r="Z1378" s="4"/>
    </row>
    <row r="1379" spans="1:26" ht="15" customHeight="1" x14ac:dyDescent="0.25">
      <c r="A1379" s="110" t="s">
        <v>2163</v>
      </c>
      <c r="B1379" s="15">
        <v>268</v>
      </c>
      <c r="C1379" s="109" t="s">
        <v>2217</v>
      </c>
      <c r="D1379" s="406" t="s">
        <v>203</v>
      </c>
      <c r="E1379" s="370"/>
      <c r="F1379" s="371"/>
      <c r="G1379" s="107" t="s">
        <v>1580</v>
      </c>
      <c r="H1379" s="385"/>
    </row>
    <row r="1380" spans="1:26" ht="15" customHeight="1" x14ac:dyDescent="0.25">
      <c r="A1380" s="110" t="s">
        <v>2163</v>
      </c>
      <c r="B1380" s="15">
        <v>269</v>
      </c>
      <c r="C1380" s="109" t="s">
        <v>2218</v>
      </c>
      <c r="D1380" s="406" t="s">
        <v>203</v>
      </c>
      <c r="E1380" s="370"/>
      <c r="F1380" s="371"/>
      <c r="G1380" s="107" t="s">
        <v>2219</v>
      </c>
      <c r="H1380" s="385"/>
    </row>
    <row r="1381" spans="1:26" ht="15" customHeight="1" x14ac:dyDescent="0.25">
      <c r="A1381" s="110" t="s">
        <v>2163</v>
      </c>
      <c r="B1381" s="15">
        <v>270</v>
      </c>
      <c r="C1381" s="109" t="s">
        <v>2220</v>
      </c>
      <c r="D1381" s="406" t="s">
        <v>208</v>
      </c>
      <c r="E1381" s="370"/>
      <c r="F1381" s="371"/>
      <c r="G1381" s="107"/>
      <c r="H1381" s="385"/>
    </row>
    <row r="1382" spans="1:26" ht="15" customHeight="1" x14ac:dyDescent="0.25">
      <c r="A1382" s="110" t="s">
        <v>2163</v>
      </c>
      <c r="B1382" s="15">
        <v>271</v>
      </c>
      <c r="C1382" s="109" t="s">
        <v>2221</v>
      </c>
      <c r="D1382" s="406" t="s">
        <v>208</v>
      </c>
      <c r="E1382" s="370"/>
      <c r="F1382" s="371"/>
      <c r="G1382" s="107"/>
      <c r="H1382" s="385"/>
    </row>
    <row r="1383" spans="1:26" ht="15" customHeight="1" x14ac:dyDescent="0.25">
      <c r="A1383" s="110" t="s">
        <v>2163</v>
      </c>
      <c r="B1383" s="15">
        <v>272</v>
      </c>
      <c r="C1383" s="109" t="s">
        <v>2222</v>
      </c>
      <c r="D1383" s="406" t="s">
        <v>203</v>
      </c>
      <c r="E1383" s="370"/>
      <c r="F1383" s="371"/>
      <c r="G1383" s="107" t="s">
        <v>2223</v>
      </c>
      <c r="H1383" s="385"/>
    </row>
    <row r="1384" spans="1:26" ht="15" customHeight="1" x14ac:dyDescent="0.25">
      <c r="A1384" s="110" t="s">
        <v>2163</v>
      </c>
      <c r="B1384" s="15"/>
      <c r="C1384" s="109"/>
      <c r="D1384" s="16"/>
      <c r="E1384" s="128"/>
      <c r="F1384" s="128"/>
      <c r="G1384" s="107"/>
      <c r="H1384" s="385"/>
    </row>
    <row r="1385" spans="1:26" ht="15" customHeight="1" x14ac:dyDescent="0.25">
      <c r="A1385" s="415" t="s">
        <v>1850</v>
      </c>
      <c r="B1385" s="378"/>
      <c r="C1385" s="417">
        <f>COUNTA(C1112:C1384)</f>
        <v>272</v>
      </c>
      <c r="D1385" s="123" t="s">
        <v>1851</v>
      </c>
      <c r="E1385" s="123" t="s">
        <v>1852</v>
      </c>
      <c r="F1385" s="123" t="s">
        <v>1853</v>
      </c>
      <c r="G1385" s="124"/>
      <c r="H1385" s="385"/>
    </row>
    <row r="1386" spans="1:26" ht="15" customHeight="1" x14ac:dyDescent="0.25">
      <c r="A1386" s="416"/>
      <c r="B1386" s="380"/>
      <c r="C1386" s="368"/>
      <c r="D1386" s="125">
        <v>115</v>
      </c>
      <c r="E1386" s="125">
        <f>COUNTIF(D1112:F1384,[2]Legend!A4)</f>
        <v>0</v>
      </c>
      <c r="F1386" s="125">
        <v>115</v>
      </c>
      <c r="G1386" s="124"/>
      <c r="H1386" s="385"/>
    </row>
    <row r="1387" spans="1:26" ht="15" customHeight="1" x14ac:dyDescent="0.25">
      <c r="A1387" s="418" t="s">
        <v>2224</v>
      </c>
      <c r="B1387" s="370"/>
      <c r="C1387" s="370"/>
      <c r="D1387" s="370"/>
      <c r="E1387" s="370"/>
      <c r="F1387" s="370"/>
      <c r="G1387" s="371"/>
      <c r="H1387" s="385"/>
    </row>
    <row r="1388" spans="1:26" ht="15.75" customHeight="1" x14ac:dyDescent="0.25">
      <c r="A1388" s="105" t="s">
        <v>2225</v>
      </c>
      <c r="B1388" s="15">
        <v>1</v>
      </c>
      <c r="C1388" s="109" t="s">
        <v>2226</v>
      </c>
      <c r="D1388" s="406" t="s">
        <v>203</v>
      </c>
      <c r="E1388" s="370"/>
      <c r="F1388" s="371"/>
      <c r="G1388" s="113" t="s">
        <v>2227</v>
      </c>
      <c r="H1388" s="385"/>
    </row>
    <row r="1389" spans="1:26" ht="15" customHeight="1" x14ac:dyDescent="0.25">
      <c r="A1389" s="105" t="s">
        <v>2225</v>
      </c>
      <c r="B1389" s="15">
        <v>2</v>
      </c>
      <c r="C1389" s="109" t="s">
        <v>2228</v>
      </c>
      <c r="D1389" s="406" t="s">
        <v>203</v>
      </c>
      <c r="E1389" s="370"/>
      <c r="F1389" s="371"/>
      <c r="G1389" s="117" t="s">
        <v>2229</v>
      </c>
      <c r="H1389" s="385"/>
    </row>
    <row r="1390" spans="1:26" ht="15" customHeight="1" x14ac:dyDescent="0.25">
      <c r="A1390" s="105" t="s">
        <v>2225</v>
      </c>
      <c r="B1390" s="15">
        <v>3</v>
      </c>
      <c r="C1390" s="109" t="s">
        <v>2230</v>
      </c>
      <c r="D1390" s="406" t="s">
        <v>203</v>
      </c>
      <c r="E1390" s="370"/>
      <c r="F1390" s="371"/>
      <c r="G1390" s="113" t="s">
        <v>1451</v>
      </c>
      <c r="H1390" s="385"/>
    </row>
    <row r="1391" spans="1:26" ht="15" customHeight="1" x14ac:dyDescent="0.25">
      <c r="A1391" s="105" t="s">
        <v>2225</v>
      </c>
      <c r="B1391" s="15">
        <v>4</v>
      </c>
      <c r="C1391" s="109" t="s">
        <v>2231</v>
      </c>
      <c r="D1391" s="406" t="s">
        <v>203</v>
      </c>
      <c r="E1391" s="370"/>
      <c r="F1391" s="371"/>
      <c r="G1391" s="113" t="s">
        <v>2232</v>
      </c>
      <c r="H1391" s="385"/>
    </row>
    <row r="1392" spans="1:26" ht="15" customHeight="1" x14ac:dyDescent="0.25">
      <c r="A1392" s="105" t="s">
        <v>2225</v>
      </c>
      <c r="B1392" s="15">
        <v>5</v>
      </c>
      <c r="C1392" s="109" t="s">
        <v>2233</v>
      </c>
      <c r="D1392" s="406" t="s">
        <v>203</v>
      </c>
      <c r="E1392" s="370"/>
      <c r="F1392" s="371"/>
      <c r="G1392" s="113" t="s">
        <v>2232</v>
      </c>
      <c r="H1392" s="385"/>
    </row>
    <row r="1393" spans="1:8" ht="15" customHeight="1" x14ac:dyDescent="0.25">
      <c r="A1393" s="108" t="s">
        <v>2234</v>
      </c>
      <c r="B1393" s="15">
        <v>6</v>
      </c>
      <c r="C1393" s="109" t="s">
        <v>2235</v>
      </c>
      <c r="D1393" s="406" t="s">
        <v>203</v>
      </c>
      <c r="E1393" s="370"/>
      <c r="F1393" s="371"/>
      <c r="G1393" s="83" t="s">
        <v>279</v>
      </c>
      <c r="H1393" s="385"/>
    </row>
    <row r="1394" spans="1:8" ht="15" customHeight="1" x14ac:dyDescent="0.25">
      <c r="A1394" s="108" t="s">
        <v>2234</v>
      </c>
      <c r="B1394" s="15">
        <v>7</v>
      </c>
      <c r="C1394" s="109" t="s">
        <v>2236</v>
      </c>
      <c r="D1394" s="406" t="s">
        <v>208</v>
      </c>
      <c r="E1394" s="370"/>
      <c r="F1394" s="371"/>
      <c r="G1394" s="83"/>
      <c r="H1394" s="385"/>
    </row>
    <row r="1395" spans="1:8" ht="15" customHeight="1" x14ac:dyDescent="0.25">
      <c r="A1395" s="108" t="s">
        <v>2234</v>
      </c>
      <c r="B1395" s="15">
        <v>8</v>
      </c>
      <c r="C1395" s="109" t="s">
        <v>2237</v>
      </c>
      <c r="D1395" s="406" t="s">
        <v>203</v>
      </c>
      <c r="E1395" s="370"/>
      <c r="F1395" s="371"/>
      <c r="G1395" s="83" t="s">
        <v>2238</v>
      </c>
      <c r="H1395" s="385"/>
    </row>
    <row r="1396" spans="1:8" ht="15" customHeight="1" x14ac:dyDescent="0.25">
      <c r="A1396" s="108" t="s">
        <v>2234</v>
      </c>
      <c r="B1396" s="15">
        <v>9</v>
      </c>
      <c r="C1396" s="109" t="s">
        <v>2239</v>
      </c>
      <c r="D1396" s="406" t="s">
        <v>203</v>
      </c>
      <c r="E1396" s="370"/>
      <c r="F1396" s="371"/>
      <c r="G1396" s="83" t="s">
        <v>2240</v>
      </c>
      <c r="H1396" s="385"/>
    </row>
    <row r="1397" spans="1:8" ht="15" customHeight="1" x14ac:dyDescent="0.25">
      <c r="A1397" s="108" t="s">
        <v>2234</v>
      </c>
      <c r="B1397" s="15">
        <v>10</v>
      </c>
      <c r="C1397" s="109" t="s">
        <v>2241</v>
      </c>
      <c r="D1397" s="406" t="s">
        <v>208</v>
      </c>
      <c r="E1397" s="370"/>
      <c r="F1397" s="371"/>
      <c r="G1397" s="83"/>
      <c r="H1397" s="385"/>
    </row>
    <row r="1398" spans="1:8" ht="15" customHeight="1" x14ac:dyDescent="0.25">
      <c r="A1398" s="108" t="s">
        <v>2234</v>
      </c>
      <c r="B1398" s="15">
        <v>11</v>
      </c>
      <c r="C1398" s="109" t="s">
        <v>2242</v>
      </c>
      <c r="D1398" s="406" t="s">
        <v>208</v>
      </c>
      <c r="E1398" s="370"/>
      <c r="F1398" s="371"/>
      <c r="G1398" s="83" t="s">
        <v>2243</v>
      </c>
      <c r="H1398" s="385"/>
    </row>
    <row r="1399" spans="1:8" ht="15" customHeight="1" x14ac:dyDescent="0.25">
      <c r="A1399" s="108" t="s">
        <v>2234</v>
      </c>
      <c r="B1399" s="15">
        <v>12</v>
      </c>
      <c r="C1399" s="109" t="s">
        <v>2244</v>
      </c>
      <c r="D1399" s="406" t="s">
        <v>203</v>
      </c>
      <c r="E1399" s="370"/>
      <c r="F1399" s="371"/>
      <c r="G1399" s="83" t="s">
        <v>2245</v>
      </c>
      <c r="H1399" s="385"/>
    </row>
    <row r="1400" spans="1:8" ht="15" customHeight="1" x14ac:dyDescent="0.25">
      <c r="A1400" s="108" t="s">
        <v>2234</v>
      </c>
      <c r="B1400" s="15">
        <v>13</v>
      </c>
      <c r="C1400" s="109" t="s">
        <v>2246</v>
      </c>
      <c r="D1400" s="406" t="s">
        <v>203</v>
      </c>
      <c r="E1400" s="370"/>
      <c r="F1400" s="371"/>
      <c r="G1400" s="107" t="s">
        <v>1582</v>
      </c>
      <c r="H1400" s="385"/>
    </row>
    <row r="1401" spans="1:8" ht="15" customHeight="1" x14ac:dyDescent="0.25">
      <c r="A1401" s="108" t="s">
        <v>2234</v>
      </c>
      <c r="B1401" s="15">
        <v>14</v>
      </c>
      <c r="C1401" s="109" t="s">
        <v>2247</v>
      </c>
      <c r="D1401" s="406" t="s">
        <v>208</v>
      </c>
      <c r="E1401" s="370"/>
      <c r="F1401" s="371"/>
      <c r="G1401" s="107"/>
      <c r="H1401" s="385"/>
    </row>
    <row r="1402" spans="1:8" ht="15" customHeight="1" x14ac:dyDescent="0.25">
      <c r="A1402" s="108" t="s">
        <v>2234</v>
      </c>
      <c r="B1402" s="15">
        <v>15</v>
      </c>
      <c r="C1402" s="109" t="s">
        <v>2248</v>
      </c>
      <c r="D1402" s="406" t="s">
        <v>203</v>
      </c>
      <c r="E1402" s="370"/>
      <c r="F1402" s="371"/>
      <c r="G1402" s="107" t="s">
        <v>2245</v>
      </c>
      <c r="H1402" s="385"/>
    </row>
    <row r="1403" spans="1:8" ht="15" customHeight="1" x14ac:dyDescent="0.25">
      <c r="A1403" s="108" t="s">
        <v>2234</v>
      </c>
      <c r="B1403" s="15">
        <v>16</v>
      </c>
      <c r="C1403" s="109" t="s">
        <v>2249</v>
      </c>
      <c r="D1403" s="406" t="s">
        <v>208</v>
      </c>
      <c r="E1403" s="370"/>
      <c r="F1403" s="371"/>
      <c r="G1403" s="107"/>
      <c r="H1403" s="385"/>
    </row>
    <row r="1404" spans="1:8" ht="15" customHeight="1" x14ac:dyDescent="0.25">
      <c r="A1404" s="108" t="s">
        <v>2234</v>
      </c>
      <c r="B1404" s="15">
        <v>17</v>
      </c>
      <c r="C1404" s="109" t="s">
        <v>2250</v>
      </c>
      <c r="D1404" s="406" t="s">
        <v>203</v>
      </c>
      <c r="E1404" s="370"/>
      <c r="F1404" s="371"/>
      <c r="G1404" s="107" t="s">
        <v>2245</v>
      </c>
      <c r="H1404" s="385"/>
    </row>
    <row r="1405" spans="1:8" ht="15" customHeight="1" x14ac:dyDescent="0.25">
      <c r="A1405" s="108" t="s">
        <v>2234</v>
      </c>
      <c r="B1405" s="15">
        <v>18</v>
      </c>
      <c r="C1405" s="109" t="s">
        <v>2251</v>
      </c>
      <c r="D1405" s="406" t="s">
        <v>208</v>
      </c>
      <c r="E1405" s="370"/>
      <c r="F1405" s="371"/>
      <c r="G1405" s="107"/>
      <c r="H1405" s="385"/>
    </row>
    <row r="1406" spans="1:8" ht="15" customHeight="1" x14ac:dyDescent="0.25">
      <c r="A1406" s="108" t="s">
        <v>2234</v>
      </c>
      <c r="B1406" s="15">
        <v>19</v>
      </c>
      <c r="C1406" s="109" t="s">
        <v>2252</v>
      </c>
      <c r="D1406" s="406" t="s">
        <v>247</v>
      </c>
      <c r="E1406" s="370"/>
      <c r="F1406" s="371"/>
      <c r="G1406" s="107"/>
      <c r="H1406" s="385"/>
    </row>
    <row r="1407" spans="1:8" ht="15" customHeight="1" x14ac:dyDescent="0.25">
      <c r="A1407" s="108" t="s">
        <v>2234</v>
      </c>
      <c r="B1407" s="15">
        <v>20</v>
      </c>
      <c r="C1407" s="109" t="s">
        <v>2253</v>
      </c>
      <c r="D1407" s="406" t="s">
        <v>203</v>
      </c>
      <c r="E1407" s="370"/>
      <c r="F1407" s="371"/>
      <c r="G1407" s="107" t="s">
        <v>2254</v>
      </c>
      <c r="H1407" s="385"/>
    </row>
    <row r="1408" spans="1:8" ht="15" customHeight="1" x14ac:dyDescent="0.25">
      <c r="A1408" s="108" t="s">
        <v>2234</v>
      </c>
      <c r="B1408" s="15">
        <v>21</v>
      </c>
      <c r="C1408" s="109" t="s">
        <v>2255</v>
      </c>
      <c r="D1408" s="406" t="s">
        <v>203</v>
      </c>
      <c r="E1408" s="370"/>
      <c r="F1408" s="371"/>
      <c r="G1408" s="107" t="s">
        <v>2256</v>
      </c>
      <c r="H1408" s="385"/>
    </row>
    <row r="1409" spans="1:8" ht="15" customHeight="1" x14ac:dyDescent="0.25">
      <c r="A1409" s="108" t="s">
        <v>2234</v>
      </c>
      <c r="B1409" s="15">
        <v>22</v>
      </c>
      <c r="C1409" s="109" t="s">
        <v>2257</v>
      </c>
      <c r="D1409" s="406" t="s">
        <v>203</v>
      </c>
      <c r="E1409" s="370"/>
      <c r="F1409" s="371"/>
      <c r="G1409" s="107" t="s">
        <v>1451</v>
      </c>
      <c r="H1409" s="385"/>
    </row>
    <row r="1410" spans="1:8" ht="15" customHeight="1" x14ac:dyDescent="0.25">
      <c r="A1410" s="108" t="s">
        <v>2234</v>
      </c>
      <c r="B1410" s="15">
        <v>23</v>
      </c>
      <c r="C1410" s="109" t="s">
        <v>2258</v>
      </c>
      <c r="D1410" s="406" t="s">
        <v>208</v>
      </c>
      <c r="E1410" s="370"/>
      <c r="F1410" s="371"/>
      <c r="G1410" s="107"/>
      <c r="H1410" s="385"/>
    </row>
    <row r="1411" spans="1:8" ht="15" customHeight="1" x14ac:dyDescent="0.25">
      <c r="A1411" s="108" t="s">
        <v>2234</v>
      </c>
      <c r="B1411" s="15">
        <v>24</v>
      </c>
      <c r="C1411" s="109" t="s">
        <v>2259</v>
      </c>
      <c r="D1411" s="406" t="s">
        <v>247</v>
      </c>
      <c r="E1411" s="370"/>
      <c r="F1411" s="371"/>
      <c r="G1411" s="107"/>
      <c r="H1411" s="385"/>
    </row>
    <row r="1412" spans="1:8" ht="15" customHeight="1" x14ac:dyDescent="0.25">
      <c r="A1412" s="108" t="s">
        <v>2234</v>
      </c>
      <c r="B1412" s="15">
        <v>25</v>
      </c>
      <c r="C1412" s="109" t="s">
        <v>2260</v>
      </c>
      <c r="D1412" s="406" t="s">
        <v>203</v>
      </c>
      <c r="E1412" s="370"/>
      <c r="F1412" s="371"/>
      <c r="G1412" s="107" t="s">
        <v>2261</v>
      </c>
      <c r="H1412" s="385"/>
    </row>
    <row r="1413" spans="1:8" ht="15" customHeight="1" x14ac:dyDescent="0.25">
      <c r="A1413" s="108" t="s">
        <v>2234</v>
      </c>
      <c r="B1413" s="15">
        <v>26</v>
      </c>
      <c r="C1413" s="109" t="s">
        <v>2262</v>
      </c>
      <c r="D1413" s="406" t="s">
        <v>203</v>
      </c>
      <c r="E1413" s="370"/>
      <c r="F1413" s="371"/>
      <c r="G1413" s="107" t="s">
        <v>2263</v>
      </c>
      <c r="H1413" s="385"/>
    </row>
    <row r="1414" spans="1:8" ht="15" customHeight="1" x14ac:dyDescent="0.25">
      <c r="A1414" s="108" t="s">
        <v>48</v>
      </c>
      <c r="B1414" s="15">
        <v>27</v>
      </c>
      <c r="C1414" s="109" t="s">
        <v>2264</v>
      </c>
      <c r="D1414" s="406" t="s">
        <v>203</v>
      </c>
      <c r="E1414" s="370"/>
      <c r="F1414" s="371"/>
      <c r="G1414" s="107" t="s">
        <v>2265</v>
      </c>
      <c r="H1414" s="385"/>
    </row>
    <row r="1415" spans="1:8" ht="15" customHeight="1" x14ac:dyDescent="0.25">
      <c r="A1415" s="108" t="s">
        <v>48</v>
      </c>
      <c r="B1415" s="15">
        <v>28</v>
      </c>
      <c r="C1415" s="109" t="s">
        <v>2266</v>
      </c>
      <c r="D1415" s="406" t="s">
        <v>203</v>
      </c>
      <c r="E1415" s="370"/>
      <c r="F1415" s="371"/>
      <c r="G1415" s="107" t="s">
        <v>1582</v>
      </c>
      <c r="H1415" s="385"/>
    </row>
    <row r="1416" spans="1:8" ht="15" customHeight="1" x14ac:dyDescent="0.25">
      <c r="A1416" s="108" t="s">
        <v>48</v>
      </c>
      <c r="B1416" s="15">
        <v>29</v>
      </c>
      <c r="C1416" s="109" t="s">
        <v>2267</v>
      </c>
      <c r="D1416" s="406" t="s">
        <v>203</v>
      </c>
      <c r="E1416" s="370"/>
      <c r="F1416" s="371"/>
      <c r="G1416" s="107" t="s">
        <v>2268</v>
      </c>
      <c r="H1416" s="385"/>
    </row>
    <row r="1417" spans="1:8" ht="15" customHeight="1" x14ac:dyDescent="0.25">
      <c r="A1417" s="108" t="s">
        <v>48</v>
      </c>
      <c r="B1417" s="15">
        <v>30</v>
      </c>
      <c r="C1417" s="109" t="s">
        <v>2269</v>
      </c>
      <c r="D1417" s="406" t="s">
        <v>203</v>
      </c>
      <c r="E1417" s="370"/>
      <c r="F1417" s="371"/>
      <c r="G1417" s="107" t="s">
        <v>2212</v>
      </c>
      <c r="H1417" s="385"/>
    </row>
    <row r="1418" spans="1:8" ht="15" customHeight="1" x14ac:dyDescent="0.25">
      <c r="A1418" s="108" t="s">
        <v>48</v>
      </c>
      <c r="B1418" s="15">
        <v>31</v>
      </c>
      <c r="C1418" s="109" t="s">
        <v>2270</v>
      </c>
      <c r="D1418" s="406" t="s">
        <v>203</v>
      </c>
      <c r="E1418" s="370"/>
      <c r="F1418" s="371"/>
      <c r="G1418" s="107" t="s">
        <v>1582</v>
      </c>
      <c r="H1418" s="385"/>
    </row>
    <row r="1419" spans="1:8" ht="15" customHeight="1" x14ac:dyDescent="0.25">
      <c r="A1419" s="108" t="s">
        <v>48</v>
      </c>
      <c r="B1419" s="15">
        <v>32</v>
      </c>
      <c r="C1419" s="109" t="s">
        <v>2271</v>
      </c>
      <c r="D1419" s="406" t="s">
        <v>203</v>
      </c>
      <c r="E1419" s="370"/>
      <c r="F1419" s="371"/>
      <c r="G1419" s="107" t="s">
        <v>2272</v>
      </c>
      <c r="H1419" s="385"/>
    </row>
    <row r="1420" spans="1:8" ht="15" customHeight="1" x14ac:dyDescent="0.25">
      <c r="A1420" s="108" t="s">
        <v>48</v>
      </c>
      <c r="B1420" s="15">
        <v>33</v>
      </c>
      <c r="C1420" s="109" t="s">
        <v>2273</v>
      </c>
      <c r="D1420" s="406" t="s">
        <v>208</v>
      </c>
      <c r="E1420" s="370"/>
      <c r="F1420" s="371"/>
      <c r="G1420" s="107"/>
      <c r="H1420" s="385"/>
    </row>
    <row r="1421" spans="1:8" ht="15" customHeight="1" x14ac:dyDescent="0.25">
      <c r="A1421" s="108" t="s">
        <v>48</v>
      </c>
      <c r="B1421" s="15">
        <v>34</v>
      </c>
      <c r="C1421" s="109" t="s">
        <v>2274</v>
      </c>
      <c r="D1421" s="406" t="s">
        <v>247</v>
      </c>
      <c r="E1421" s="370"/>
      <c r="F1421" s="371"/>
      <c r="G1421" s="107"/>
      <c r="H1421" s="385"/>
    </row>
    <row r="1422" spans="1:8" ht="15" customHeight="1" x14ac:dyDescent="0.25">
      <c r="A1422" s="108" t="s">
        <v>48</v>
      </c>
      <c r="B1422" s="15">
        <v>35</v>
      </c>
      <c r="C1422" s="109" t="s">
        <v>2275</v>
      </c>
      <c r="D1422" s="406" t="s">
        <v>203</v>
      </c>
      <c r="E1422" s="370"/>
      <c r="F1422" s="371"/>
      <c r="G1422" s="107" t="s">
        <v>2276</v>
      </c>
      <c r="H1422" s="385"/>
    </row>
    <row r="1423" spans="1:8" ht="15" customHeight="1" x14ac:dyDescent="0.25">
      <c r="A1423" s="108"/>
      <c r="B1423" s="15"/>
      <c r="C1423" s="109"/>
      <c r="D1423" s="16"/>
      <c r="E1423" s="16"/>
      <c r="F1423" s="16"/>
      <c r="G1423" s="107"/>
      <c r="H1423" s="385"/>
    </row>
    <row r="1424" spans="1:8" ht="15" customHeight="1" x14ac:dyDescent="0.25">
      <c r="A1424" s="415" t="s">
        <v>1850</v>
      </c>
      <c r="B1424" s="378"/>
      <c r="C1424" s="417" t="str">
        <f ca="1">COUNTA(C1388:C1449)</f>
        <v>#REF!</v>
      </c>
      <c r="D1424" s="123" t="s">
        <v>1851</v>
      </c>
      <c r="E1424" s="123" t="s">
        <v>1852</v>
      </c>
      <c r="F1424" s="123" t="s">
        <v>1853</v>
      </c>
      <c r="G1424" s="124"/>
      <c r="H1424" s="385"/>
    </row>
    <row r="1425" spans="1:8" ht="15" customHeight="1" x14ac:dyDescent="0.25">
      <c r="A1425" s="416"/>
      <c r="B1425" s="380"/>
      <c r="C1425" s="368"/>
      <c r="D1425" s="125">
        <v>27</v>
      </c>
      <c r="E1425" s="125" t="str">
        <f ca="1">COUNTIF(D1388:F1449,[2]Legend!A4)</f>
        <v>#ERROR!</v>
      </c>
      <c r="F1425" s="125">
        <v>5</v>
      </c>
      <c r="G1425" s="124"/>
      <c r="H1425" s="385"/>
    </row>
    <row r="1426" spans="1:8" ht="15" customHeight="1" x14ac:dyDescent="0.25">
      <c r="A1426" s="418" t="s">
        <v>2277</v>
      </c>
      <c r="B1426" s="370"/>
      <c r="C1426" s="370"/>
      <c r="D1426" s="370"/>
      <c r="E1426" s="370"/>
      <c r="F1426" s="370"/>
      <c r="G1426" s="371"/>
      <c r="H1426" s="385"/>
    </row>
    <row r="1427" spans="1:8" ht="15" customHeight="1" x14ac:dyDescent="0.25">
      <c r="A1427" s="108" t="s">
        <v>2278</v>
      </c>
      <c r="B1427" s="128">
        <v>1</v>
      </c>
      <c r="C1427" s="109" t="s">
        <v>2279</v>
      </c>
      <c r="D1427" s="406" t="s">
        <v>208</v>
      </c>
      <c r="E1427" s="370"/>
      <c r="F1427" s="371"/>
      <c r="G1427" s="107"/>
      <c r="H1427" s="385"/>
    </row>
    <row r="1428" spans="1:8" ht="15" customHeight="1" x14ac:dyDescent="0.25">
      <c r="A1428" s="108" t="s">
        <v>2278</v>
      </c>
      <c r="B1428" s="128">
        <v>2</v>
      </c>
      <c r="C1428" s="109" t="s">
        <v>2280</v>
      </c>
      <c r="D1428" s="406" t="s">
        <v>203</v>
      </c>
      <c r="E1428" s="370"/>
      <c r="F1428" s="371"/>
      <c r="G1428" s="113" t="s">
        <v>2281</v>
      </c>
      <c r="H1428" s="385"/>
    </row>
    <row r="1429" spans="1:8" ht="15" customHeight="1" x14ac:dyDescent="0.25">
      <c r="A1429" s="108" t="s">
        <v>2278</v>
      </c>
      <c r="B1429" s="128">
        <v>3</v>
      </c>
      <c r="C1429" s="109" t="s">
        <v>2282</v>
      </c>
      <c r="D1429" s="406" t="s">
        <v>208</v>
      </c>
      <c r="E1429" s="370"/>
      <c r="F1429" s="371"/>
      <c r="G1429" s="113"/>
      <c r="H1429" s="385"/>
    </row>
    <row r="1430" spans="1:8" ht="15" customHeight="1" x14ac:dyDescent="0.25">
      <c r="A1430" s="108" t="s">
        <v>2278</v>
      </c>
      <c r="B1430" s="128">
        <v>4</v>
      </c>
      <c r="C1430" s="109" t="s">
        <v>2283</v>
      </c>
      <c r="D1430" s="406" t="s">
        <v>203</v>
      </c>
      <c r="E1430" s="370"/>
      <c r="F1430" s="371"/>
      <c r="G1430" s="113" t="s">
        <v>2284</v>
      </c>
      <c r="H1430" s="385"/>
    </row>
    <row r="1431" spans="1:8" ht="15" customHeight="1" x14ac:dyDescent="0.25">
      <c r="A1431" s="108" t="s">
        <v>2278</v>
      </c>
      <c r="B1431" s="129">
        <v>5</v>
      </c>
      <c r="C1431" s="109" t="s">
        <v>2285</v>
      </c>
      <c r="D1431" s="406" t="s">
        <v>208</v>
      </c>
      <c r="E1431" s="370"/>
      <c r="F1431" s="371"/>
      <c r="G1431" s="113"/>
      <c r="H1431" s="385"/>
    </row>
    <row r="1432" spans="1:8" ht="15" customHeight="1" x14ac:dyDescent="0.25">
      <c r="A1432" s="108" t="s">
        <v>2278</v>
      </c>
      <c r="B1432" s="129">
        <v>6</v>
      </c>
      <c r="C1432" s="109" t="s">
        <v>2286</v>
      </c>
      <c r="D1432" s="406" t="s">
        <v>247</v>
      </c>
      <c r="E1432" s="370"/>
      <c r="F1432" s="371"/>
      <c r="G1432" s="113"/>
      <c r="H1432" s="385"/>
    </row>
    <row r="1433" spans="1:8" ht="15" customHeight="1" x14ac:dyDescent="0.25">
      <c r="A1433" s="108" t="s">
        <v>2278</v>
      </c>
      <c r="B1433" s="129">
        <v>7</v>
      </c>
      <c r="C1433" s="109" t="s">
        <v>2287</v>
      </c>
      <c r="D1433" s="406" t="s">
        <v>247</v>
      </c>
      <c r="E1433" s="370"/>
      <c r="F1433" s="371"/>
      <c r="G1433" s="113"/>
      <c r="H1433" s="385"/>
    </row>
    <row r="1434" spans="1:8" ht="15" customHeight="1" x14ac:dyDescent="0.25">
      <c r="A1434" s="108" t="s">
        <v>2278</v>
      </c>
      <c r="B1434" s="129">
        <v>8</v>
      </c>
      <c r="C1434" s="109" t="s">
        <v>2288</v>
      </c>
      <c r="D1434" s="406" t="s">
        <v>203</v>
      </c>
      <c r="E1434" s="370"/>
      <c r="F1434" s="371"/>
      <c r="G1434" s="113" t="s">
        <v>2289</v>
      </c>
      <c r="H1434" s="385"/>
    </row>
    <row r="1435" spans="1:8" ht="15" customHeight="1" x14ac:dyDescent="0.25">
      <c r="A1435" s="108" t="s">
        <v>2278</v>
      </c>
      <c r="B1435" s="129">
        <v>9</v>
      </c>
      <c r="C1435" s="109" t="s">
        <v>2290</v>
      </c>
      <c r="D1435" s="406" t="s">
        <v>208</v>
      </c>
      <c r="E1435" s="370"/>
      <c r="F1435" s="371"/>
      <c r="G1435" s="113"/>
      <c r="H1435" s="385"/>
    </row>
    <row r="1436" spans="1:8" ht="15" customHeight="1" x14ac:dyDescent="0.25">
      <c r="A1436" s="108" t="s">
        <v>2278</v>
      </c>
      <c r="B1436" s="129">
        <v>10</v>
      </c>
      <c r="C1436" s="109" t="s">
        <v>2291</v>
      </c>
      <c r="D1436" s="406" t="s">
        <v>203</v>
      </c>
      <c r="E1436" s="370"/>
      <c r="F1436" s="371"/>
      <c r="G1436" s="113" t="s">
        <v>2292</v>
      </c>
      <c r="H1436" s="385"/>
    </row>
    <row r="1437" spans="1:8" ht="15" customHeight="1" x14ac:dyDescent="0.25">
      <c r="A1437" s="108" t="s">
        <v>2278</v>
      </c>
      <c r="B1437" s="129">
        <v>11</v>
      </c>
      <c r="C1437" s="109" t="s">
        <v>2293</v>
      </c>
      <c r="D1437" s="406" t="s">
        <v>208</v>
      </c>
      <c r="E1437" s="370"/>
      <c r="F1437" s="371"/>
      <c r="G1437" s="113"/>
      <c r="H1437" s="385"/>
    </row>
    <row r="1438" spans="1:8" ht="15" customHeight="1" x14ac:dyDescent="0.25">
      <c r="A1438" s="108" t="s">
        <v>2278</v>
      </c>
      <c r="B1438" s="129">
        <v>12</v>
      </c>
      <c r="C1438" s="109" t="s">
        <v>2294</v>
      </c>
      <c r="D1438" s="406" t="s">
        <v>203</v>
      </c>
      <c r="E1438" s="370"/>
      <c r="F1438" s="371"/>
      <c r="G1438" s="113" t="s">
        <v>2295</v>
      </c>
      <c r="H1438" s="385"/>
    </row>
    <row r="1439" spans="1:8" ht="15" customHeight="1" x14ac:dyDescent="0.25">
      <c r="A1439" s="108" t="s">
        <v>2278</v>
      </c>
      <c r="B1439" s="129">
        <v>13</v>
      </c>
      <c r="C1439" s="109" t="s">
        <v>2296</v>
      </c>
      <c r="D1439" s="406" t="s">
        <v>208</v>
      </c>
      <c r="E1439" s="370"/>
      <c r="F1439" s="371"/>
      <c r="G1439" s="113"/>
      <c r="H1439" s="385"/>
    </row>
    <row r="1440" spans="1:8" ht="15" customHeight="1" x14ac:dyDescent="0.25">
      <c r="A1440" s="108" t="s">
        <v>2278</v>
      </c>
      <c r="B1440" s="129">
        <v>14</v>
      </c>
      <c r="C1440" s="109" t="s">
        <v>2297</v>
      </c>
      <c r="D1440" s="406" t="s">
        <v>203</v>
      </c>
      <c r="E1440" s="370"/>
      <c r="F1440" s="371"/>
      <c r="G1440" s="113" t="s">
        <v>2298</v>
      </c>
      <c r="H1440" s="385"/>
    </row>
    <row r="1441" spans="1:8" ht="15" customHeight="1" x14ac:dyDescent="0.25">
      <c r="A1441" s="108" t="s">
        <v>2278</v>
      </c>
      <c r="B1441" s="129">
        <v>15</v>
      </c>
      <c r="C1441" s="109" t="s">
        <v>2299</v>
      </c>
      <c r="D1441" s="406" t="s">
        <v>208</v>
      </c>
      <c r="E1441" s="370"/>
      <c r="F1441" s="371"/>
      <c r="G1441" s="113"/>
      <c r="H1441" s="385"/>
    </row>
    <row r="1442" spans="1:8" ht="15" customHeight="1" x14ac:dyDescent="0.25">
      <c r="A1442" s="108" t="s">
        <v>2278</v>
      </c>
      <c r="B1442" s="129">
        <v>16</v>
      </c>
      <c r="C1442" s="109" t="s">
        <v>2300</v>
      </c>
      <c r="D1442" s="406" t="s">
        <v>203</v>
      </c>
      <c r="E1442" s="370"/>
      <c r="F1442" s="371"/>
      <c r="G1442" s="113" t="s">
        <v>2301</v>
      </c>
      <c r="H1442" s="385"/>
    </row>
    <row r="1443" spans="1:8" ht="15" customHeight="1" x14ac:dyDescent="0.25">
      <c r="A1443" s="108" t="s">
        <v>2278</v>
      </c>
      <c r="B1443" s="129">
        <v>17</v>
      </c>
      <c r="C1443" s="109" t="s">
        <v>2302</v>
      </c>
      <c r="D1443" s="406" t="s">
        <v>208</v>
      </c>
      <c r="E1443" s="370"/>
      <c r="F1443" s="371"/>
      <c r="G1443" s="113"/>
      <c r="H1443" s="385"/>
    </row>
    <row r="1444" spans="1:8" ht="15" customHeight="1" x14ac:dyDescent="0.25">
      <c r="A1444" s="108" t="s">
        <v>2278</v>
      </c>
      <c r="B1444" s="129">
        <v>18</v>
      </c>
      <c r="C1444" s="109" t="s">
        <v>2303</v>
      </c>
      <c r="D1444" s="406" t="s">
        <v>208</v>
      </c>
      <c r="E1444" s="370"/>
      <c r="F1444" s="371"/>
      <c r="G1444" s="107"/>
      <c r="H1444" s="385"/>
    </row>
    <row r="1445" spans="1:8" ht="15" customHeight="1" x14ac:dyDescent="0.25">
      <c r="A1445" s="108" t="s">
        <v>2278</v>
      </c>
      <c r="B1445" s="129">
        <v>19</v>
      </c>
      <c r="C1445" s="109" t="s">
        <v>2304</v>
      </c>
      <c r="D1445" s="406" t="s">
        <v>247</v>
      </c>
      <c r="E1445" s="370"/>
      <c r="F1445" s="371"/>
      <c r="G1445" s="107"/>
      <c r="H1445" s="385"/>
    </row>
    <row r="1446" spans="1:8" ht="15" customHeight="1" x14ac:dyDescent="0.25">
      <c r="A1446" s="108" t="s">
        <v>2278</v>
      </c>
      <c r="B1446" s="129">
        <v>20</v>
      </c>
      <c r="C1446" s="109" t="s">
        <v>2305</v>
      </c>
      <c r="D1446" s="406" t="s">
        <v>208</v>
      </c>
      <c r="E1446" s="370"/>
      <c r="F1446" s="371"/>
      <c r="G1446" s="107"/>
      <c r="H1446" s="385"/>
    </row>
    <row r="1447" spans="1:8" ht="15" customHeight="1" x14ac:dyDescent="0.25">
      <c r="A1447" s="108" t="s">
        <v>2278</v>
      </c>
      <c r="B1447" s="129">
        <v>21</v>
      </c>
      <c r="C1447" s="109" t="s">
        <v>2306</v>
      </c>
      <c r="D1447" s="406" t="s">
        <v>247</v>
      </c>
      <c r="E1447" s="370"/>
      <c r="F1447" s="371"/>
      <c r="G1447" s="107"/>
      <c r="H1447" s="385"/>
    </row>
    <row r="1448" spans="1:8" ht="15" customHeight="1" x14ac:dyDescent="0.25">
      <c r="A1448" s="108" t="s">
        <v>2278</v>
      </c>
      <c r="B1448" s="129">
        <v>22</v>
      </c>
      <c r="C1448" s="109" t="s">
        <v>2307</v>
      </c>
      <c r="D1448" s="406" t="s">
        <v>247</v>
      </c>
      <c r="E1448" s="370"/>
      <c r="F1448" s="371"/>
      <c r="G1448" s="107"/>
      <c r="H1448" s="385"/>
    </row>
    <row r="1449" spans="1:8" ht="15" customHeight="1" x14ac:dyDescent="0.25">
      <c r="A1449" s="108" t="s">
        <v>2278</v>
      </c>
      <c r="B1449" s="129">
        <v>23</v>
      </c>
      <c r="C1449" s="109" t="s">
        <v>2308</v>
      </c>
      <c r="D1449" s="406" t="s">
        <v>208</v>
      </c>
      <c r="E1449" s="370"/>
      <c r="F1449" s="371"/>
      <c r="G1449" s="16"/>
      <c r="H1449" s="385"/>
    </row>
    <row r="1450" spans="1:8" ht="15" customHeight="1" x14ac:dyDescent="0.25">
      <c r="A1450" s="415" t="s">
        <v>1850</v>
      </c>
      <c r="B1450" s="378"/>
      <c r="C1450" s="417">
        <v>23</v>
      </c>
      <c r="D1450" s="123" t="s">
        <v>1851</v>
      </c>
      <c r="E1450" s="123" t="s">
        <v>1852</v>
      </c>
      <c r="F1450" s="123" t="s">
        <v>1853</v>
      </c>
      <c r="G1450" s="124"/>
      <c r="H1450" s="385"/>
    </row>
    <row r="1451" spans="1:8" ht="15" customHeight="1" x14ac:dyDescent="0.25">
      <c r="A1451" s="419"/>
      <c r="B1451" s="420"/>
      <c r="C1451" s="401"/>
      <c r="D1451" s="130">
        <v>8</v>
      </c>
      <c r="E1451" s="130">
        <v>5</v>
      </c>
      <c r="F1451" s="130">
        <v>10</v>
      </c>
      <c r="G1451" s="131"/>
      <c r="H1451" s="386"/>
    </row>
    <row r="1452" spans="1:8" ht="15" customHeight="1" x14ac:dyDescent="0.25">
      <c r="A1452" s="5" t="s">
        <v>2309</v>
      </c>
      <c r="B1452" s="5"/>
      <c r="C1452" s="5"/>
      <c r="D1452" s="5"/>
      <c r="E1452" s="5"/>
      <c r="F1452" s="5"/>
      <c r="G1452" s="35"/>
    </row>
    <row r="1453" spans="1:8" ht="15" customHeight="1" x14ac:dyDescent="0.25">
      <c r="A1453" s="5" t="s">
        <v>2310</v>
      </c>
      <c r="B1453" s="5"/>
      <c r="C1453" s="5"/>
      <c r="D1453" s="5"/>
      <c r="E1453" s="5"/>
      <c r="F1453" s="5"/>
      <c r="G1453" s="35"/>
    </row>
    <row r="1454" spans="1:8" ht="15" customHeight="1" x14ac:dyDescent="0.25">
      <c r="A1454" s="5"/>
      <c r="B1454" s="5"/>
      <c r="C1454" s="5"/>
      <c r="D1454" s="5"/>
      <c r="E1454" s="5"/>
      <c r="F1454" s="5"/>
      <c r="G1454" s="35"/>
    </row>
    <row r="1455" spans="1:8" ht="15" customHeight="1" x14ac:dyDescent="0.25">
      <c r="A1455" s="5"/>
      <c r="B1455" s="5"/>
      <c r="C1455" s="5"/>
      <c r="D1455" s="5"/>
      <c r="E1455" s="5"/>
      <c r="F1455" s="5"/>
      <c r="G1455" s="9" t="s">
        <v>187</v>
      </c>
    </row>
    <row r="1456" spans="1:8" ht="15" customHeight="1" x14ac:dyDescent="0.25">
      <c r="A1456" s="421" t="s">
        <v>2311</v>
      </c>
      <c r="B1456" s="422"/>
      <c r="C1456" s="423">
        <v>1424</v>
      </c>
      <c r="D1456" s="132" t="s">
        <v>1851</v>
      </c>
      <c r="E1456" s="132" t="s">
        <v>1852</v>
      </c>
      <c r="F1456" s="132" t="s">
        <v>1853</v>
      </c>
      <c r="G1456" s="424">
        <v>0.54279999999999995</v>
      </c>
    </row>
    <row r="1457" spans="1:7" ht="15" customHeight="1" x14ac:dyDescent="0.25">
      <c r="A1457" s="419"/>
      <c r="B1457" s="420"/>
      <c r="C1457" s="401"/>
      <c r="D1457" s="133">
        <v>773</v>
      </c>
      <c r="E1457" s="133">
        <v>197</v>
      </c>
      <c r="F1457" s="133">
        <v>454</v>
      </c>
      <c r="G1457" s="386"/>
    </row>
    <row r="1458" spans="1:7" ht="15" customHeight="1" x14ac:dyDescent="0.25">
      <c r="A1458" s="5"/>
      <c r="B1458" s="5"/>
      <c r="C1458" s="5"/>
      <c r="D1458" s="5"/>
      <c r="E1458" s="5"/>
      <c r="F1458" s="5"/>
      <c r="G1458" s="35"/>
    </row>
    <row r="1459" spans="1:7" ht="15" customHeight="1" x14ac:dyDescent="0.25">
      <c r="A1459" s="28" t="s">
        <v>56</v>
      </c>
      <c r="B1459" s="29"/>
      <c r="C1459" s="5"/>
      <c r="D1459" s="5"/>
      <c r="E1459" s="5"/>
      <c r="F1459" s="33" t="s">
        <v>60</v>
      </c>
      <c r="G1459" s="35"/>
    </row>
    <row r="1460" spans="1:7" ht="15" customHeight="1" x14ac:dyDescent="0.25">
      <c r="A1460" s="28"/>
      <c r="B1460" s="29"/>
      <c r="C1460" s="5"/>
      <c r="D1460" s="5"/>
      <c r="E1460" s="5"/>
      <c r="F1460" s="33"/>
      <c r="G1460" s="35"/>
    </row>
    <row r="1461" spans="1:7" ht="15" customHeight="1" x14ac:dyDescent="0.25">
      <c r="A1461" s="134" t="s">
        <v>2312</v>
      </c>
      <c r="B1461" s="29"/>
      <c r="C1461" s="135" t="s">
        <v>2313</v>
      </c>
      <c r="D1461" s="5"/>
      <c r="E1461" s="5"/>
      <c r="F1461" s="425" t="s">
        <v>2314</v>
      </c>
      <c r="G1461" s="373"/>
    </row>
    <row r="1462" spans="1:7" ht="15" customHeight="1" x14ac:dyDescent="0.25">
      <c r="A1462" s="426" t="s">
        <v>58</v>
      </c>
      <c r="B1462" s="373"/>
      <c r="C1462" s="32" t="s">
        <v>59</v>
      </c>
      <c r="D1462" s="5"/>
      <c r="E1462" s="5"/>
      <c r="F1462" s="426" t="s">
        <v>58</v>
      </c>
      <c r="G1462" s="373"/>
    </row>
    <row r="1463" spans="1:7" ht="15" customHeight="1" x14ac:dyDescent="0.25">
      <c r="A1463" s="5"/>
      <c r="B1463" s="5"/>
      <c r="C1463" s="5"/>
      <c r="D1463" s="5"/>
      <c r="E1463" s="5"/>
      <c r="F1463" s="5"/>
      <c r="G1463" s="35"/>
    </row>
    <row r="1464" spans="1:7" ht="15" customHeight="1" x14ac:dyDescent="0.25">
      <c r="A1464" s="5"/>
      <c r="B1464" s="5"/>
      <c r="C1464" s="5"/>
      <c r="D1464" s="5"/>
      <c r="E1464" s="5"/>
      <c r="F1464" s="5"/>
      <c r="G1464" s="35"/>
    </row>
  </sheetData>
  <mergeCells count="1448">
    <mergeCell ref="D689:F689"/>
    <mergeCell ref="D690:F690"/>
    <mergeCell ref="D691:F691"/>
    <mergeCell ref="D692:F692"/>
    <mergeCell ref="D693:F693"/>
    <mergeCell ref="D694:F694"/>
    <mergeCell ref="D695:F695"/>
    <mergeCell ref="D696:F696"/>
    <mergeCell ref="D697:F697"/>
    <mergeCell ref="D698:F698"/>
    <mergeCell ref="D699:F699"/>
    <mergeCell ref="D700:F700"/>
    <mergeCell ref="D701:F701"/>
    <mergeCell ref="D672:F672"/>
    <mergeCell ref="D673:F673"/>
    <mergeCell ref="D674:F674"/>
    <mergeCell ref="D675:F675"/>
    <mergeCell ref="D676:F676"/>
    <mergeCell ref="D677:F677"/>
    <mergeCell ref="D678:F678"/>
    <mergeCell ref="D679:F679"/>
    <mergeCell ref="D680:F680"/>
    <mergeCell ref="D681:F681"/>
    <mergeCell ref="D682:F682"/>
    <mergeCell ref="D683:F683"/>
    <mergeCell ref="D684:F684"/>
    <mergeCell ref="D685:F685"/>
    <mergeCell ref="D686:F686"/>
    <mergeCell ref="D687:F687"/>
    <mergeCell ref="D688:F688"/>
    <mergeCell ref="D655:F655"/>
    <mergeCell ref="D656:F656"/>
    <mergeCell ref="D657:F657"/>
    <mergeCell ref="D658:F658"/>
    <mergeCell ref="D659:F659"/>
    <mergeCell ref="D660:F660"/>
    <mergeCell ref="D661:F661"/>
    <mergeCell ref="D662:F662"/>
    <mergeCell ref="D663:F663"/>
    <mergeCell ref="D664:F664"/>
    <mergeCell ref="D665:F665"/>
    <mergeCell ref="D666:F666"/>
    <mergeCell ref="D667:F667"/>
    <mergeCell ref="D668:F668"/>
    <mergeCell ref="D669:F669"/>
    <mergeCell ref="D670:F670"/>
    <mergeCell ref="D671:F671"/>
    <mergeCell ref="D638:F638"/>
    <mergeCell ref="D639:F639"/>
    <mergeCell ref="D640:F640"/>
    <mergeCell ref="D641:F641"/>
    <mergeCell ref="D642:F642"/>
    <mergeCell ref="D643:F643"/>
    <mergeCell ref="D644:F644"/>
    <mergeCell ref="D645:F645"/>
    <mergeCell ref="D646:F646"/>
    <mergeCell ref="D647:F647"/>
    <mergeCell ref="D648:F648"/>
    <mergeCell ref="D649:F649"/>
    <mergeCell ref="D650:F650"/>
    <mergeCell ref="D651:F651"/>
    <mergeCell ref="D652:F652"/>
    <mergeCell ref="D653:F653"/>
    <mergeCell ref="D654:F654"/>
    <mergeCell ref="D621:F621"/>
    <mergeCell ref="D622:F622"/>
    <mergeCell ref="D623:F623"/>
    <mergeCell ref="D624:F624"/>
    <mergeCell ref="D625:F625"/>
    <mergeCell ref="D626:F626"/>
    <mergeCell ref="D627:F627"/>
    <mergeCell ref="D628:F628"/>
    <mergeCell ref="D629:F629"/>
    <mergeCell ref="D630:F630"/>
    <mergeCell ref="D631:F631"/>
    <mergeCell ref="D632:F632"/>
    <mergeCell ref="D633:F633"/>
    <mergeCell ref="D634:F634"/>
    <mergeCell ref="D635:F635"/>
    <mergeCell ref="D636:F636"/>
    <mergeCell ref="D637:F637"/>
    <mergeCell ref="D604:F604"/>
    <mergeCell ref="D605:F605"/>
    <mergeCell ref="D606:F606"/>
    <mergeCell ref="D607:F607"/>
    <mergeCell ref="D608:F608"/>
    <mergeCell ref="D609:F609"/>
    <mergeCell ref="D610:F610"/>
    <mergeCell ref="D611:F611"/>
    <mergeCell ref="D612:F612"/>
    <mergeCell ref="D613:F613"/>
    <mergeCell ref="D614:F614"/>
    <mergeCell ref="D615:F615"/>
    <mergeCell ref="D616:F616"/>
    <mergeCell ref="D617:F617"/>
    <mergeCell ref="D618:F618"/>
    <mergeCell ref="D619:F619"/>
    <mergeCell ref="D620:F620"/>
    <mergeCell ref="D587:F587"/>
    <mergeCell ref="D588:F588"/>
    <mergeCell ref="D589:F589"/>
    <mergeCell ref="D590:F590"/>
    <mergeCell ref="D591:F591"/>
    <mergeCell ref="D592:F592"/>
    <mergeCell ref="D593:F593"/>
    <mergeCell ref="D594:F594"/>
    <mergeCell ref="D595:F595"/>
    <mergeCell ref="D596:F596"/>
    <mergeCell ref="D597:F597"/>
    <mergeCell ref="D598:F598"/>
    <mergeCell ref="D599:F599"/>
    <mergeCell ref="D600:F600"/>
    <mergeCell ref="D601:F601"/>
    <mergeCell ref="D602:F602"/>
    <mergeCell ref="D603:F603"/>
    <mergeCell ref="D570:F570"/>
    <mergeCell ref="D571:F571"/>
    <mergeCell ref="D572:F572"/>
    <mergeCell ref="D573:F573"/>
    <mergeCell ref="D574:F574"/>
    <mergeCell ref="D575:F575"/>
    <mergeCell ref="D576:F576"/>
    <mergeCell ref="D577:F577"/>
    <mergeCell ref="D578:F578"/>
    <mergeCell ref="D579:F579"/>
    <mergeCell ref="D580:F580"/>
    <mergeCell ref="D581:F581"/>
    <mergeCell ref="D582:F582"/>
    <mergeCell ref="D583:F583"/>
    <mergeCell ref="D584:F584"/>
    <mergeCell ref="D585:F585"/>
    <mergeCell ref="D586:F586"/>
    <mergeCell ref="D553:F553"/>
    <mergeCell ref="D554:F554"/>
    <mergeCell ref="D555:F555"/>
    <mergeCell ref="D556:F556"/>
    <mergeCell ref="D557:F557"/>
    <mergeCell ref="D558:F558"/>
    <mergeCell ref="D559:F559"/>
    <mergeCell ref="D560:F560"/>
    <mergeCell ref="D561:F561"/>
    <mergeCell ref="D562:F562"/>
    <mergeCell ref="D563:F563"/>
    <mergeCell ref="D564:F564"/>
    <mergeCell ref="D565:F565"/>
    <mergeCell ref="D566:F566"/>
    <mergeCell ref="D567:F567"/>
    <mergeCell ref="D568:F568"/>
    <mergeCell ref="D569:F569"/>
    <mergeCell ref="D536:F536"/>
    <mergeCell ref="D537:F537"/>
    <mergeCell ref="D538:F538"/>
    <mergeCell ref="D539:F539"/>
    <mergeCell ref="D540:F540"/>
    <mergeCell ref="D541:F541"/>
    <mergeCell ref="D542:F542"/>
    <mergeCell ref="D543:F543"/>
    <mergeCell ref="D544:F544"/>
    <mergeCell ref="D545:F545"/>
    <mergeCell ref="D546:F546"/>
    <mergeCell ref="D547:F547"/>
    <mergeCell ref="D548:F548"/>
    <mergeCell ref="D549:F549"/>
    <mergeCell ref="D550:F550"/>
    <mergeCell ref="D551:F551"/>
    <mergeCell ref="D552:F552"/>
    <mergeCell ref="D519:F519"/>
    <mergeCell ref="D520:F520"/>
    <mergeCell ref="D521:F521"/>
    <mergeCell ref="D522:F522"/>
    <mergeCell ref="D523:F523"/>
    <mergeCell ref="D524:F524"/>
    <mergeCell ref="D525:F525"/>
    <mergeCell ref="D526:F526"/>
    <mergeCell ref="D527:F527"/>
    <mergeCell ref="D528:F528"/>
    <mergeCell ref="D529:F529"/>
    <mergeCell ref="D530:F530"/>
    <mergeCell ref="D531:F531"/>
    <mergeCell ref="D532:F532"/>
    <mergeCell ref="D533:F533"/>
    <mergeCell ref="D534:F534"/>
    <mergeCell ref="D535:F535"/>
    <mergeCell ref="D502:F502"/>
    <mergeCell ref="D503:F503"/>
    <mergeCell ref="D504:F504"/>
    <mergeCell ref="D505:F505"/>
    <mergeCell ref="D506:F506"/>
    <mergeCell ref="D507:F507"/>
    <mergeCell ref="D508:F508"/>
    <mergeCell ref="D509:F509"/>
    <mergeCell ref="D510:F510"/>
    <mergeCell ref="D511:F511"/>
    <mergeCell ref="D512:F512"/>
    <mergeCell ref="D513:F513"/>
    <mergeCell ref="D514:F514"/>
    <mergeCell ref="D515:F515"/>
    <mergeCell ref="D516:F516"/>
    <mergeCell ref="D517:F517"/>
    <mergeCell ref="D518:F518"/>
    <mergeCell ref="D485:F485"/>
    <mergeCell ref="D486:F486"/>
    <mergeCell ref="D487:F487"/>
    <mergeCell ref="D488:F488"/>
    <mergeCell ref="D489:F489"/>
    <mergeCell ref="D490:F490"/>
    <mergeCell ref="D491:F491"/>
    <mergeCell ref="D492:F492"/>
    <mergeCell ref="D493:F493"/>
    <mergeCell ref="D494:F494"/>
    <mergeCell ref="D495:F495"/>
    <mergeCell ref="D496:F496"/>
    <mergeCell ref="D497:F497"/>
    <mergeCell ref="D498:F498"/>
    <mergeCell ref="D499:F499"/>
    <mergeCell ref="D500:F500"/>
    <mergeCell ref="D501:F501"/>
    <mergeCell ref="D468:F468"/>
    <mergeCell ref="D469:F469"/>
    <mergeCell ref="D470:F470"/>
    <mergeCell ref="D471:F471"/>
    <mergeCell ref="D472:F472"/>
    <mergeCell ref="D473:F473"/>
    <mergeCell ref="D474:F474"/>
    <mergeCell ref="D475:F475"/>
    <mergeCell ref="D476:F476"/>
    <mergeCell ref="D477:F477"/>
    <mergeCell ref="D478:F478"/>
    <mergeCell ref="D479:F479"/>
    <mergeCell ref="D480:F480"/>
    <mergeCell ref="D481:F481"/>
    <mergeCell ref="D482:F482"/>
    <mergeCell ref="D483:F483"/>
    <mergeCell ref="D484:F484"/>
    <mergeCell ref="D451:F451"/>
    <mergeCell ref="D452:F452"/>
    <mergeCell ref="D453:F453"/>
    <mergeCell ref="D454:F454"/>
    <mergeCell ref="D455:F455"/>
    <mergeCell ref="D456:F456"/>
    <mergeCell ref="D457:F457"/>
    <mergeCell ref="D458:F458"/>
    <mergeCell ref="D459:F459"/>
    <mergeCell ref="D460:F460"/>
    <mergeCell ref="D461:F461"/>
    <mergeCell ref="D462:F462"/>
    <mergeCell ref="D463:F463"/>
    <mergeCell ref="D464:F464"/>
    <mergeCell ref="D465:F465"/>
    <mergeCell ref="D466:F466"/>
    <mergeCell ref="D467:F467"/>
    <mergeCell ref="D434:F434"/>
    <mergeCell ref="D435:F435"/>
    <mergeCell ref="D436:F436"/>
    <mergeCell ref="D437:F437"/>
    <mergeCell ref="D438:F438"/>
    <mergeCell ref="D439:F439"/>
    <mergeCell ref="D440:F440"/>
    <mergeCell ref="D441:F441"/>
    <mergeCell ref="D442:F442"/>
    <mergeCell ref="D443:F443"/>
    <mergeCell ref="D444:F444"/>
    <mergeCell ref="D445:F445"/>
    <mergeCell ref="D446:F446"/>
    <mergeCell ref="D447:F447"/>
    <mergeCell ref="D448:F448"/>
    <mergeCell ref="D449:F449"/>
    <mergeCell ref="D450:F450"/>
    <mergeCell ref="D417:F417"/>
    <mergeCell ref="D418:F418"/>
    <mergeCell ref="D419:F419"/>
    <mergeCell ref="D420:F420"/>
    <mergeCell ref="D421:F421"/>
    <mergeCell ref="D422:F422"/>
    <mergeCell ref="D423:F423"/>
    <mergeCell ref="D424:F424"/>
    <mergeCell ref="D425:F425"/>
    <mergeCell ref="D426:F426"/>
    <mergeCell ref="D427:F427"/>
    <mergeCell ref="D428:F428"/>
    <mergeCell ref="D429:F429"/>
    <mergeCell ref="D430:F430"/>
    <mergeCell ref="D431:F431"/>
    <mergeCell ref="D432:F432"/>
    <mergeCell ref="D433:F433"/>
    <mergeCell ref="D400:F400"/>
    <mergeCell ref="D401:F401"/>
    <mergeCell ref="D402:F402"/>
    <mergeCell ref="D403:F403"/>
    <mergeCell ref="D404:F404"/>
    <mergeCell ref="D405:F405"/>
    <mergeCell ref="D406:F406"/>
    <mergeCell ref="D407:F407"/>
    <mergeCell ref="D408:F408"/>
    <mergeCell ref="D409:F409"/>
    <mergeCell ref="D410:F410"/>
    <mergeCell ref="D411:F411"/>
    <mergeCell ref="D412:F412"/>
    <mergeCell ref="D413:F413"/>
    <mergeCell ref="D414:F414"/>
    <mergeCell ref="D415:F415"/>
    <mergeCell ref="D416:F416"/>
    <mergeCell ref="D383:F383"/>
    <mergeCell ref="D384:F384"/>
    <mergeCell ref="D385:F385"/>
    <mergeCell ref="D386:F386"/>
    <mergeCell ref="D387:F387"/>
    <mergeCell ref="D388:F388"/>
    <mergeCell ref="D389:F389"/>
    <mergeCell ref="D390:F390"/>
    <mergeCell ref="D391:F391"/>
    <mergeCell ref="D392:F392"/>
    <mergeCell ref="D393:F393"/>
    <mergeCell ref="D394:F394"/>
    <mergeCell ref="D395:F395"/>
    <mergeCell ref="D396:F396"/>
    <mergeCell ref="D397:F397"/>
    <mergeCell ref="D398:F398"/>
    <mergeCell ref="D399:F399"/>
    <mergeCell ref="D366:F366"/>
    <mergeCell ref="D367:F367"/>
    <mergeCell ref="D368:F368"/>
    <mergeCell ref="D369:F369"/>
    <mergeCell ref="D370:F370"/>
    <mergeCell ref="D371:F371"/>
    <mergeCell ref="D372:F372"/>
    <mergeCell ref="D373:F373"/>
    <mergeCell ref="D374:F374"/>
    <mergeCell ref="D375:F375"/>
    <mergeCell ref="D376:F376"/>
    <mergeCell ref="D377:F377"/>
    <mergeCell ref="D378:F378"/>
    <mergeCell ref="D379:F379"/>
    <mergeCell ref="D380:F380"/>
    <mergeCell ref="D381:F381"/>
    <mergeCell ref="D382:F382"/>
    <mergeCell ref="D349:F349"/>
    <mergeCell ref="D350:F350"/>
    <mergeCell ref="D351:F351"/>
    <mergeCell ref="D352:F352"/>
    <mergeCell ref="D353:F353"/>
    <mergeCell ref="D354:F354"/>
    <mergeCell ref="D355:F355"/>
    <mergeCell ref="D356:F356"/>
    <mergeCell ref="D357:F357"/>
    <mergeCell ref="D358:F358"/>
    <mergeCell ref="D359:F359"/>
    <mergeCell ref="D360:F360"/>
    <mergeCell ref="D361:F361"/>
    <mergeCell ref="D362:F362"/>
    <mergeCell ref="D363:F363"/>
    <mergeCell ref="D364:F364"/>
    <mergeCell ref="D365:F365"/>
    <mergeCell ref="D332:F332"/>
    <mergeCell ref="D333:F333"/>
    <mergeCell ref="D334:F334"/>
    <mergeCell ref="D335:F335"/>
    <mergeCell ref="D336:F336"/>
    <mergeCell ref="D337:F337"/>
    <mergeCell ref="D338:F338"/>
    <mergeCell ref="D339:F339"/>
    <mergeCell ref="D340:F340"/>
    <mergeCell ref="D341:F341"/>
    <mergeCell ref="D342:F342"/>
    <mergeCell ref="D343:F343"/>
    <mergeCell ref="D344:F344"/>
    <mergeCell ref="D345:F345"/>
    <mergeCell ref="D346:F346"/>
    <mergeCell ref="D347:F347"/>
    <mergeCell ref="D348:F348"/>
    <mergeCell ref="D315:F315"/>
    <mergeCell ref="D316:F316"/>
    <mergeCell ref="D317:F317"/>
    <mergeCell ref="D318:F318"/>
    <mergeCell ref="D319:F319"/>
    <mergeCell ref="D320:F320"/>
    <mergeCell ref="D321:F321"/>
    <mergeCell ref="D322:F322"/>
    <mergeCell ref="D323:F323"/>
    <mergeCell ref="D324:F324"/>
    <mergeCell ref="D325:F325"/>
    <mergeCell ref="D326:F326"/>
    <mergeCell ref="D327:F327"/>
    <mergeCell ref="D328:F328"/>
    <mergeCell ref="D329:F329"/>
    <mergeCell ref="D330:F330"/>
    <mergeCell ref="D331:F331"/>
    <mergeCell ref="D298:F298"/>
    <mergeCell ref="D299:F299"/>
    <mergeCell ref="D300:F300"/>
    <mergeCell ref="D301:F301"/>
    <mergeCell ref="D302:F302"/>
    <mergeCell ref="D303:F303"/>
    <mergeCell ref="D304:F304"/>
    <mergeCell ref="D305:F305"/>
    <mergeCell ref="D306:F306"/>
    <mergeCell ref="D307:F307"/>
    <mergeCell ref="D308:F308"/>
    <mergeCell ref="D309:F309"/>
    <mergeCell ref="D310:F310"/>
    <mergeCell ref="D311:F311"/>
    <mergeCell ref="D312:F312"/>
    <mergeCell ref="D313:F313"/>
    <mergeCell ref="D314:F314"/>
    <mergeCell ref="D281:F281"/>
    <mergeCell ref="D282:F282"/>
    <mergeCell ref="D283:F283"/>
    <mergeCell ref="D284:F284"/>
    <mergeCell ref="D285:F285"/>
    <mergeCell ref="D286:F286"/>
    <mergeCell ref="D287:F287"/>
    <mergeCell ref="D288:F288"/>
    <mergeCell ref="D289:F289"/>
    <mergeCell ref="D290:F290"/>
    <mergeCell ref="D291:F291"/>
    <mergeCell ref="D292:F292"/>
    <mergeCell ref="D293:F293"/>
    <mergeCell ref="D294:F294"/>
    <mergeCell ref="D295:F295"/>
    <mergeCell ref="D296:F296"/>
    <mergeCell ref="D297:F297"/>
    <mergeCell ref="D264:F264"/>
    <mergeCell ref="D265:F265"/>
    <mergeCell ref="D266:F266"/>
    <mergeCell ref="D267:F267"/>
    <mergeCell ref="D268:F268"/>
    <mergeCell ref="D269:F269"/>
    <mergeCell ref="D270:F270"/>
    <mergeCell ref="D271:F271"/>
    <mergeCell ref="D272:F272"/>
    <mergeCell ref="D273:F273"/>
    <mergeCell ref="D274:F274"/>
    <mergeCell ref="D275:F275"/>
    <mergeCell ref="D276:F276"/>
    <mergeCell ref="D277:F277"/>
    <mergeCell ref="D278:F278"/>
    <mergeCell ref="D279:F279"/>
    <mergeCell ref="D280:F280"/>
    <mergeCell ref="D247:F247"/>
    <mergeCell ref="D248:F248"/>
    <mergeCell ref="D249:F249"/>
    <mergeCell ref="D250:F250"/>
    <mergeCell ref="D251:F251"/>
    <mergeCell ref="D252:F252"/>
    <mergeCell ref="D253:F253"/>
    <mergeCell ref="D254:F254"/>
    <mergeCell ref="D255:F255"/>
    <mergeCell ref="D256:F256"/>
    <mergeCell ref="D257:F257"/>
    <mergeCell ref="D258:F258"/>
    <mergeCell ref="D259:F259"/>
    <mergeCell ref="D260:F260"/>
    <mergeCell ref="D261:F261"/>
    <mergeCell ref="D262:F262"/>
    <mergeCell ref="D263:F263"/>
    <mergeCell ref="D230:F230"/>
    <mergeCell ref="D231:F231"/>
    <mergeCell ref="D232:F232"/>
    <mergeCell ref="D233:F233"/>
    <mergeCell ref="D234:F234"/>
    <mergeCell ref="D235:F235"/>
    <mergeCell ref="D236:F236"/>
    <mergeCell ref="D237:F237"/>
    <mergeCell ref="D238:F238"/>
    <mergeCell ref="D239:F239"/>
    <mergeCell ref="D240:F240"/>
    <mergeCell ref="D241:F241"/>
    <mergeCell ref="D242:F242"/>
    <mergeCell ref="D243:F243"/>
    <mergeCell ref="D244:F244"/>
    <mergeCell ref="D245:F245"/>
    <mergeCell ref="D246:F246"/>
    <mergeCell ref="D213:F213"/>
    <mergeCell ref="D214:F214"/>
    <mergeCell ref="D215:F215"/>
    <mergeCell ref="D216:F216"/>
    <mergeCell ref="D217:F217"/>
    <mergeCell ref="D218:F218"/>
    <mergeCell ref="D219:F219"/>
    <mergeCell ref="D220:F220"/>
    <mergeCell ref="D221:F221"/>
    <mergeCell ref="D222:F222"/>
    <mergeCell ref="D223:F223"/>
    <mergeCell ref="D224:F224"/>
    <mergeCell ref="D225:F225"/>
    <mergeCell ref="D226:F226"/>
    <mergeCell ref="D227:F227"/>
    <mergeCell ref="D228:F228"/>
    <mergeCell ref="D229:F229"/>
    <mergeCell ref="D196:F196"/>
    <mergeCell ref="D197:F197"/>
    <mergeCell ref="D198:F198"/>
    <mergeCell ref="D199:F199"/>
    <mergeCell ref="D200:F200"/>
    <mergeCell ref="D201:F201"/>
    <mergeCell ref="D202:F202"/>
    <mergeCell ref="D203:F203"/>
    <mergeCell ref="D204:F204"/>
    <mergeCell ref="D205:F205"/>
    <mergeCell ref="D206:F206"/>
    <mergeCell ref="D207:F207"/>
    <mergeCell ref="D208:F208"/>
    <mergeCell ref="D209:F209"/>
    <mergeCell ref="D210:F210"/>
    <mergeCell ref="D211:F211"/>
    <mergeCell ref="D212:F212"/>
    <mergeCell ref="D179:F179"/>
    <mergeCell ref="D180:F180"/>
    <mergeCell ref="D181:F181"/>
    <mergeCell ref="D182:F182"/>
    <mergeCell ref="D183:F183"/>
    <mergeCell ref="D184:F184"/>
    <mergeCell ref="D185:F185"/>
    <mergeCell ref="D186:F186"/>
    <mergeCell ref="D187:F187"/>
    <mergeCell ref="D188:F188"/>
    <mergeCell ref="D189:F189"/>
    <mergeCell ref="D190:F190"/>
    <mergeCell ref="D191:F191"/>
    <mergeCell ref="D192:F192"/>
    <mergeCell ref="D193:F193"/>
    <mergeCell ref="D194:F194"/>
    <mergeCell ref="D195:F195"/>
    <mergeCell ref="D162:F162"/>
    <mergeCell ref="D163:F163"/>
    <mergeCell ref="D164:F164"/>
    <mergeCell ref="D165:F165"/>
    <mergeCell ref="D166:F166"/>
    <mergeCell ref="D167:F167"/>
    <mergeCell ref="D168:F168"/>
    <mergeCell ref="D169:F169"/>
    <mergeCell ref="D170:F170"/>
    <mergeCell ref="D171:F171"/>
    <mergeCell ref="D172:F172"/>
    <mergeCell ref="D173:F173"/>
    <mergeCell ref="D174:F174"/>
    <mergeCell ref="D175:F175"/>
    <mergeCell ref="D176:F176"/>
    <mergeCell ref="D177:F177"/>
    <mergeCell ref="D178:F178"/>
    <mergeCell ref="D145:F145"/>
    <mergeCell ref="D146:F146"/>
    <mergeCell ref="D147:F147"/>
    <mergeCell ref="D148:F148"/>
    <mergeCell ref="D149:F149"/>
    <mergeCell ref="D150:F150"/>
    <mergeCell ref="D151:F151"/>
    <mergeCell ref="D152:F152"/>
    <mergeCell ref="D153:F153"/>
    <mergeCell ref="D154:F154"/>
    <mergeCell ref="D155:F155"/>
    <mergeCell ref="D156:F156"/>
    <mergeCell ref="D157:F157"/>
    <mergeCell ref="D158:F158"/>
    <mergeCell ref="D159:F159"/>
    <mergeCell ref="D160:F160"/>
    <mergeCell ref="D161:F161"/>
    <mergeCell ref="D128:F128"/>
    <mergeCell ref="D129:F129"/>
    <mergeCell ref="D130:F130"/>
    <mergeCell ref="D131:F131"/>
    <mergeCell ref="D132:F132"/>
    <mergeCell ref="D133:F133"/>
    <mergeCell ref="D134:F134"/>
    <mergeCell ref="D135:F135"/>
    <mergeCell ref="D136:F136"/>
    <mergeCell ref="D137:F137"/>
    <mergeCell ref="D138:F138"/>
    <mergeCell ref="D139:F139"/>
    <mergeCell ref="D140:F140"/>
    <mergeCell ref="D141:F141"/>
    <mergeCell ref="D142:F142"/>
    <mergeCell ref="D143:F143"/>
    <mergeCell ref="D144:F144"/>
    <mergeCell ref="D111:F111"/>
    <mergeCell ref="D112:F112"/>
    <mergeCell ref="D113:F113"/>
    <mergeCell ref="D114:F114"/>
    <mergeCell ref="D115:F115"/>
    <mergeCell ref="D116:F116"/>
    <mergeCell ref="D117:F117"/>
    <mergeCell ref="D118:F118"/>
    <mergeCell ref="D119:F119"/>
    <mergeCell ref="D120:F120"/>
    <mergeCell ref="D121:F121"/>
    <mergeCell ref="D122:F122"/>
    <mergeCell ref="D123:F123"/>
    <mergeCell ref="D124:F124"/>
    <mergeCell ref="D125:F125"/>
    <mergeCell ref="D126:F126"/>
    <mergeCell ref="D127:F127"/>
    <mergeCell ref="D94:F94"/>
    <mergeCell ref="D95:F95"/>
    <mergeCell ref="D96:F96"/>
    <mergeCell ref="D97:F97"/>
    <mergeCell ref="D98:F98"/>
    <mergeCell ref="D99:F99"/>
    <mergeCell ref="D100:F100"/>
    <mergeCell ref="D101:F101"/>
    <mergeCell ref="D102:F102"/>
    <mergeCell ref="D103:F103"/>
    <mergeCell ref="D104:F104"/>
    <mergeCell ref="D105:F105"/>
    <mergeCell ref="D106:F106"/>
    <mergeCell ref="D107:F107"/>
    <mergeCell ref="D108:F108"/>
    <mergeCell ref="D109:F109"/>
    <mergeCell ref="D110:F110"/>
    <mergeCell ref="D77:F77"/>
    <mergeCell ref="D78:F78"/>
    <mergeCell ref="D79:F79"/>
    <mergeCell ref="D80:F80"/>
    <mergeCell ref="D81:F81"/>
    <mergeCell ref="D82:F82"/>
    <mergeCell ref="D83:F83"/>
    <mergeCell ref="D84:F84"/>
    <mergeCell ref="D85:F85"/>
    <mergeCell ref="D86:F86"/>
    <mergeCell ref="D87:F87"/>
    <mergeCell ref="D88:F88"/>
    <mergeCell ref="D89:F89"/>
    <mergeCell ref="D90:F90"/>
    <mergeCell ref="D91:F91"/>
    <mergeCell ref="D92:F92"/>
    <mergeCell ref="D93:F93"/>
    <mergeCell ref="D60:F60"/>
    <mergeCell ref="D61:F61"/>
    <mergeCell ref="D62:F62"/>
    <mergeCell ref="D63:F63"/>
    <mergeCell ref="D64:F64"/>
    <mergeCell ref="D65:F65"/>
    <mergeCell ref="D66:F66"/>
    <mergeCell ref="D67:F67"/>
    <mergeCell ref="D68:F68"/>
    <mergeCell ref="D69:F69"/>
    <mergeCell ref="D70:F70"/>
    <mergeCell ref="D71:F71"/>
    <mergeCell ref="D72:F72"/>
    <mergeCell ref="D73:F73"/>
    <mergeCell ref="D74:F74"/>
    <mergeCell ref="D75:F75"/>
    <mergeCell ref="D76:F76"/>
    <mergeCell ref="D1388:F1388"/>
    <mergeCell ref="D1389:F1389"/>
    <mergeCell ref="D1390:F1390"/>
    <mergeCell ref="D16:F16"/>
    <mergeCell ref="D17:F17"/>
    <mergeCell ref="D18:F18"/>
    <mergeCell ref="D19:F19"/>
    <mergeCell ref="D20:F20"/>
    <mergeCell ref="D21:F21"/>
    <mergeCell ref="D22:F22"/>
    <mergeCell ref="D23:F23"/>
    <mergeCell ref="D24:F24"/>
    <mergeCell ref="D25:F25"/>
    <mergeCell ref="D26:F26"/>
    <mergeCell ref="D27:F27"/>
    <mergeCell ref="D28:F28"/>
    <mergeCell ref="D29:F29"/>
    <mergeCell ref="D30:F30"/>
    <mergeCell ref="D31:F31"/>
    <mergeCell ref="D32:F32"/>
    <mergeCell ref="D33:F33"/>
    <mergeCell ref="D34:F34"/>
    <mergeCell ref="D35:F35"/>
    <mergeCell ref="D36:F36"/>
    <mergeCell ref="D37:F37"/>
    <mergeCell ref="D38:F38"/>
    <mergeCell ref="D39:F39"/>
    <mergeCell ref="D40:F40"/>
    <mergeCell ref="D41:F41"/>
    <mergeCell ref="D42:F42"/>
    <mergeCell ref="D43:F43"/>
    <mergeCell ref="D44:F44"/>
    <mergeCell ref="D1369:F1369"/>
    <mergeCell ref="D1370:F1370"/>
    <mergeCell ref="D1371:F1371"/>
    <mergeCell ref="D1372:F1372"/>
    <mergeCell ref="D1373:F1373"/>
    <mergeCell ref="D1374:F1374"/>
    <mergeCell ref="A1111:G1111"/>
    <mergeCell ref="D1112:F1112"/>
    <mergeCell ref="D1375:F1375"/>
    <mergeCell ref="D1376:F1376"/>
    <mergeCell ref="D1377:F1377"/>
    <mergeCell ref="D1378:F1378"/>
    <mergeCell ref="D1379:F1379"/>
    <mergeCell ref="D1380:F1380"/>
    <mergeCell ref="D1381:F1381"/>
    <mergeCell ref="D1382:F1382"/>
    <mergeCell ref="A1387:G1387"/>
    <mergeCell ref="D1352:F1352"/>
    <mergeCell ref="D1353:F1353"/>
    <mergeCell ref="D1354:F1354"/>
    <mergeCell ref="D1355:F1355"/>
    <mergeCell ref="D1356:F1356"/>
    <mergeCell ref="D1357:F1357"/>
    <mergeCell ref="D1358:F1358"/>
    <mergeCell ref="D1359:F1359"/>
    <mergeCell ref="D1360:F1360"/>
    <mergeCell ref="D1361:F1361"/>
    <mergeCell ref="D1362:F1362"/>
    <mergeCell ref="D1363:F1363"/>
    <mergeCell ref="D1364:F1364"/>
    <mergeCell ref="D1365:F1365"/>
    <mergeCell ref="D1366:F1366"/>
    <mergeCell ref="D1367:F1367"/>
    <mergeCell ref="D1368:F1368"/>
    <mergeCell ref="D1335:F1335"/>
    <mergeCell ref="D1336:F1336"/>
    <mergeCell ref="D1337:F1337"/>
    <mergeCell ref="D1338:F1338"/>
    <mergeCell ref="D1339:F1339"/>
    <mergeCell ref="D1340:F1340"/>
    <mergeCell ref="D1341:F1341"/>
    <mergeCell ref="D1342:F1342"/>
    <mergeCell ref="D1343:F1343"/>
    <mergeCell ref="D1344:F1344"/>
    <mergeCell ref="D1345:F1345"/>
    <mergeCell ref="D1346:F1346"/>
    <mergeCell ref="D1347:F1347"/>
    <mergeCell ref="D1348:F1348"/>
    <mergeCell ref="D1349:F1349"/>
    <mergeCell ref="D1350:F1350"/>
    <mergeCell ref="D1351:F1351"/>
    <mergeCell ref="H12:H13"/>
    <mergeCell ref="A14:G14"/>
    <mergeCell ref="H14:H1451"/>
    <mergeCell ref="D1434:F1434"/>
    <mergeCell ref="D1435:F1435"/>
    <mergeCell ref="D1436:F1436"/>
    <mergeCell ref="D1437:F1437"/>
    <mergeCell ref="D1438:F1438"/>
    <mergeCell ref="D1439:F1439"/>
    <mergeCell ref="D1440:F1440"/>
    <mergeCell ref="D1441:F1441"/>
    <mergeCell ref="D1442:F1442"/>
    <mergeCell ref="D1443:F1443"/>
    <mergeCell ref="D1444:F1444"/>
    <mergeCell ref="D1445:F1445"/>
    <mergeCell ref="D1446:F1446"/>
    <mergeCell ref="D1447:F1447"/>
    <mergeCell ref="D1291:F1291"/>
    <mergeCell ref="D1292:F1292"/>
    <mergeCell ref="D1293:F1293"/>
    <mergeCell ref="D1294:F1294"/>
    <mergeCell ref="D1295:F1295"/>
    <mergeCell ref="D1296:F1296"/>
    <mergeCell ref="D1297:F1297"/>
    <mergeCell ref="D1298:F1298"/>
    <mergeCell ref="D1299:F1299"/>
    <mergeCell ref="D1300:F1300"/>
    <mergeCell ref="D1301:F1301"/>
    <mergeCell ref="D1302:F1302"/>
    <mergeCell ref="D1303:F1303"/>
    <mergeCell ref="D1304:F1304"/>
    <mergeCell ref="D1305:F1305"/>
    <mergeCell ref="D1433:F1433"/>
    <mergeCell ref="D1383:F1383"/>
    <mergeCell ref="A1385:B1386"/>
    <mergeCell ref="C1385:C1386"/>
    <mergeCell ref="D1448:F1448"/>
    <mergeCell ref="D1449:F1449"/>
    <mergeCell ref="A1450:B1451"/>
    <mergeCell ref="C1450:C1451"/>
    <mergeCell ref="A1456:B1457"/>
    <mergeCell ref="C1456:C1457"/>
    <mergeCell ref="G1456:G1457"/>
    <mergeCell ref="F1461:G1461"/>
    <mergeCell ref="A1462:B1462"/>
    <mergeCell ref="F1462:G1462"/>
    <mergeCell ref="A11:B11"/>
    <mergeCell ref="D11:F11"/>
    <mergeCell ref="A12:B13"/>
    <mergeCell ref="G12:G13"/>
    <mergeCell ref="D1306:F1306"/>
    <mergeCell ref="D1307:F1307"/>
    <mergeCell ref="D1308:F1308"/>
    <mergeCell ref="D1309:F1309"/>
    <mergeCell ref="D1310:F1310"/>
    <mergeCell ref="D1311:F1311"/>
    <mergeCell ref="D1312:F1312"/>
    <mergeCell ref="D1313:F1313"/>
    <mergeCell ref="D1314:F1314"/>
    <mergeCell ref="D1315:F1315"/>
    <mergeCell ref="D1316:F1316"/>
    <mergeCell ref="D1317:F1317"/>
    <mergeCell ref="D1318:F1318"/>
    <mergeCell ref="D1319:F1319"/>
    <mergeCell ref="D1415:F1415"/>
    <mergeCell ref="D1416:F1416"/>
    <mergeCell ref="D1417:F1417"/>
    <mergeCell ref="D1418:F1418"/>
    <mergeCell ref="D1419:F1419"/>
    <mergeCell ref="D1420:F1420"/>
    <mergeCell ref="D1421:F1421"/>
    <mergeCell ref="D1422:F1422"/>
    <mergeCell ref="A1424:B1425"/>
    <mergeCell ref="C1424:C1425"/>
    <mergeCell ref="A1426:G1426"/>
    <mergeCell ref="D1427:F1427"/>
    <mergeCell ref="D1428:F1428"/>
    <mergeCell ref="D1429:F1429"/>
    <mergeCell ref="D1430:F1430"/>
    <mergeCell ref="D1431:F1431"/>
    <mergeCell ref="D1432:F1432"/>
    <mergeCell ref="D1398:F1398"/>
    <mergeCell ref="D1399:F1399"/>
    <mergeCell ref="D1400:F1400"/>
    <mergeCell ref="D1401:F1401"/>
    <mergeCell ref="D1402:F1402"/>
    <mergeCell ref="D1403:F1403"/>
    <mergeCell ref="D1404:F1404"/>
    <mergeCell ref="D1405:F1405"/>
    <mergeCell ref="D1406:F1406"/>
    <mergeCell ref="D1407:F1407"/>
    <mergeCell ref="D1408:F1408"/>
    <mergeCell ref="D1409:F1409"/>
    <mergeCell ref="D1410:F1410"/>
    <mergeCell ref="D1411:F1411"/>
    <mergeCell ref="D1412:F1412"/>
    <mergeCell ref="D1413:F1413"/>
    <mergeCell ref="D1414:F1414"/>
    <mergeCell ref="D1281:F1281"/>
    <mergeCell ref="D1282:F1282"/>
    <mergeCell ref="D1283:F1283"/>
    <mergeCell ref="D1284:F1284"/>
    <mergeCell ref="D1285:F1285"/>
    <mergeCell ref="D1286:F1286"/>
    <mergeCell ref="D1287:F1287"/>
    <mergeCell ref="D1288:F1288"/>
    <mergeCell ref="D1289:F1289"/>
    <mergeCell ref="D1290:F1290"/>
    <mergeCell ref="D1391:F1391"/>
    <mergeCell ref="D1392:F1392"/>
    <mergeCell ref="D1393:F1393"/>
    <mergeCell ref="D1394:F1394"/>
    <mergeCell ref="D1395:F1395"/>
    <mergeCell ref="D1396:F1396"/>
    <mergeCell ref="D1397:F1397"/>
    <mergeCell ref="D1320:F1320"/>
    <mergeCell ref="D1321:F1321"/>
    <mergeCell ref="D1322:F1322"/>
    <mergeCell ref="D1323:F1323"/>
    <mergeCell ref="D1324:F1324"/>
    <mergeCell ref="D1325:F1325"/>
    <mergeCell ref="D1326:F1326"/>
    <mergeCell ref="D1327:F1327"/>
    <mergeCell ref="D1328:F1328"/>
    <mergeCell ref="D1329:F1329"/>
    <mergeCell ref="D1330:F1330"/>
    <mergeCell ref="D1331:F1331"/>
    <mergeCell ref="D1332:F1332"/>
    <mergeCell ref="D1333:F1333"/>
    <mergeCell ref="D1334:F1334"/>
    <mergeCell ref="D1264:F1264"/>
    <mergeCell ref="D1265:F1265"/>
    <mergeCell ref="D1266:F1266"/>
    <mergeCell ref="D1267:F1267"/>
    <mergeCell ref="D1268:F1268"/>
    <mergeCell ref="D1269:F1269"/>
    <mergeCell ref="D1270:F1270"/>
    <mergeCell ref="D1271:F1271"/>
    <mergeCell ref="D1272:F1272"/>
    <mergeCell ref="D1273:F1273"/>
    <mergeCell ref="D1274:F1274"/>
    <mergeCell ref="D1275:F1275"/>
    <mergeCell ref="D1276:F1276"/>
    <mergeCell ref="D1277:F1277"/>
    <mergeCell ref="D1278:F1278"/>
    <mergeCell ref="D1279:F1279"/>
    <mergeCell ref="D1280:F1280"/>
    <mergeCell ref="D1247:F1247"/>
    <mergeCell ref="D1248:F1248"/>
    <mergeCell ref="D1249:F1249"/>
    <mergeCell ref="D1250:F1250"/>
    <mergeCell ref="D1251:F1251"/>
    <mergeCell ref="D1252:F1252"/>
    <mergeCell ref="D1253:F1253"/>
    <mergeCell ref="D1254:F1254"/>
    <mergeCell ref="D1255:F1255"/>
    <mergeCell ref="D1256:F1256"/>
    <mergeCell ref="D1257:F1257"/>
    <mergeCell ref="D1258:F1258"/>
    <mergeCell ref="D1259:F1259"/>
    <mergeCell ref="D1260:F1260"/>
    <mergeCell ref="D1261:F1261"/>
    <mergeCell ref="D1262:F1262"/>
    <mergeCell ref="D1263:F1263"/>
    <mergeCell ref="D1230:F1230"/>
    <mergeCell ref="D1231:F1231"/>
    <mergeCell ref="D1232:F1232"/>
    <mergeCell ref="D1233:F1233"/>
    <mergeCell ref="D1234:F1234"/>
    <mergeCell ref="D1235:F1235"/>
    <mergeCell ref="D1236:F1236"/>
    <mergeCell ref="D1237:F1237"/>
    <mergeCell ref="D1238:F1238"/>
    <mergeCell ref="D1239:F1239"/>
    <mergeCell ref="D1240:F1240"/>
    <mergeCell ref="D1241:F1241"/>
    <mergeCell ref="D1242:F1242"/>
    <mergeCell ref="D1243:F1243"/>
    <mergeCell ref="D1244:F1244"/>
    <mergeCell ref="D1245:F1245"/>
    <mergeCell ref="D1246:F1246"/>
    <mergeCell ref="D1213:F1213"/>
    <mergeCell ref="D1214:F1214"/>
    <mergeCell ref="D1215:F1215"/>
    <mergeCell ref="D1216:F1216"/>
    <mergeCell ref="D1217:F1217"/>
    <mergeCell ref="D1218:F1218"/>
    <mergeCell ref="D1219:F1219"/>
    <mergeCell ref="D1220:F1220"/>
    <mergeCell ref="D1221:F1221"/>
    <mergeCell ref="D1222:F1222"/>
    <mergeCell ref="D1223:F1223"/>
    <mergeCell ref="D1224:F1224"/>
    <mergeCell ref="D1225:F1225"/>
    <mergeCell ref="D1226:F1226"/>
    <mergeCell ref="D1227:F1227"/>
    <mergeCell ref="D1228:F1228"/>
    <mergeCell ref="D1229:F1229"/>
    <mergeCell ref="D1196:F1196"/>
    <mergeCell ref="D1197:F1197"/>
    <mergeCell ref="D1198:F1198"/>
    <mergeCell ref="D1199:F1199"/>
    <mergeCell ref="D1200:F1200"/>
    <mergeCell ref="D1201:F1201"/>
    <mergeCell ref="D1202:F1202"/>
    <mergeCell ref="D1203:F1203"/>
    <mergeCell ref="D1204:F1204"/>
    <mergeCell ref="D1205:F1205"/>
    <mergeCell ref="D1206:F1206"/>
    <mergeCell ref="D1207:F1207"/>
    <mergeCell ref="D1208:F1208"/>
    <mergeCell ref="D1209:F1209"/>
    <mergeCell ref="D1210:F1210"/>
    <mergeCell ref="D1211:F1211"/>
    <mergeCell ref="D1212:F1212"/>
    <mergeCell ref="D1179:F1179"/>
    <mergeCell ref="D1180:F1180"/>
    <mergeCell ref="D1181:F1181"/>
    <mergeCell ref="D1182:F1182"/>
    <mergeCell ref="D1183:F1183"/>
    <mergeCell ref="D1184:F1184"/>
    <mergeCell ref="D1185:F1185"/>
    <mergeCell ref="D1186:F1186"/>
    <mergeCell ref="D1187:F1187"/>
    <mergeCell ref="D1188:F1188"/>
    <mergeCell ref="D1189:F1189"/>
    <mergeCell ref="D1190:F1190"/>
    <mergeCell ref="D1191:F1191"/>
    <mergeCell ref="D1192:F1192"/>
    <mergeCell ref="D1193:F1193"/>
    <mergeCell ref="D1194:F1194"/>
    <mergeCell ref="D1195:F1195"/>
    <mergeCell ref="D1162:F1162"/>
    <mergeCell ref="D1163:F1163"/>
    <mergeCell ref="D1164:F1164"/>
    <mergeCell ref="D1165:F1165"/>
    <mergeCell ref="D1166:F1166"/>
    <mergeCell ref="D1167:F1167"/>
    <mergeCell ref="D1168:F1168"/>
    <mergeCell ref="D1169:F1169"/>
    <mergeCell ref="D1170:F1170"/>
    <mergeCell ref="D1171:F1171"/>
    <mergeCell ref="D1172:F1172"/>
    <mergeCell ref="D1173:F1173"/>
    <mergeCell ref="D1174:F1174"/>
    <mergeCell ref="D1175:F1175"/>
    <mergeCell ref="D1176:F1176"/>
    <mergeCell ref="D1177:F1177"/>
    <mergeCell ref="D1178:F1178"/>
    <mergeCell ref="D1145:F1145"/>
    <mergeCell ref="D1146:F1146"/>
    <mergeCell ref="D1147:F1147"/>
    <mergeCell ref="D1148:F1148"/>
    <mergeCell ref="D1149:F1149"/>
    <mergeCell ref="D1150:F1150"/>
    <mergeCell ref="D1151:F1151"/>
    <mergeCell ref="D1152:F1152"/>
    <mergeCell ref="D1153:F1153"/>
    <mergeCell ref="D1154:F1154"/>
    <mergeCell ref="D1155:F1155"/>
    <mergeCell ref="D1156:F1156"/>
    <mergeCell ref="D1157:F1157"/>
    <mergeCell ref="D1158:F1158"/>
    <mergeCell ref="D1159:F1159"/>
    <mergeCell ref="D1160:F1160"/>
    <mergeCell ref="D1161:F1161"/>
    <mergeCell ref="D1128:F1128"/>
    <mergeCell ref="D1129:F1129"/>
    <mergeCell ref="D1130:F1130"/>
    <mergeCell ref="D1131:F1131"/>
    <mergeCell ref="D1132:F1132"/>
    <mergeCell ref="D1133:F1133"/>
    <mergeCell ref="D1134:F1134"/>
    <mergeCell ref="D1135:F1135"/>
    <mergeCell ref="D1136:F1136"/>
    <mergeCell ref="D1137:F1137"/>
    <mergeCell ref="D1138:F1138"/>
    <mergeCell ref="D1139:F1139"/>
    <mergeCell ref="D1140:F1140"/>
    <mergeCell ref="D1141:F1141"/>
    <mergeCell ref="D1142:F1142"/>
    <mergeCell ref="D1143:F1143"/>
    <mergeCell ref="D1144:F1144"/>
    <mergeCell ref="A1109:B1110"/>
    <mergeCell ref="C1109:C1110"/>
    <mergeCell ref="D1113:F1113"/>
    <mergeCell ref="D1114:F1114"/>
    <mergeCell ref="D1115:F1115"/>
    <mergeCell ref="D1116:F1116"/>
    <mergeCell ref="D1117:F1117"/>
    <mergeCell ref="D1118:F1118"/>
    <mergeCell ref="D1119:F1119"/>
    <mergeCell ref="D1120:F1120"/>
    <mergeCell ref="D1121:F1121"/>
    <mergeCell ref="D1122:F1122"/>
    <mergeCell ref="D1123:F1123"/>
    <mergeCell ref="D1124:F1124"/>
    <mergeCell ref="D1125:F1125"/>
    <mergeCell ref="D1126:F1126"/>
    <mergeCell ref="D1127:F1127"/>
    <mergeCell ref="D1093:F1093"/>
    <mergeCell ref="D1094:F1094"/>
    <mergeCell ref="D1095:F1095"/>
    <mergeCell ref="D1096:F1096"/>
    <mergeCell ref="D1097:F1097"/>
    <mergeCell ref="D1098:F1098"/>
    <mergeCell ref="D1099:F1099"/>
    <mergeCell ref="D1100:F1100"/>
    <mergeCell ref="D1101:F1101"/>
    <mergeCell ref="D1102:F1102"/>
    <mergeCell ref="D1103:F1103"/>
    <mergeCell ref="D1104:F1104"/>
    <mergeCell ref="D1105:F1105"/>
    <mergeCell ref="D1106:F1106"/>
    <mergeCell ref="D1107:F1107"/>
    <mergeCell ref="D12:F13"/>
    <mergeCell ref="D15:F15"/>
    <mergeCell ref="D45:F45"/>
    <mergeCell ref="D46:F46"/>
    <mergeCell ref="D47:F47"/>
    <mergeCell ref="D48:F48"/>
    <mergeCell ref="D49:F49"/>
    <mergeCell ref="D50:F50"/>
    <mergeCell ref="D51:F51"/>
    <mergeCell ref="D52:F52"/>
    <mergeCell ref="D53:F53"/>
    <mergeCell ref="D54:F54"/>
    <mergeCell ref="D55:F55"/>
    <mergeCell ref="D56:F56"/>
    <mergeCell ref="D57:F57"/>
    <mergeCell ref="D58:F58"/>
    <mergeCell ref="D59:F59"/>
    <mergeCell ref="D1076:F1076"/>
    <mergeCell ref="D1077:F1077"/>
    <mergeCell ref="D1078:F1078"/>
    <mergeCell ref="D1079:F1079"/>
    <mergeCell ref="D1080:F1080"/>
    <mergeCell ref="D1081:F1081"/>
    <mergeCell ref="D1082:F1082"/>
    <mergeCell ref="D1083:F1083"/>
    <mergeCell ref="D1084:F1084"/>
    <mergeCell ref="D1085:F1085"/>
    <mergeCell ref="D1086:F1086"/>
    <mergeCell ref="D1087:F1087"/>
    <mergeCell ref="D1088:F1088"/>
    <mergeCell ref="D1089:F1089"/>
    <mergeCell ref="D1090:F1090"/>
    <mergeCell ref="D1091:F1091"/>
    <mergeCell ref="D1092:F1092"/>
    <mergeCell ref="D1059:F1059"/>
    <mergeCell ref="D1060:F1060"/>
    <mergeCell ref="D1061:F1061"/>
    <mergeCell ref="D1062:F1062"/>
    <mergeCell ref="D1063:F1063"/>
    <mergeCell ref="D1064:F1064"/>
    <mergeCell ref="D1065:F1065"/>
    <mergeCell ref="D1066:F1066"/>
    <mergeCell ref="D1067:F1067"/>
    <mergeCell ref="D1068:F1068"/>
    <mergeCell ref="D1069:F1069"/>
    <mergeCell ref="D1070:F1070"/>
    <mergeCell ref="D1071:F1071"/>
    <mergeCell ref="D1072:F1072"/>
    <mergeCell ref="D1073:F1073"/>
    <mergeCell ref="D1074:F1074"/>
    <mergeCell ref="D1075:F1075"/>
    <mergeCell ref="D1042:F1042"/>
    <mergeCell ref="D1043:F1043"/>
    <mergeCell ref="D1044:F1044"/>
    <mergeCell ref="D1045:F1045"/>
    <mergeCell ref="D1046:F1046"/>
    <mergeCell ref="D1047:F1047"/>
    <mergeCell ref="D1048:F1048"/>
    <mergeCell ref="D1049:F1049"/>
    <mergeCell ref="D1050:F1050"/>
    <mergeCell ref="D1051:F1051"/>
    <mergeCell ref="D1052:F1052"/>
    <mergeCell ref="D1053:F1053"/>
    <mergeCell ref="D1054:F1054"/>
    <mergeCell ref="D1055:F1055"/>
    <mergeCell ref="D1056:F1056"/>
    <mergeCell ref="D1057:F1057"/>
    <mergeCell ref="D1058:F1058"/>
    <mergeCell ref="D1025:F1025"/>
    <mergeCell ref="D1026:F1026"/>
    <mergeCell ref="D1027:F1027"/>
    <mergeCell ref="D1028:F1028"/>
    <mergeCell ref="D1029:F1029"/>
    <mergeCell ref="D1030:F1030"/>
    <mergeCell ref="D1031:F1031"/>
    <mergeCell ref="D1032:F1032"/>
    <mergeCell ref="D1033:F1033"/>
    <mergeCell ref="D1034:F1034"/>
    <mergeCell ref="D1035:F1035"/>
    <mergeCell ref="D1036:F1036"/>
    <mergeCell ref="D1037:F1037"/>
    <mergeCell ref="D1038:F1038"/>
    <mergeCell ref="D1039:F1039"/>
    <mergeCell ref="D1040:F1040"/>
    <mergeCell ref="D1041:F1041"/>
    <mergeCell ref="D1008:F1008"/>
    <mergeCell ref="D1009:F1009"/>
    <mergeCell ref="D1010:F1010"/>
    <mergeCell ref="D1011:F1011"/>
    <mergeCell ref="D1012:F1012"/>
    <mergeCell ref="D1013:F1013"/>
    <mergeCell ref="D1014:F1014"/>
    <mergeCell ref="D1015:F1015"/>
    <mergeCell ref="D1016:F1016"/>
    <mergeCell ref="D1017:F1017"/>
    <mergeCell ref="D1018:F1018"/>
    <mergeCell ref="D1019:F1019"/>
    <mergeCell ref="D1020:F1020"/>
    <mergeCell ref="D1021:F1021"/>
    <mergeCell ref="D1022:F1022"/>
    <mergeCell ref="D1023:F1023"/>
    <mergeCell ref="D1024:F1024"/>
    <mergeCell ref="D991:F991"/>
    <mergeCell ref="D992:F992"/>
    <mergeCell ref="D993:F993"/>
    <mergeCell ref="D994:F994"/>
    <mergeCell ref="D995:F995"/>
    <mergeCell ref="D996:F996"/>
    <mergeCell ref="D997:F997"/>
    <mergeCell ref="D998:F998"/>
    <mergeCell ref="D999:F999"/>
    <mergeCell ref="D1000:F1000"/>
    <mergeCell ref="D1001:F1001"/>
    <mergeCell ref="D1002:F1002"/>
    <mergeCell ref="D1003:F1003"/>
    <mergeCell ref="D1004:F1004"/>
    <mergeCell ref="D1005:F1005"/>
    <mergeCell ref="D1006:F1006"/>
    <mergeCell ref="D1007:F1007"/>
    <mergeCell ref="D974:F974"/>
    <mergeCell ref="D975:F975"/>
    <mergeCell ref="D976:F976"/>
    <mergeCell ref="D977:F977"/>
    <mergeCell ref="D978:F978"/>
    <mergeCell ref="D979:F979"/>
    <mergeCell ref="D980:F980"/>
    <mergeCell ref="D981:F981"/>
    <mergeCell ref="D982:F982"/>
    <mergeCell ref="D983:F983"/>
    <mergeCell ref="D984:F984"/>
    <mergeCell ref="D985:F985"/>
    <mergeCell ref="D986:F986"/>
    <mergeCell ref="D987:F987"/>
    <mergeCell ref="D988:F988"/>
    <mergeCell ref="D989:F989"/>
    <mergeCell ref="D990:F990"/>
    <mergeCell ref="D957:F957"/>
    <mergeCell ref="D958:F958"/>
    <mergeCell ref="D959:F959"/>
    <mergeCell ref="D960:F960"/>
    <mergeCell ref="D961:F961"/>
    <mergeCell ref="D962:F962"/>
    <mergeCell ref="D963:F963"/>
    <mergeCell ref="D964:F964"/>
    <mergeCell ref="D965:F965"/>
    <mergeCell ref="D966:F966"/>
    <mergeCell ref="D967:F967"/>
    <mergeCell ref="D968:F968"/>
    <mergeCell ref="D969:F969"/>
    <mergeCell ref="D970:F970"/>
    <mergeCell ref="D971:F971"/>
    <mergeCell ref="D972:F972"/>
    <mergeCell ref="D973:F973"/>
    <mergeCell ref="D940:F940"/>
    <mergeCell ref="D941:F941"/>
    <mergeCell ref="D942:F942"/>
    <mergeCell ref="D943:F943"/>
    <mergeCell ref="D944:F944"/>
    <mergeCell ref="D945:F945"/>
    <mergeCell ref="D946:F946"/>
    <mergeCell ref="D947:F947"/>
    <mergeCell ref="D948:F948"/>
    <mergeCell ref="D949:F949"/>
    <mergeCell ref="D950:F950"/>
    <mergeCell ref="D951:F951"/>
    <mergeCell ref="D952:F952"/>
    <mergeCell ref="D953:F953"/>
    <mergeCell ref="D954:F954"/>
    <mergeCell ref="D955:F955"/>
    <mergeCell ref="D956:F956"/>
    <mergeCell ref="D923:F923"/>
    <mergeCell ref="D924:F924"/>
    <mergeCell ref="D925:F925"/>
    <mergeCell ref="D926:F926"/>
    <mergeCell ref="D927:F927"/>
    <mergeCell ref="D928:F928"/>
    <mergeCell ref="D929:F929"/>
    <mergeCell ref="D930:F930"/>
    <mergeCell ref="D931:F931"/>
    <mergeCell ref="D932:F932"/>
    <mergeCell ref="D933:F933"/>
    <mergeCell ref="D934:F934"/>
    <mergeCell ref="D935:F935"/>
    <mergeCell ref="D936:F936"/>
    <mergeCell ref="D937:F937"/>
    <mergeCell ref="D938:F938"/>
    <mergeCell ref="D939:F939"/>
    <mergeCell ref="D906:F906"/>
    <mergeCell ref="D907:F907"/>
    <mergeCell ref="D908:F908"/>
    <mergeCell ref="D909:F909"/>
    <mergeCell ref="D910:F910"/>
    <mergeCell ref="D911:F911"/>
    <mergeCell ref="D912:F912"/>
    <mergeCell ref="D913:F913"/>
    <mergeCell ref="D914:F914"/>
    <mergeCell ref="D915:F915"/>
    <mergeCell ref="D916:F916"/>
    <mergeCell ref="D917:F917"/>
    <mergeCell ref="D918:F918"/>
    <mergeCell ref="D919:F919"/>
    <mergeCell ref="D920:F920"/>
    <mergeCell ref="D921:F921"/>
    <mergeCell ref="D922:F922"/>
    <mergeCell ref="D889:F889"/>
    <mergeCell ref="D890:F890"/>
    <mergeCell ref="D891:F891"/>
    <mergeCell ref="D892:F892"/>
    <mergeCell ref="D893:F893"/>
    <mergeCell ref="D894:F894"/>
    <mergeCell ref="D895:F895"/>
    <mergeCell ref="D896:F896"/>
    <mergeCell ref="D897:F897"/>
    <mergeCell ref="D898:F898"/>
    <mergeCell ref="D899:F899"/>
    <mergeCell ref="D900:F900"/>
    <mergeCell ref="D901:F901"/>
    <mergeCell ref="D902:F902"/>
    <mergeCell ref="D903:F903"/>
    <mergeCell ref="D904:F904"/>
    <mergeCell ref="D905:F905"/>
    <mergeCell ref="D872:F872"/>
    <mergeCell ref="D873:F873"/>
    <mergeCell ref="D874:F874"/>
    <mergeCell ref="D875:F875"/>
    <mergeCell ref="D876:F876"/>
    <mergeCell ref="D877:F877"/>
    <mergeCell ref="D878:F878"/>
    <mergeCell ref="D879:F879"/>
    <mergeCell ref="D880:F880"/>
    <mergeCell ref="D881:F881"/>
    <mergeCell ref="D882:F882"/>
    <mergeCell ref="D883:F883"/>
    <mergeCell ref="D884:F884"/>
    <mergeCell ref="D885:F885"/>
    <mergeCell ref="D886:F886"/>
    <mergeCell ref="D887:F887"/>
    <mergeCell ref="D888:F888"/>
    <mergeCell ref="D855:F855"/>
    <mergeCell ref="D856:F856"/>
    <mergeCell ref="D857:F857"/>
    <mergeCell ref="D858:F858"/>
    <mergeCell ref="D859:F859"/>
    <mergeCell ref="D860:F860"/>
    <mergeCell ref="D861:F861"/>
    <mergeCell ref="D862:F862"/>
    <mergeCell ref="D863:F863"/>
    <mergeCell ref="D864:F864"/>
    <mergeCell ref="D865:F865"/>
    <mergeCell ref="D866:F866"/>
    <mergeCell ref="D867:F867"/>
    <mergeCell ref="D868:F868"/>
    <mergeCell ref="D869:F869"/>
    <mergeCell ref="D870:F870"/>
    <mergeCell ref="D871:F871"/>
    <mergeCell ref="D838:F838"/>
    <mergeCell ref="D839:F839"/>
    <mergeCell ref="D840:F840"/>
    <mergeCell ref="D841:F841"/>
    <mergeCell ref="D842:F842"/>
    <mergeCell ref="D843:F843"/>
    <mergeCell ref="D844:F844"/>
    <mergeCell ref="D845:F845"/>
    <mergeCell ref="D846:F846"/>
    <mergeCell ref="D847:F847"/>
    <mergeCell ref="D848:F848"/>
    <mergeCell ref="D849:F849"/>
    <mergeCell ref="D850:F850"/>
    <mergeCell ref="D851:F851"/>
    <mergeCell ref="D852:F852"/>
    <mergeCell ref="D853:F853"/>
    <mergeCell ref="D854:F854"/>
    <mergeCell ref="D821:F821"/>
    <mergeCell ref="D822:F822"/>
    <mergeCell ref="D823:F823"/>
    <mergeCell ref="D824:F824"/>
    <mergeCell ref="D825:F825"/>
    <mergeCell ref="D826:F826"/>
    <mergeCell ref="D827:F827"/>
    <mergeCell ref="D828:F828"/>
    <mergeCell ref="D829:F829"/>
    <mergeCell ref="D830:F830"/>
    <mergeCell ref="D831:F831"/>
    <mergeCell ref="D832:F832"/>
    <mergeCell ref="D833:F833"/>
    <mergeCell ref="D834:F834"/>
    <mergeCell ref="D835:F835"/>
    <mergeCell ref="D836:F836"/>
    <mergeCell ref="D837:F837"/>
    <mergeCell ref="D804:F804"/>
    <mergeCell ref="D805:F805"/>
    <mergeCell ref="D806:F806"/>
    <mergeCell ref="D807:F807"/>
    <mergeCell ref="D808:F808"/>
    <mergeCell ref="D809:F809"/>
    <mergeCell ref="D810:F810"/>
    <mergeCell ref="D811:F811"/>
    <mergeCell ref="D812:F812"/>
    <mergeCell ref="D813:F813"/>
    <mergeCell ref="D814:F814"/>
    <mergeCell ref="D815:F815"/>
    <mergeCell ref="D816:F816"/>
    <mergeCell ref="D817:F817"/>
    <mergeCell ref="D818:F818"/>
    <mergeCell ref="D819:F819"/>
    <mergeCell ref="D820:F820"/>
    <mergeCell ref="D787:F787"/>
    <mergeCell ref="D788:F788"/>
    <mergeCell ref="D789:F789"/>
    <mergeCell ref="D790:F790"/>
    <mergeCell ref="D791:F791"/>
    <mergeCell ref="D792:F792"/>
    <mergeCell ref="D793:F793"/>
    <mergeCell ref="D794:F794"/>
    <mergeCell ref="D795:F795"/>
    <mergeCell ref="D796:F796"/>
    <mergeCell ref="D797:F797"/>
    <mergeCell ref="D798:F798"/>
    <mergeCell ref="D799:F799"/>
    <mergeCell ref="D800:F800"/>
    <mergeCell ref="D801:F801"/>
    <mergeCell ref="D802:F802"/>
    <mergeCell ref="D803:F803"/>
    <mergeCell ref="D770:F770"/>
    <mergeCell ref="D771:F771"/>
    <mergeCell ref="D772:F772"/>
    <mergeCell ref="D773:F773"/>
    <mergeCell ref="D774:F774"/>
    <mergeCell ref="D775:F775"/>
    <mergeCell ref="D776:F776"/>
    <mergeCell ref="D777:F777"/>
    <mergeCell ref="D778:F778"/>
    <mergeCell ref="D779:F779"/>
    <mergeCell ref="D780:F780"/>
    <mergeCell ref="D781:F781"/>
    <mergeCell ref="D782:F782"/>
    <mergeCell ref="D783:F783"/>
    <mergeCell ref="D784:F784"/>
    <mergeCell ref="D785:F785"/>
    <mergeCell ref="D786:F786"/>
    <mergeCell ref="D753:F753"/>
    <mergeCell ref="D754:F754"/>
    <mergeCell ref="D755:F755"/>
    <mergeCell ref="D756:F756"/>
    <mergeCell ref="D757:F757"/>
    <mergeCell ref="D758:F758"/>
    <mergeCell ref="D759:F759"/>
    <mergeCell ref="D760:F760"/>
    <mergeCell ref="D761:F761"/>
    <mergeCell ref="D762:F762"/>
    <mergeCell ref="D763:F763"/>
    <mergeCell ref="D764:F764"/>
    <mergeCell ref="D765:F765"/>
    <mergeCell ref="D766:F766"/>
    <mergeCell ref="D767:F767"/>
    <mergeCell ref="D768:F768"/>
    <mergeCell ref="D769:F769"/>
    <mergeCell ref="D736:F736"/>
    <mergeCell ref="D737:F737"/>
    <mergeCell ref="D738:F738"/>
    <mergeCell ref="D739:F739"/>
    <mergeCell ref="D740:F740"/>
    <mergeCell ref="D741:F741"/>
    <mergeCell ref="D742:F742"/>
    <mergeCell ref="D743:F743"/>
    <mergeCell ref="D744:F744"/>
    <mergeCell ref="D745:F745"/>
    <mergeCell ref="D746:F746"/>
    <mergeCell ref="D747:F747"/>
    <mergeCell ref="D748:F748"/>
    <mergeCell ref="D749:F749"/>
    <mergeCell ref="D750:F750"/>
    <mergeCell ref="D751:F751"/>
    <mergeCell ref="D752:F752"/>
    <mergeCell ref="D719:F719"/>
    <mergeCell ref="D720:F720"/>
    <mergeCell ref="D721:F721"/>
    <mergeCell ref="D722:F722"/>
    <mergeCell ref="D723:F723"/>
    <mergeCell ref="D724:F724"/>
    <mergeCell ref="D725:F725"/>
    <mergeCell ref="D726:F726"/>
    <mergeCell ref="D727:F727"/>
    <mergeCell ref="D728:F728"/>
    <mergeCell ref="D729:F729"/>
    <mergeCell ref="D730:F730"/>
    <mergeCell ref="D731:F731"/>
    <mergeCell ref="D732:F732"/>
    <mergeCell ref="D733:F733"/>
    <mergeCell ref="D734:F734"/>
    <mergeCell ref="D735:F735"/>
    <mergeCell ref="D702:F702"/>
    <mergeCell ref="D703:F703"/>
    <mergeCell ref="D704:F704"/>
    <mergeCell ref="D705:F705"/>
    <mergeCell ref="D706:F706"/>
    <mergeCell ref="D707:F707"/>
    <mergeCell ref="D708:F708"/>
    <mergeCell ref="D709:F709"/>
    <mergeCell ref="D710:F710"/>
    <mergeCell ref="D711:F711"/>
    <mergeCell ref="D712:F712"/>
    <mergeCell ref="D713:F713"/>
    <mergeCell ref="D714:F714"/>
    <mergeCell ref="D715:F715"/>
    <mergeCell ref="D716:F716"/>
    <mergeCell ref="D717:F717"/>
    <mergeCell ref="D718:F718"/>
  </mergeCells>
  <pageMargins left="1.9493055560000001" right="0.41944444444444401" top="0.52" bottom="0.22" header="0" footer="0"/>
  <pageSetup paperSize="14" scale="80" pageOrder="overThenDown"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000"/>
  <sheetViews>
    <sheetView workbookViewId="0"/>
  </sheetViews>
  <sheetFormatPr defaultColWidth="12.59765625" defaultRowHeight="15" customHeight="1" x14ac:dyDescent="0.25"/>
  <cols>
    <col min="1" max="1" width="2.69921875" customWidth="1"/>
    <col min="2" max="2" width="32.8984375" customWidth="1"/>
    <col min="3" max="3" width="24.8984375" customWidth="1"/>
    <col min="4" max="4" width="17.19921875" customWidth="1"/>
    <col min="5" max="5" width="21.19921875" customWidth="1"/>
    <col min="6" max="25" width="9" customWidth="1"/>
  </cols>
  <sheetData>
    <row r="1" spans="1:25" ht="12.75" customHeight="1" x14ac:dyDescent="0.25">
      <c r="A1" s="1" t="s">
        <v>2315</v>
      </c>
      <c r="B1" s="5"/>
      <c r="C1" s="5"/>
      <c r="D1" s="5"/>
      <c r="E1" s="5"/>
      <c r="F1" s="5"/>
      <c r="G1" s="5"/>
      <c r="H1" s="5"/>
      <c r="I1" s="5"/>
      <c r="J1" s="5"/>
      <c r="K1" s="5"/>
      <c r="L1" s="5"/>
      <c r="M1" s="5"/>
      <c r="N1" s="5"/>
      <c r="O1" s="5"/>
      <c r="P1" s="5"/>
      <c r="Q1" s="5"/>
      <c r="R1" s="5"/>
      <c r="S1" s="5"/>
      <c r="T1" s="5"/>
      <c r="U1" s="5"/>
      <c r="V1" s="5"/>
      <c r="W1" s="5"/>
      <c r="X1" s="5"/>
      <c r="Y1" s="5"/>
    </row>
    <row r="2" spans="1:25" ht="12.75" customHeight="1" x14ac:dyDescent="0.25">
      <c r="A2" s="1" t="s">
        <v>2316</v>
      </c>
      <c r="B2" s="5"/>
      <c r="C2" s="5"/>
      <c r="D2" s="5"/>
      <c r="E2" s="5"/>
      <c r="F2" s="5"/>
      <c r="G2" s="5"/>
      <c r="H2" s="5"/>
      <c r="I2" s="5"/>
      <c r="J2" s="5"/>
      <c r="K2" s="5"/>
      <c r="L2" s="5"/>
      <c r="M2" s="5"/>
      <c r="N2" s="5"/>
      <c r="O2" s="5"/>
      <c r="P2" s="5"/>
      <c r="Q2" s="5"/>
      <c r="R2" s="5"/>
      <c r="S2" s="5"/>
      <c r="T2" s="5"/>
      <c r="U2" s="5"/>
      <c r="V2" s="5"/>
      <c r="W2" s="5"/>
      <c r="X2" s="5"/>
      <c r="Y2" s="5"/>
    </row>
    <row r="3" spans="1:25" ht="12.75" customHeight="1" x14ac:dyDescent="0.25">
      <c r="A3" s="5"/>
      <c r="B3" s="5"/>
      <c r="C3" s="5"/>
      <c r="D3" s="5"/>
      <c r="E3" s="5"/>
      <c r="F3" s="5"/>
      <c r="G3" s="5"/>
      <c r="H3" s="5"/>
      <c r="I3" s="5"/>
      <c r="J3" s="5"/>
      <c r="K3" s="5"/>
      <c r="L3" s="5"/>
      <c r="M3" s="5"/>
      <c r="N3" s="5"/>
      <c r="O3" s="5"/>
      <c r="P3" s="5"/>
      <c r="Q3" s="5"/>
      <c r="R3" s="5"/>
      <c r="S3" s="5"/>
      <c r="T3" s="5"/>
      <c r="U3" s="5"/>
      <c r="V3" s="5"/>
      <c r="W3" s="5"/>
      <c r="X3" s="5"/>
      <c r="Y3" s="5"/>
    </row>
    <row r="4" spans="1:25" ht="12.75" customHeight="1" x14ac:dyDescent="0.25">
      <c r="B4" s="3" t="s">
        <v>2317</v>
      </c>
      <c r="C4" s="5"/>
      <c r="D4" s="5"/>
      <c r="E4" s="5"/>
      <c r="F4" s="5"/>
      <c r="G4" s="5"/>
      <c r="H4" s="5"/>
      <c r="I4" s="5"/>
      <c r="J4" s="5"/>
      <c r="K4" s="5"/>
      <c r="L4" s="5"/>
      <c r="M4" s="5"/>
      <c r="N4" s="5"/>
      <c r="O4" s="5"/>
      <c r="P4" s="5"/>
      <c r="Q4" s="5"/>
      <c r="R4" s="5"/>
      <c r="S4" s="5"/>
      <c r="T4" s="5"/>
      <c r="U4" s="5"/>
      <c r="V4" s="5"/>
      <c r="W4" s="5"/>
      <c r="X4" s="5"/>
      <c r="Y4" s="5"/>
    </row>
    <row r="5" spans="1:25" ht="12.75" customHeight="1" x14ac:dyDescent="0.25">
      <c r="A5" s="6"/>
      <c r="B5" s="3" t="s">
        <v>3</v>
      </c>
      <c r="C5" s="5"/>
      <c r="D5" s="5"/>
      <c r="E5" s="5"/>
      <c r="F5" s="5"/>
      <c r="G5" s="5"/>
      <c r="H5" s="5"/>
      <c r="I5" s="5"/>
      <c r="J5" s="5"/>
      <c r="K5" s="5"/>
      <c r="L5" s="5"/>
      <c r="M5" s="5"/>
      <c r="N5" s="5"/>
      <c r="O5" s="5"/>
      <c r="P5" s="5"/>
      <c r="Q5" s="5"/>
      <c r="R5" s="5"/>
      <c r="S5" s="5"/>
      <c r="T5" s="5"/>
      <c r="U5" s="5"/>
      <c r="V5" s="5"/>
      <c r="W5" s="5"/>
      <c r="X5" s="5"/>
      <c r="Y5" s="5"/>
    </row>
    <row r="6" spans="1:25" ht="12.75" customHeight="1" x14ac:dyDescent="0.25">
      <c r="A6" s="6"/>
      <c r="B6" s="3" t="s">
        <v>4</v>
      </c>
      <c r="C6" s="8"/>
      <c r="D6" s="8"/>
      <c r="E6" s="8"/>
      <c r="F6" s="5"/>
      <c r="G6" s="5"/>
      <c r="H6" s="5"/>
      <c r="I6" s="5"/>
      <c r="J6" s="5"/>
      <c r="K6" s="5"/>
      <c r="L6" s="5"/>
      <c r="M6" s="5"/>
      <c r="N6" s="5"/>
      <c r="O6" s="5"/>
      <c r="P6" s="5"/>
      <c r="Q6" s="5"/>
      <c r="R6" s="5"/>
      <c r="S6" s="5"/>
      <c r="T6" s="5"/>
      <c r="U6" s="5"/>
      <c r="V6" s="5"/>
      <c r="W6" s="5"/>
      <c r="X6" s="5"/>
      <c r="Y6" s="5"/>
    </row>
    <row r="7" spans="1:25" ht="12.75" customHeight="1" x14ac:dyDescent="0.25">
      <c r="A7" s="6"/>
      <c r="B7" s="3"/>
      <c r="C7" s="5"/>
      <c r="D7" s="5"/>
      <c r="E7" s="5"/>
      <c r="F7" s="5"/>
      <c r="G7" s="5"/>
      <c r="H7" s="5"/>
      <c r="I7" s="5"/>
      <c r="J7" s="5"/>
      <c r="K7" s="5"/>
      <c r="L7" s="5"/>
      <c r="M7" s="5"/>
      <c r="N7" s="5"/>
      <c r="O7" s="5"/>
      <c r="P7" s="5"/>
      <c r="Q7" s="5"/>
      <c r="R7" s="5"/>
      <c r="S7" s="5"/>
      <c r="T7" s="5"/>
      <c r="U7" s="5"/>
      <c r="V7" s="5"/>
      <c r="W7" s="5"/>
      <c r="X7" s="5"/>
      <c r="Y7" s="5"/>
    </row>
    <row r="8" spans="1:25" ht="12.75" customHeight="1" x14ac:dyDescent="0.25">
      <c r="A8" s="9"/>
      <c r="B8" s="9"/>
      <c r="C8" s="9"/>
      <c r="D8" s="9"/>
      <c r="E8" s="9"/>
      <c r="F8" s="9"/>
      <c r="G8" s="9"/>
      <c r="H8" s="9"/>
      <c r="I8" s="9"/>
      <c r="J8" s="9"/>
      <c r="K8" s="9"/>
      <c r="L8" s="9"/>
      <c r="M8" s="9"/>
      <c r="N8" s="9"/>
      <c r="O8" s="9"/>
      <c r="P8" s="9"/>
      <c r="Q8" s="9"/>
      <c r="R8" s="9"/>
      <c r="S8" s="9"/>
      <c r="T8" s="9"/>
      <c r="U8" s="9"/>
      <c r="V8" s="9"/>
      <c r="W8" s="9"/>
      <c r="X8" s="9"/>
      <c r="Y8" s="9"/>
    </row>
    <row r="9" spans="1:25" ht="12.75" customHeight="1" x14ac:dyDescent="0.25">
      <c r="A9" s="376">
        <v>1</v>
      </c>
      <c r="B9" s="371"/>
      <c r="C9" s="376">
        <v>2</v>
      </c>
      <c r="D9" s="371"/>
      <c r="E9" s="10">
        <v>3</v>
      </c>
      <c r="F9" s="9"/>
      <c r="G9" s="9"/>
      <c r="H9" s="9"/>
      <c r="I9" s="9"/>
      <c r="J9" s="9"/>
      <c r="K9" s="9"/>
      <c r="L9" s="9"/>
      <c r="M9" s="9"/>
      <c r="N9" s="9"/>
      <c r="O9" s="9"/>
      <c r="P9" s="9"/>
      <c r="Q9" s="9"/>
      <c r="R9" s="9"/>
      <c r="S9" s="9"/>
      <c r="T9" s="9"/>
      <c r="U9" s="9"/>
      <c r="V9" s="9"/>
      <c r="W9" s="9"/>
      <c r="X9" s="9"/>
      <c r="Y9" s="9"/>
    </row>
    <row r="10" spans="1:25" ht="29.25" customHeight="1" x14ac:dyDescent="0.25">
      <c r="A10" s="377" t="s">
        <v>11</v>
      </c>
      <c r="B10" s="378"/>
      <c r="C10" s="381" t="s">
        <v>2318</v>
      </c>
      <c r="D10" s="371"/>
      <c r="E10" s="367" t="s">
        <v>74</v>
      </c>
      <c r="F10" s="13"/>
      <c r="G10" s="13"/>
      <c r="H10" s="13"/>
      <c r="I10" s="13"/>
      <c r="J10" s="13"/>
      <c r="K10" s="13"/>
      <c r="L10" s="13"/>
      <c r="M10" s="13"/>
      <c r="N10" s="13"/>
      <c r="O10" s="13"/>
      <c r="P10" s="13"/>
      <c r="Q10" s="13"/>
      <c r="R10" s="13"/>
      <c r="S10" s="13"/>
      <c r="T10" s="13"/>
      <c r="U10" s="13"/>
      <c r="V10" s="13"/>
      <c r="W10" s="13"/>
      <c r="X10" s="13"/>
      <c r="Y10" s="13"/>
    </row>
    <row r="11" spans="1:25" ht="39.75" customHeight="1" x14ac:dyDescent="0.25">
      <c r="A11" s="379"/>
      <c r="B11" s="380"/>
      <c r="C11" s="83" t="s">
        <v>2319</v>
      </c>
      <c r="D11" s="111" t="s">
        <v>2320</v>
      </c>
      <c r="E11" s="368"/>
      <c r="F11" s="13"/>
      <c r="G11" s="13"/>
      <c r="H11" s="13"/>
      <c r="I11" s="13"/>
      <c r="J11" s="13"/>
      <c r="K11" s="13"/>
      <c r="L11" s="13"/>
      <c r="M11" s="13"/>
      <c r="N11" s="13"/>
      <c r="O11" s="13"/>
      <c r="P11" s="13"/>
      <c r="Q11" s="13"/>
      <c r="R11" s="13"/>
      <c r="S11" s="13"/>
      <c r="T11" s="13"/>
      <c r="U11" s="13"/>
      <c r="V11" s="13"/>
      <c r="W11" s="13"/>
      <c r="X11" s="13"/>
      <c r="Y11" s="13"/>
    </row>
    <row r="12" spans="1:25" ht="12.75" customHeight="1" x14ac:dyDescent="0.25">
      <c r="A12" s="369" t="s">
        <v>2321</v>
      </c>
      <c r="B12" s="370"/>
      <c r="C12" s="370"/>
      <c r="D12" s="371"/>
      <c r="E12" s="408" t="s">
        <v>2322</v>
      </c>
      <c r="F12" s="5"/>
      <c r="G12" s="5"/>
      <c r="H12" s="5"/>
      <c r="I12" s="5"/>
      <c r="J12" s="5"/>
      <c r="K12" s="5"/>
      <c r="L12" s="5"/>
      <c r="M12" s="5"/>
      <c r="N12" s="5"/>
      <c r="O12" s="5"/>
      <c r="P12" s="5"/>
      <c r="Q12" s="5"/>
      <c r="R12" s="5"/>
      <c r="S12" s="5"/>
      <c r="T12" s="5"/>
      <c r="U12" s="5"/>
      <c r="V12" s="5"/>
      <c r="W12" s="5"/>
      <c r="X12" s="5"/>
      <c r="Y12" s="5"/>
    </row>
    <row r="13" spans="1:25" ht="12.75" customHeight="1" x14ac:dyDescent="0.25">
      <c r="A13" s="15">
        <v>1</v>
      </c>
      <c r="B13" s="15" t="s">
        <v>2323</v>
      </c>
      <c r="C13" s="16">
        <v>94</v>
      </c>
      <c r="D13" s="16"/>
      <c r="E13" s="396"/>
      <c r="F13" s="5"/>
      <c r="G13" s="5"/>
      <c r="H13" s="5"/>
      <c r="I13" s="5"/>
      <c r="J13" s="5"/>
      <c r="K13" s="5"/>
      <c r="L13" s="5"/>
      <c r="M13" s="5"/>
      <c r="N13" s="5"/>
      <c r="O13" s="5"/>
      <c r="P13" s="5"/>
      <c r="Q13" s="5"/>
      <c r="R13" s="5"/>
      <c r="S13" s="5"/>
      <c r="T13" s="5"/>
      <c r="U13" s="5"/>
      <c r="V13" s="5"/>
      <c r="W13" s="5"/>
      <c r="X13" s="5"/>
      <c r="Y13" s="5"/>
    </row>
    <row r="14" spans="1:25" ht="12.75" customHeight="1" x14ac:dyDescent="0.25">
      <c r="A14" s="15">
        <v>2</v>
      </c>
      <c r="B14" s="15" t="s">
        <v>2324</v>
      </c>
      <c r="C14" s="16">
        <v>671</v>
      </c>
      <c r="D14" s="16"/>
      <c r="E14" s="396"/>
      <c r="F14" s="5"/>
      <c r="G14" s="5"/>
      <c r="H14" s="5"/>
      <c r="I14" s="5"/>
      <c r="J14" s="5"/>
      <c r="K14" s="5"/>
      <c r="L14" s="5"/>
      <c r="M14" s="5"/>
      <c r="N14" s="5"/>
      <c r="O14" s="5"/>
      <c r="P14" s="5"/>
      <c r="Q14" s="5"/>
      <c r="R14" s="5"/>
      <c r="S14" s="5"/>
      <c r="T14" s="5"/>
      <c r="U14" s="5"/>
      <c r="V14" s="5"/>
      <c r="W14" s="5"/>
      <c r="X14" s="5"/>
      <c r="Y14" s="5"/>
    </row>
    <row r="15" spans="1:25" ht="12.75" customHeight="1" x14ac:dyDescent="0.25">
      <c r="A15" s="15">
        <v>3</v>
      </c>
      <c r="B15" s="15" t="s">
        <v>2325</v>
      </c>
      <c r="C15" s="16">
        <v>73</v>
      </c>
      <c r="D15" s="16"/>
      <c r="E15" s="396"/>
      <c r="F15" s="5"/>
      <c r="G15" s="5"/>
      <c r="H15" s="5"/>
      <c r="I15" s="5"/>
      <c r="J15" s="5"/>
      <c r="K15" s="5"/>
      <c r="L15" s="5"/>
      <c r="M15" s="5"/>
      <c r="N15" s="5"/>
      <c r="O15" s="5"/>
      <c r="P15" s="5"/>
      <c r="Q15" s="5"/>
      <c r="R15" s="5"/>
      <c r="S15" s="5"/>
      <c r="T15" s="5"/>
      <c r="U15" s="5"/>
      <c r="V15" s="5"/>
      <c r="W15" s="5"/>
      <c r="X15" s="5"/>
      <c r="Y15" s="5"/>
    </row>
    <row r="16" spans="1:25" ht="12.75" customHeight="1" x14ac:dyDescent="0.25">
      <c r="A16" s="15">
        <v>4</v>
      </c>
      <c r="B16" s="15"/>
      <c r="C16" s="16"/>
      <c r="D16" s="16"/>
      <c r="E16" s="396"/>
      <c r="F16" s="5"/>
      <c r="G16" s="5"/>
      <c r="H16" s="5"/>
      <c r="I16" s="5"/>
      <c r="J16" s="5"/>
      <c r="K16" s="5"/>
      <c r="L16" s="5"/>
      <c r="M16" s="5"/>
      <c r="N16" s="5"/>
      <c r="O16" s="5"/>
      <c r="P16" s="5"/>
      <c r="Q16" s="5"/>
      <c r="R16" s="5"/>
      <c r="S16" s="5"/>
      <c r="T16" s="5"/>
      <c r="U16" s="5"/>
      <c r="V16" s="5"/>
      <c r="W16" s="5"/>
      <c r="X16" s="5"/>
      <c r="Y16" s="5"/>
    </row>
    <row r="17" spans="1:25" ht="12.75" customHeight="1" x14ac:dyDescent="0.25">
      <c r="A17" s="15">
        <v>5</v>
      </c>
      <c r="B17" s="15"/>
      <c r="C17" s="16"/>
      <c r="D17" s="16"/>
      <c r="E17" s="396"/>
      <c r="F17" s="5"/>
      <c r="G17" s="5"/>
      <c r="H17" s="5"/>
      <c r="I17" s="5"/>
      <c r="J17" s="5"/>
      <c r="K17" s="5"/>
      <c r="L17" s="5"/>
      <c r="M17" s="5"/>
      <c r="N17" s="5"/>
      <c r="O17" s="5"/>
      <c r="P17" s="5"/>
      <c r="Q17" s="5"/>
      <c r="R17" s="5"/>
      <c r="S17" s="5"/>
      <c r="T17" s="5"/>
      <c r="U17" s="5"/>
      <c r="V17" s="5"/>
      <c r="W17" s="5"/>
      <c r="X17" s="5"/>
      <c r="Y17" s="5"/>
    </row>
    <row r="18" spans="1:25" ht="12.75" customHeight="1" x14ac:dyDescent="0.25">
      <c r="A18" s="15">
        <v>6</v>
      </c>
      <c r="B18" s="15"/>
      <c r="C18" s="16"/>
      <c r="D18" s="16"/>
      <c r="E18" s="396"/>
      <c r="F18" s="5"/>
      <c r="G18" s="5"/>
      <c r="H18" s="5"/>
      <c r="I18" s="5"/>
      <c r="J18" s="5"/>
      <c r="K18" s="5"/>
      <c r="L18" s="5"/>
      <c r="M18" s="5"/>
      <c r="N18" s="5"/>
      <c r="O18" s="5"/>
      <c r="P18" s="5"/>
      <c r="Q18" s="5"/>
      <c r="R18" s="5"/>
      <c r="S18" s="5"/>
      <c r="T18" s="5"/>
      <c r="U18" s="5"/>
      <c r="V18" s="5"/>
      <c r="W18" s="5"/>
      <c r="X18" s="5"/>
      <c r="Y18" s="5"/>
    </row>
    <row r="19" spans="1:25" ht="12.75" customHeight="1" x14ac:dyDescent="0.25">
      <c r="A19" s="15"/>
      <c r="B19" s="15"/>
      <c r="C19" s="16"/>
      <c r="D19" s="16"/>
      <c r="E19" s="380"/>
      <c r="F19" s="5"/>
      <c r="G19" s="5"/>
      <c r="H19" s="5"/>
      <c r="I19" s="5"/>
      <c r="J19" s="5"/>
      <c r="K19" s="5"/>
      <c r="L19" s="5"/>
      <c r="M19" s="5"/>
      <c r="N19" s="5"/>
      <c r="O19" s="5"/>
      <c r="P19" s="5"/>
      <c r="Q19" s="5"/>
      <c r="R19" s="5"/>
      <c r="S19" s="5"/>
      <c r="T19" s="5"/>
      <c r="U19" s="5"/>
      <c r="V19" s="5"/>
      <c r="W19" s="5"/>
      <c r="X19" s="5"/>
      <c r="Y19" s="5"/>
    </row>
    <row r="20" spans="1:25" ht="12.75" customHeight="1" x14ac:dyDescent="0.25">
      <c r="A20" s="5"/>
      <c r="B20" s="5"/>
      <c r="C20" s="5"/>
      <c r="D20" s="5"/>
      <c r="E20" s="5"/>
      <c r="F20" s="5"/>
      <c r="G20" s="5"/>
      <c r="H20" s="5"/>
      <c r="I20" s="5"/>
      <c r="J20" s="5"/>
      <c r="K20" s="5"/>
      <c r="L20" s="5"/>
      <c r="M20" s="5"/>
      <c r="N20" s="5"/>
      <c r="O20" s="5"/>
      <c r="P20" s="5"/>
      <c r="Q20" s="5"/>
      <c r="R20" s="5"/>
      <c r="S20" s="5"/>
      <c r="T20" s="5"/>
      <c r="U20" s="5"/>
      <c r="V20" s="5"/>
      <c r="W20" s="5"/>
      <c r="X20" s="5"/>
      <c r="Y20" s="5"/>
    </row>
    <row r="21" spans="1:25" ht="12.75" customHeight="1" x14ac:dyDescent="0.25">
      <c r="A21" s="421" t="s">
        <v>157</v>
      </c>
      <c r="B21" s="422"/>
      <c r="C21" s="25">
        <f t="shared" ref="C21:D21" si="0">SUM(C13:C18,C19)</f>
        <v>838</v>
      </c>
      <c r="D21" s="25">
        <f t="shared" si="0"/>
        <v>0</v>
      </c>
      <c r="E21" s="384">
        <f>C21/C22</f>
        <v>1</v>
      </c>
      <c r="F21" s="5"/>
      <c r="G21" s="5"/>
      <c r="H21" s="5"/>
      <c r="I21" s="5"/>
      <c r="J21" s="5"/>
      <c r="K21" s="5"/>
      <c r="L21" s="5"/>
      <c r="M21" s="5"/>
      <c r="N21" s="5"/>
      <c r="O21" s="5"/>
      <c r="P21" s="5"/>
      <c r="Q21" s="5"/>
      <c r="R21" s="5"/>
      <c r="S21" s="5"/>
      <c r="T21" s="5"/>
      <c r="U21" s="5"/>
      <c r="V21" s="5"/>
      <c r="W21" s="5"/>
      <c r="X21" s="5"/>
      <c r="Y21" s="5"/>
    </row>
    <row r="22" spans="1:25" ht="12.75" customHeight="1" x14ac:dyDescent="0.25">
      <c r="A22" s="419"/>
      <c r="B22" s="420"/>
      <c r="C22" s="430">
        <f>SUM(C21:D21)</f>
        <v>838</v>
      </c>
      <c r="D22" s="388"/>
      <c r="E22" s="386"/>
      <c r="F22" s="5"/>
      <c r="G22" s="5"/>
      <c r="H22" s="5"/>
      <c r="I22" s="5"/>
      <c r="J22" s="5"/>
      <c r="K22" s="5"/>
      <c r="L22" s="5"/>
      <c r="M22" s="5"/>
      <c r="N22" s="5"/>
      <c r="O22" s="5"/>
      <c r="P22" s="5"/>
      <c r="Q22" s="5"/>
      <c r="R22" s="5"/>
      <c r="S22" s="5"/>
      <c r="T22" s="5"/>
      <c r="U22" s="5"/>
      <c r="V22" s="5"/>
      <c r="W22" s="5"/>
      <c r="X22" s="5"/>
      <c r="Y22" s="5"/>
    </row>
    <row r="23" spans="1:25" ht="12.75" customHeight="1" x14ac:dyDescent="0.25">
      <c r="A23" s="5"/>
      <c r="B23" s="5"/>
      <c r="C23" s="34"/>
      <c r="D23" s="5"/>
      <c r="E23" s="5"/>
      <c r="F23" s="5"/>
      <c r="G23" s="5"/>
      <c r="H23" s="5"/>
      <c r="I23" s="5"/>
      <c r="J23" s="5"/>
      <c r="K23" s="5"/>
      <c r="L23" s="5"/>
      <c r="M23" s="5"/>
      <c r="N23" s="5"/>
      <c r="O23" s="5"/>
      <c r="P23" s="5"/>
      <c r="Q23" s="5"/>
      <c r="R23" s="5"/>
      <c r="S23" s="5"/>
      <c r="T23" s="5"/>
      <c r="U23" s="5"/>
      <c r="V23" s="5"/>
      <c r="W23" s="5"/>
      <c r="X23" s="5"/>
      <c r="Y23" s="5"/>
    </row>
    <row r="24" spans="1:25" ht="12.75" customHeight="1" x14ac:dyDescent="0.25">
      <c r="A24" s="28" t="s">
        <v>56</v>
      </c>
      <c r="B24" s="29"/>
      <c r="C24" s="5"/>
      <c r="D24" s="5"/>
      <c r="E24" s="5"/>
      <c r="F24" s="5"/>
      <c r="G24" s="5"/>
      <c r="H24" s="5"/>
      <c r="I24" s="5"/>
      <c r="J24" s="5"/>
      <c r="K24" s="5"/>
      <c r="L24" s="5"/>
      <c r="M24" s="5"/>
      <c r="N24" s="5"/>
      <c r="O24" s="5"/>
      <c r="P24" s="5"/>
      <c r="Q24" s="5"/>
      <c r="R24" s="5"/>
      <c r="S24" s="5"/>
      <c r="T24" s="5"/>
      <c r="U24" s="5"/>
      <c r="V24" s="5"/>
      <c r="W24" s="5"/>
      <c r="X24" s="5"/>
      <c r="Y24" s="5"/>
    </row>
    <row r="25" spans="1:25" ht="12.75" customHeight="1" x14ac:dyDescent="0.25">
      <c r="A25" s="28"/>
      <c r="B25" s="29"/>
      <c r="C25" s="5"/>
      <c r="D25" s="5"/>
      <c r="E25" s="5"/>
      <c r="F25" s="5"/>
      <c r="G25" s="5"/>
      <c r="H25" s="5"/>
      <c r="I25" s="5"/>
      <c r="J25" s="5"/>
      <c r="K25" s="5"/>
      <c r="L25" s="5"/>
      <c r="M25" s="5"/>
      <c r="N25" s="5"/>
      <c r="O25" s="5"/>
      <c r="P25" s="5"/>
      <c r="Q25" s="5"/>
      <c r="R25" s="5"/>
      <c r="S25" s="5"/>
      <c r="T25" s="5"/>
      <c r="U25" s="5"/>
      <c r="V25" s="5"/>
      <c r="W25" s="5"/>
      <c r="X25" s="5"/>
      <c r="Y25" s="5"/>
    </row>
    <row r="26" spans="1:25" ht="12.75" customHeight="1" x14ac:dyDescent="0.25">
      <c r="A26" s="29"/>
      <c r="B26" s="30" t="s">
        <v>57</v>
      </c>
      <c r="C26" s="31">
        <v>44592</v>
      </c>
      <c r="D26" s="5"/>
      <c r="E26" s="5"/>
      <c r="F26" s="5"/>
      <c r="G26" s="5"/>
      <c r="H26" s="5"/>
      <c r="I26" s="5"/>
      <c r="J26" s="5"/>
      <c r="K26" s="5"/>
      <c r="L26" s="5"/>
      <c r="M26" s="5"/>
      <c r="N26" s="5"/>
      <c r="O26" s="5"/>
      <c r="P26" s="5"/>
      <c r="Q26" s="5"/>
      <c r="R26" s="5"/>
      <c r="S26" s="5"/>
      <c r="T26" s="5"/>
      <c r="U26" s="5"/>
      <c r="V26" s="5"/>
      <c r="W26" s="5"/>
      <c r="X26" s="5"/>
      <c r="Y26" s="5"/>
    </row>
    <row r="27" spans="1:25" ht="20.25" customHeight="1" x14ac:dyDescent="0.25">
      <c r="A27" s="372" t="s">
        <v>58</v>
      </c>
      <c r="B27" s="373"/>
      <c r="C27" s="32" t="s">
        <v>59</v>
      </c>
      <c r="D27" s="5"/>
      <c r="E27" s="5"/>
      <c r="F27" s="5"/>
      <c r="G27" s="5"/>
      <c r="H27" s="5"/>
      <c r="I27" s="5"/>
      <c r="J27" s="5"/>
      <c r="K27" s="5"/>
      <c r="L27" s="5"/>
      <c r="M27" s="5"/>
      <c r="N27" s="5"/>
      <c r="O27" s="5"/>
      <c r="P27" s="5"/>
      <c r="Q27" s="5"/>
      <c r="R27" s="5"/>
      <c r="S27" s="5"/>
      <c r="T27" s="5"/>
      <c r="U27" s="5"/>
      <c r="V27" s="5"/>
      <c r="W27" s="5"/>
      <c r="X27" s="5"/>
      <c r="Y27" s="5"/>
    </row>
    <row r="28" spans="1:25" ht="12.75" customHeight="1" x14ac:dyDescent="0.25">
      <c r="A28" s="5"/>
      <c r="B28" s="5"/>
      <c r="C28" s="5"/>
      <c r="D28" s="5"/>
      <c r="E28" s="5"/>
      <c r="F28" s="5"/>
      <c r="G28" s="5"/>
      <c r="H28" s="5"/>
      <c r="I28" s="5"/>
      <c r="J28" s="5"/>
      <c r="K28" s="5"/>
      <c r="L28" s="5"/>
      <c r="M28" s="5"/>
      <c r="N28" s="5"/>
      <c r="O28" s="5"/>
      <c r="P28" s="5"/>
      <c r="Q28" s="5"/>
      <c r="R28" s="5"/>
      <c r="S28" s="5"/>
      <c r="T28" s="5"/>
      <c r="U28" s="5"/>
      <c r="V28" s="5"/>
      <c r="W28" s="5"/>
      <c r="X28" s="5"/>
      <c r="Y28" s="5"/>
    </row>
    <row r="29" spans="1:25" ht="12.75" customHeight="1" x14ac:dyDescent="0.25">
      <c r="A29" s="5"/>
      <c r="B29" s="5"/>
      <c r="C29" s="5"/>
      <c r="D29" s="5"/>
      <c r="E29" s="5"/>
      <c r="F29" s="5"/>
      <c r="G29" s="5"/>
      <c r="H29" s="5"/>
      <c r="I29" s="5"/>
      <c r="J29" s="5"/>
      <c r="K29" s="5"/>
      <c r="L29" s="5"/>
      <c r="M29" s="5"/>
      <c r="N29" s="5"/>
      <c r="O29" s="5"/>
      <c r="P29" s="5"/>
      <c r="Q29" s="5"/>
      <c r="R29" s="5"/>
      <c r="S29" s="5"/>
      <c r="T29" s="5"/>
      <c r="U29" s="5"/>
      <c r="V29" s="5"/>
      <c r="W29" s="5"/>
      <c r="X29" s="5"/>
      <c r="Y29" s="5"/>
    </row>
    <row r="30" spans="1:25" ht="12.75" customHeight="1" x14ac:dyDescent="0.25">
      <c r="A30" s="33" t="s">
        <v>60</v>
      </c>
      <c r="B30" s="5"/>
      <c r="C30" s="5"/>
      <c r="D30" s="5"/>
      <c r="E30" s="5"/>
      <c r="F30" s="5"/>
      <c r="G30" s="5"/>
      <c r="H30" s="5"/>
      <c r="I30" s="5"/>
      <c r="J30" s="5"/>
      <c r="K30" s="5"/>
      <c r="L30" s="5"/>
      <c r="M30" s="5"/>
      <c r="N30" s="5"/>
      <c r="O30" s="5"/>
      <c r="P30" s="5"/>
      <c r="Q30" s="5"/>
      <c r="R30" s="5"/>
      <c r="S30" s="5"/>
      <c r="T30" s="5"/>
      <c r="U30" s="5"/>
      <c r="V30" s="5"/>
      <c r="W30" s="5"/>
      <c r="X30" s="5"/>
      <c r="Y30" s="5"/>
    </row>
    <row r="31" spans="1:25" ht="12.75" customHeight="1" x14ac:dyDescent="0.25">
      <c r="A31" s="5"/>
      <c r="B31" s="5"/>
      <c r="C31" s="5"/>
      <c r="D31" s="5"/>
      <c r="E31" s="5"/>
      <c r="F31" s="5"/>
      <c r="G31" s="5"/>
      <c r="H31" s="5"/>
      <c r="I31" s="5"/>
      <c r="J31" s="5"/>
      <c r="K31" s="5"/>
      <c r="L31" s="5"/>
      <c r="M31" s="5"/>
      <c r="N31" s="5"/>
      <c r="O31" s="5"/>
      <c r="P31" s="5"/>
      <c r="Q31" s="5"/>
      <c r="R31" s="5"/>
      <c r="S31" s="5"/>
      <c r="T31" s="5"/>
      <c r="U31" s="5"/>
      <c r="V31" s="5"/>
      <c r="W31" s="5"/>
      <c r="X31" s="5"/>
      <c r="Y31" s="5"/>
    </row>
    <row r="32" spans="1:25" ht="12.75" customHeight="1" x14ac:dyDescent="0.25">
      <c r="A32" s="29"/>
      <c r="B32" s="30" t="s">
        <v>61</v>
      </c>
      <c r="C32" s="31">
        <v>44616</v>
      </c>
      <c r="D32" s="5"/>
      <c r="E32" s="5"/>
      <c r="F32" s="5"/>
      <c r="G32" s="5"/>
      <c r="H32" s="5"/>
      <c r="I32" s="5"/>
      <c r="J32" s="5"/>
      <c r="K32" s="5"/>
      <c r="L32" s="5"/>
      <c r="M32" s="5"/>
      <c r="N32" s="5"/>
      <c r="O32" s="5"/>
      <c r="P32" s="5"/>
      <c r="Q32" s="5"/>
      <c r="R32" s="5"/>
      <c r="S32" s="5"/>
      <c r="T32" s="5"/>
      <c r="U32" s="5"/>
      <c r="V32" s="5"/>
      <c r="W32" s="5"/>
      <c r="X32" s="5"/>
      <c r="Y32" s="5"/>
    </row>
    <row r="33" spans="1:25" ht="12.75" customHeight="1" x14ac:dyDescent="0.25">
      <c r="A33" s="372" t="s">
        <v>58</v>
      </c>
      <c r="B33" s="373"/>
      <c r="C33" s="32" t="s">
        <v>59</v>
      </c>
      <c r="D33" s="5"/>
      <c r="E33" s="5"/>
      <c r="F33" s="5"/>
      <c r="G33" s="5"/>
      <c r="H33" s="5"/>
      <c r="I33" s="5"/>
      <c r="J33" s="5"/>
      <c r="K33" s="5"/>
      <c r="L33" s="5"/>
      <c r="M33" s="5"/>
      <c r="N33" s="5"/>
      <c r="O33" s="5"/>
      <c r="P33" s="5"/>
      <c r="Q33" s="5"/>
      <c r="R33" s="5"/>
      <c r="S33" s="5"/>
      <c r="T33" s="5"/>
      <c r="U33" s="5"/>
      <c r="V33" s="5"/>
      <c r="W33" s="5"/>
      <c r="X33" s="5"/>
      <c r="Y33" s="5"/>
    </row>
    <row r="34" spans="1:25" ht="12.75" customHeight="1" x14ac:dyDescent="0.25">
      <c r="A34" s="5"/>
      <c r="B34" s="5"/>
      <c r="C34" s="34"/>
      <c r="D34" s="5"/>
      <c r="E34" s="5"/>
      <c r="F34" s="5"/>
      <c r="G34" s="5"/>
      <c r="H34" s="5"/>
      <c r="I34" s="5"/>
      <c r="J34" s="5"/>
      <c r="K34" s="5"/>
      <c r="L34" s="5"/>
      <c r="M34" s="5"/>
      <c r="N34" s="5"/>
      <c r="O34" s="5"/>
      <c r="P34" s="5"/>
      <c r="Q34" s="5"/>
      <c r="R34" s="5"/>
      <c r="S34" s="5"/>
      <c r="T34" s="5"/>
      <c r="U34" s="5"/>
      <c r="V34" s="5"/>
      <c r="W34" s="5"/>
      <c r="X34" s="5"/>
      <c r="Y34" s="5"/>
    </row>
    <row r="35" spans="1:25" ht="33" customHeight="1" x14ac:dyDescent="0.25">
      <c r="A35" s="5"/>
      <c r="B35" s="5"/>
      <c r="C35" s="5"/>
      <c r="D35" s="5"/>
      <c r="E35" s="5"/>
      <c r="F35" s="5"/>
      <c r="G35" s="5"/>
      <c r="H35" s="5"/>
      <c r="I35" s="5"/>
      <c r="J35" s="5"/>
      <c r="K35" s="5"/>
      <c r="L35" s="5"/>
      <c r="M35" s="5"/>
      <c r="N35" s="5"/>
      <c r="O35" s="5"/>
      <c r="P35" s="5"/>
      <c r="Q35" s="5"/>
      <c r="R35" s="5"/>
      <c r="S35" s="5"/>
      <c r="T35" s="5"/>
      <c r="U35" s="5"/>
      <c r="V35" s="5"/>
      <c r="W35" s="5"/>
      <c r="X35" s="5"/>
      <c r="Y35" s="5"/>
    </row>
    <row r="36" spans="1:25" ht="12.75" customHeight="1" x14ac:dyDescent="0.25">
      <c r="A36" s="5"/>
      <c r="B36" s="5"/>
      <c r="C36" s="5"/>
      <c r="D36" s="5"/>
      <c r="E36" s="5"/>
      <c r="F36" s="5"/>
      <c r="G36" s="5"/>
      <c r="H36" s="5"/>
      <c r="I36" s="5"/>
      <c r="J36" s="5"/>
      <c r="K36" s="5"/>
      <c r="L36" s="5"/>
      <c r="M36" s="5"/>
      <c r="N36" s="5"/>
      <c r="O36" s="5"/>
      <c r="P36" s="5"/>
      <c r="Q36" s="5"/>
      <c r="R36" s="5"/>
      <c r="S36" s="5"/>
      <c r="T36" s="5"/>
      <c r="U36" s="5"/>
      <c r="V36" s="5"/>
      <c r="W36" s="5"/>
      <c r="X36" s="5"/>
      <c r="Y36" s="5"/>
    </row>
    <row r="37" spans="1:25" ht="12.75" customHeight="1" x14ac:dyDescent="0.25">
      <c r="A37" s="5"/>
      <c r="B37" s="5"/>
      <c r="C37" s="5"/>
      <c r="D37" s="5"/>
      <c r="E37" s="5"/>
      <c r="F37" s="5"/>
      <c r="G37" s="5"/>
      <c r="H37" s="5"/>
      <c r="I37" s="5"/>
      <c r="J37" s="5"/>
      <c r="K37" s="5"/>
      <c r="L37" s="5"/>
      <c r="M37" s="5"/>
      <c r="N37" s="5"/>
      <c r="O37" s="5"/>
      <c r="P37" s="5"/>
      <c r="Q37" s="5"/>
      <c r="R37" s="5"/>
      <c r="S37" s="5"/>
      <c r="T37" s="5"/>
      <c r="U37" s="5"/>
      <c r="V37" s="5"/>
      <c r="W37" s="5"/>
      <c r="X37" s="5"/>
      <c r="Y37" s="5"/>
    </row>
    <row r="38" spans="1:25" ht="12.75" customHeight="1" x14ac:dyDescent="0.25">
      <c r="A38" s="5"/>
      <c r="B38" s="5"/>
      <c r="C38" s="5"/>
      <c r="D38" s="5"/>
      <c r="E38" s="5"/>
      <c r="F38" s="5"/>
      <c r="G38" s="5"/>
      <c r="H38" s="5"/>
      <c r="I38" s="5"/>
      <c r="J38" s="5"/>
      <c r="K38" s="5"/>
      <c r="L38" s="5"/>
      <c r="M38" s="5"/>
      <c r="N38" s="5"/>
      <c r="O38" s="5"/>
      <c r="P38" s="5"/>
      <c r="Q38" s="5"/>
      <c r="R38" s="5"/>
      <c r="S38" s="5"/>
      <c r="T38" s="5"/>
      <c r="U38" s="5"/>
      <c r="V38" s="5"/>
      <c r="W38" s="5"/>
      <c r="X38" s="5"/>
      <c r="Y38" s="5"/>
    </row>
    <row r="39" spans="1:25" ht="12.75" customHeight="1" x14ac:dyDescent="0.25">
      <c r="A39" s="5"/>
      <c r="B39" s="5"/>
      <c r="C39" s="5"/>
      <c r="D39" s="5"/>
      <c r="E39" s="5"/>
      <c r="F39" s="5"/>
      <c r="G39" s="5"/>
      <c r="H39" s="5"/>
      <c r="I39" s="5"/>
      <c r="J39" s="5"/>
      <c r="K39" s="5"/>
      <c r="L39" s="5"/>
      <c r="M39" s="5"/>
      <c r="N39" s="5"/>
      <c r="O39" s="5"/>
      <c r="P39" s="5"/>
      <c r="Q39" s="5"/>
      <c r="R39" s="5"/>
      <c r="S39" s="5"/>
      <c r="T39" s="5"/>
      <c r="U39" s="5"/>
      <c r="V39" s="5"/>
      <c r="W39" s="5"/>
      <c r="X39" s="5"/>
      <c r="Y39" s="5"/>
    </row>
    <row r="40" spans="1:25" ht="12.75" customHeight="1" x14ac:dyDescent="0.25">
      <c r="A40" s="34"/>
      <c r="B40" s="5"/>
      <c r="C40" s="5"/>
      <c r="D40" s="5"/>
      <c r="E40" s="5"/>
      <c r="F40" s="5"/>
      <c r="G40" s="5"/>
      <c r="H40" s="5"/>
      <c r="I40" s="5"/>
      <c r="J40" s="5"/>
      <c r="K40" s="5"/>
      <c r="L40" s="5"/>
      <c r="M40" s="5"/>
      <c r="N40" s="5"/>
      <c r="O40" s="5"/>
      <c r="P40" s="5"/>
      <c r="Q40" s="5"/>
      <c r="R40" s="5"/>
      <c r="S40" s="5"/>
      <c r="T40" s="5"/>
      <c r="U40" s="5"/>
      <c r="V40" s="5"/>
      <c r="W40" s="5"/>
      <c r="X40" s="5"/>
      <c r="Y40" s="5"/>
    </row>
    <row r="41" spans="1:25" ht="12.75" customHeight="1" x14ac:dyDescent="0.25">
      <c r="A41" s="5"/>
      <c r="B41" s="5"/>
      <c r="C41" s="5"/>
      <c r="D41" s="5"/>
      <c r="E41" s="5"/>
      <c r="F41" s="5"/>
      <c r="G41" s="5"/>
      <c r="H41" s="5"/>
      <c r="I41" s="5"/>
      <c r="J41" s="5"/>
      <c r="K41" s="5"/>
      <c r="L41" s="5"/>
      <c r="M41" s="5"/>
      <c r="N41" s="5"/>
      <c r="O41" s="5"/>
      <c r="P41" s="5"/>
      <c r="Q41" s="5"/>
      <c r="R41" s="5"/>
      <c r="S41" s="5"/>
      <c r="T41" s="5"/>
      <c r="U41" s="5"/>
      <c r="V41" s="5"/>
      <c r="W41" s="5"/>
      <c r="X41" s="5"/>
      <c r="Y41" s="5"/>
    </row>
    <row r="42" spans="1:25" ht="12.75" customHeight="1" x14ac:dyDescent="0.25">
      <c r="A42" s="5"/>
      <c r="B42" s="5"/>
      <c r="C42" s="5"/>
      <c r="D42" s="5"/>
      <c r="E42" s="5"/>
      <c r="F42" s="5"/>
      <c r="G42" s="5"/>
      <c r="H42" s="5"/>
      <c r="I42" s="5"/>
      <c r="J42" s="5"/>
      <c r="K42" s="5"/>
      <c r="L42" s="5"/>
      <c r="M42" s="5"/>
      <c r="N42" s="5"/>
      <c r="O42" s="5"/>
      <c r="P42" s="5"/>
      <c r="Q42" s="5"/>
      <c r="R42" s="5"/>
      <c r="S42" s="5"/>
      <c r="T42" s="5"/>
      <c r="U42" s="5"/>
      <c r="V42" s="5"/>
      <c r="W42" s="5"/>
      <c r="X42" s="5"/>
      <c r="Y42" s="5"/>
    </row>
    <row r="43" spans="1:25" ht="12.75" customHeight="1" x14ac:dyDescent="0.25">
      <c r="A43" s="5"/>
      <c r="B43" s="5"/>
      <c r="C43" s="5"/>
      <c r="D43" s="5"/>
      <c r="E43" s="5"/>
      <c r="F43" s="5"/>
      <c r="G43" s="5"/>
      <c r="H43" s="5"/>
      <c r="I43" s="5"/>
      <c r="J43" s="5"/>
      <c r="K43" s="5"/>
      <c r="L43" s="5"/>
      <c r="M43" s="5"/>
      <c r="N43" s="5"/>
      <c r="O43" s="5"/>
      <c r="P43" s="5"/>
      <c r="Q43" s="5"/>
      <c r="R43" s="5"/>
      <c r="S43" s="5"/>
      <c r="T43" s="5"/>
      <c r="U43" s="5"/>
      <c r="V43" s="5"/>
      <c r="W43" s="5"/>
      <c r="X43" s="5"/>
      <c r="Y43" s="5"/>
    </row>
    <row r="44" spans="1:25" ht="12.75" customHeight="1" x14ac:dyDescent="0.25">
      <c r="A44" s="5"/>
      <c r="B44" s="5"/>
      <c r="C44" s="5"/>
      <c r="D44" s="5"/>
      <c r="E44" s="5"/>
      <c r="F44" s="5"/>
      <c r="G44" s="5"/>
      <c r="H44" s="5"/>
      <c r="I44" s="5"/>
      <c r="J44" s="5"/>
      <c r="K44" s="5"/>
      <c r="L44" s="5"/>
      <c r="M44" s="5"/>
      <c r="N44" s="5"/>
      <c r="O44" s="5"/>
      <c r="P44" s="5"/>
      <c r="Q44" s="5"/>
      <c r="R44" s="5"/>
      <c r="S44" s="5"/>
      <c r="T44" s="5"/>
      <c r="U44" s="5"/>
      <c r="V44" s="5"/>
      <c r="W44" s="5"/>
      <c r="X44" s="5"/>
      <c r="Y44" s="5"/>
    </row>
    <row r="45" spans="1:25" ht="12.75" customHeight="1" x14ac:dyDescent="0.25">
      <c r="A45" s="5"/>
      <c r="B45" s="5"/>
      <c r="C45" s="5"/>
      <c r="D45" s="5"/>
      <c r="E45" s="5"/>
      <c r="F45" s="5"/>
      <c r="G45" s="5"/>
      <c r="H45" s="5"/>
      <c r="I45" s="5"/>
      <c r="J45" s="5"/>
      <c r="K45" s="5"/>
      <c r="L45" s="5"/>
      <c r="M45" s="5"/>
      <c r="N45" s="5"/>
      <c r="O45" s="5"/>
      <c r="P45" s="5"/>
      <c r="Q45" s="5"/>
      <c r="R45" s="5"/>
      <c r="S45" s="5"/>
      <c r="T45" s="5"/>
      <c r="U45" s="5"/>
      <c r="V45" s="5"/>
      <c r="W45" s="5"/>
      <c r="X45" s="5"/>
      <c r="Y45" s="5"/>
    </row>
    <row r="46" spans="1:25" ht="12.75" customHeight="1" x14ac:dyDescent="0.25">
      <c r="A46" s="5"/>
      <c r="B46" s="5"/>
      <c r="C46" s="5"/>
      <c r="D46" s="5"/>
      <c r="E46" s="5"/>
      <c r="F46" s="5"/>
      <c r="G46" s="5"/>
      <c r="H46" s="5"/>
      <c r="I46" s="5"/>
      <c r="J46" s="5"/>
      <c r="K46" s="5"/>
      <c r="L46" s="5"/>
      <c r="M46" s="5"/>
      <c r="N46" s="5"/>
      <c r="O46" s="5"/>
      <c r="P46" s="5"/>
      <c r="Q46" s="5"/>
      <c r="R46" s="5"/>
      <c r="S46" s="5"/>
      <c r="T46" s="5"/>
      <c r="U46" s="5"/>
      <c r="V46" s="5"/>
      <c r="W46" s="5"/>
      <c r="X46" s="5"/>
      <c r="Y46" s="5"/>
    </row>
    <row r="47" spans="1:25" ht="12.75" customHeight="1" x14ac:dyDescent="0.25">
      <c r="A47" s="5"/>
      <c r="B47" s="5"/>
      <c r="C47" s="5"/>
      <c r="D47" s="5"/>
      <c r="E47" s="5"/>
      <c r="F47" s="5"/>
      <c r="G47" s="5"/>
      <c r="H47" s="5"/>
      <c r="I47" s="5"/>
      <c r="J47" s="5"/>
      <c r="K47" s="5"/>
      <c r="L47" s="5"/>
      <c r="M47" s="5"/>
      <c r="N47" s="5"/>
      <c r="O47" s="5"/>
      <c r="P47" s="5"/>
      <c r="Q47" s="5"/>
      <c r="R47" s="5"/>
      <c r="S47" s="5"/>
      <c r="T47" s="5"/>
      <c r="U47" s="5"/>
      <c r="V47" s="5"/>
      <c r="W47" s="5"/>
      <c r="X47" s="5"/>
      <c r="Y47" s="5"/>
    </row>
    <row r="48" spans="1:25" ht="12.75" customHeight="1" x14ac:dyDescent="0.25">
      <c r="A48" s="5"/>
      <c r="B48" s="5"/>
      <c r="C48" s="5"/>
      <c r="D48" s="5"/>
      <c r="E48" s="5"/>
      <c r="F48" s="5"/>
      <c r="G48" s="5"/>
      <c r="H48" s="5"/>
      <c r="I48" s="5"/>
      <c r="J48" s="5"/>
      <c r="K48" s="5"/>
      <c r="L48" s="5"/>
      <c r="M48" s="5"/>
      <c r="N48" s="5"/>
      <c r="O48" s="5"/>
      <c r="P48" s="5"/>
      <c r="Q48" s="5"/>
      <c r="R48" s="5"/>
      <c r="S48" s="5"/>
      <c r="T48" s="5"/>
      <c r="U48" s="5"/>
      <c r="V48" s="5"/>
      <c r="W48" s="5"/>
      <c r="X48" s="5"/>
      <c r="Y48" s="5"/>
    </row>
    <row r="49" spans="1:25" ht="12.75" customHeight="1" x14ac:dyDescent="0.25">
      <c r="A49" s="5"/>
      <c r="B49" s="5"/>
      <c r="C49" s="5"/>
      <c r="D49" s="5"/>
      <c r="E49" s="5"/>
      <c r="F49" s="5"/>
      <c r="G49" s="5"/>
      <c r="H49" s="5"/>
      <c r="I49" s="5"/>
      <c r="J49" s="5"/>
      <c r="K49" s="5"/>
      <c r="L49" s="5"/>
      <c r="M49" s="5"/>
      <c r="N49" s="5"/>
      <c r="O49" s="5"/>
      <c r="P49" s="5"/>
      <c r="Q49" s="5"/>
      <c r="R49" s="5"/>
      <c r="S49" s="5"/>
      <c r="T49" s="5"/>
      <c r="U49" s="5"/>
      <c r="V49" s="5"/>
      <c r="W49" s="5"/>
      <c r="X49" s="5"/>
      <c r="Y49" s="5"/>
    </row>
    <row r="50" spans="1:25" ht="12.75" customHeight="1" x14ac:dyDescent="0.25">
      <c r="A50" s="5"/>
      <c r="B50" s="5"/>
      <c r="C50" s="5"/>
      <c r="D50" s="5"/>
      <c r="E50" s="5"/>
      <c r="F50" s="5"/>
      <c r="G50" s="5"/>
      <c r="H50" s="5"/>
      <c r="I50" s="5"/>
      <c r="J50" s="5"/>
      <c r="K50" s="5"/>
      <c r="L50" s="5"/>
      <c r="M50" s="5"/>
      <c r="N50" s="5"/>
      <c r="O50" s="5"/>
      <c r="P50" s="5"/>
      <c r="Q50" s="5"/>
      <c r="R50" s="5"/>
      <c r="S50" s="5"/>
      <c r="T50" s="5"/>
      <c r="U50" s="5"/>
      <c r="V50" s="5"/>
      <c r="W50" s="5"/>
      <c r="X50" s="5"/>
      <c r="Y50" s="5"/>
    </row>
    <row r="51" spans="1:25" ht="12.75" customHeight="1" x14ac:dyDescent="0.25">
      <c r="A51" s="5"/>
      <c r="B51" s="5"/>
      <c r="C51" s="5"/>
      <c r="D51" s="5"/>
      <c r="E51" s="5"/>
      <c r="F51" s="5"/>
      <c r="G51" s="5"/>
      <c r="H51" s="5"/>
      <c r="I51" s="5"/>
      <c r="J51" s="5"/>
      <c r="K51" s="5"/>
      <c r="L51" s="5"/>
      <c r="M51" s="5"/>
      <c r="N51" s="5"/>
      <c r="O51" s="5"/>
      <c r="P51" s="5"/>
      <c r="Q51" s="5"/>
      <c r="R51" s="5"/>
      <c r="S51" s="5"/>
      <c r="T51" s="5"/>
      <c r="U51" s="5"/>
      <c r="V51" s="5"/>
      <c r="W51" s="5"/>
      <c r="X51" s="5"/>
      <c r="Y51" s="5"/>
    </row>
    <row r="52" spans="1:25" ht="12.75" customHeight="1" x14ac:dyDescent="0.25">
      <c r="A52" s="5"/>
      <c r="B52" s="5"/>
      <c r="C52" s="5"/>
      <c r="D52" s="5"/>
      <c r="E52" s="5"/>
      <c r="F52" s="5"/>
      <c r="G52" s="5"/>
      <c r="H52" s="5"/>
      <c r="I52" s="5"/>
      <c r="J52" s="5"/>
      <c r="K52" s="5"/>
      <c r="L52" s="5"/>
      <c r="M52" s="5"/>
      <c r="N52" s="5"/>
      <c r="O52" s="5"/>
      <c r="P52" s="5"/>
      <c r="Q52" s="5"/>
      <c r="R52" s="5"/>
      <c r="S52" s="5"/>
      <c r="T52" s="5"/>
      <c r="U52" s="5"/>
      <c r="V52" s="5"/>
      <c r="W52" s="5"/>
      <c r="X52" s="5"/>
      <c r="Y52" s="5"/>
    </row>
    <row r="53" spans="1:25" ht="12.75" customHeight="1" x14ac:dyDescent="0.25">
      <c r="A53" s="5"/>
      <c r="B53" s="5"/>
      <c r="C53" s="5"/>
      <c r="D53" s="5"/>
      <c r="E53" s="5"/>
      <c r="F53" s="5"/>
      <c r="G53" s="5"/>
      <c r="H53" s="5"/>
      <c r="I53" s="5"/>
      <c r="J53" s="5"/>
      <c r="K53" s="5"/>
      <c r="L53" s="5"/>
      <c r="M53" s="5"/>
      <c r="N53" s="5"/>
      <c r="O53" s="5"/>
      <c r="P53" s="5"/>
      <c r="Q53" s="5"/>
      <c r="R53" s="5"/>
      <c r="S53" s="5"/>
      <c r="T53" s="5"/>
      <c r="U53" s="5"/>
      <c r="V53" s="5"/>
      <c r="W53" s="5"/>
      <c r="X53" s="5"/>
      <c r="Y53" s="5"/>
    </row>
    <row r="54" spans="1:25" ht="12.75" customHeight="1" x14ac:dyDescent="0.25">
      <c r="A54" s="5"/>
      <c r="B54" s="5"/>
      <c r="C54" s="5"/>
      <c r="D54" s="5"/>
      <c r="E54" s="5"/>
      <c r="F54" s="5"/>
      <c r="G54" s="5"/>
      <c r="H54" s="5"/>
      <c r="I54" s="5"/>
      <c r="J54" s="5"/>
      <c r="K54" s="5"/>
      <c r="L54" s="5"/>
      <c r="M54" s="5"/>
      <c r="N54" s="5"/>
      <c r="O54" s="5"/>
      <c r="P54" s="5"/>
      <c r="Q54" s="5"/>
      <c r="R54" s="5"/>
      <c r="S54" s="5"/>
      <c r="T54" s="5"/>
      <c r="U54" s="5"/>
      <c r="V54" s="5"/>
      <c r="W54" s="5"/>
      <c r="X54" s="5"/>
      <c r="Y54" s="5"/>
    </row>
    <row r="55" spans="1:25" ht="12.75" customHeight="1" x14ac:dyDescent="0.25">
      <c r="A55" s="5"/>
      <c r="B55" s="5"/>
      <c r="C55" s="5"/>
      <c r="D55" s="5"/>
      <c r="E55" s="5"/>
      <c r="F55" s="5"/>
      <c r="G55" s="5"/>
      <c r="H55" s="5"/>
      <c r="I55" s="5"/>
      <c r="J55" s="5"/>
      <c r="K55" s="5"/>
      <c r="L55" s="5"/>
      <c r="M55" s="5"/>
      <c r="N55" s="5"/>
      <c r="O55" s="5"/>
      <c r="P55" s="5"/>
      <c r="Q55" s="5"/>
      <c r="R55" s="5"/>
      <c r="S55" s="5"/>
      <c r="T55" s="5"/>
      <c r="U55" s="5"/>
      <c r="V55" s="5"/>
      <c r="W55" s="5"/>
      <c r="X55" s="5"/>
      <c r="Y55" s="5"/>
    </row>
    <row r="56" spans="1:25" ht="12.75" customHeight="1" x14ac:dyDescent="0.25">
      <c r="A56" s="5"/>
      <c r="B56" s="5"/>
      <c r="C56" s="5"/>
      <c r="D56" s="5"/>
      <c r="E56" s="5"/>
      <c r="F56" s="5"/>
      <c r="G56" s="5"/>
      <c r="H56" s="5"/>
      <c r="I56" s="5"/>
      <c r="J56" s="5"/>
      <c r="K56" s="5"/>
      <c r="L56" s="5"/>
      <c r="M56" s="5"/>
      <c r="N56" s="5"/>
      <c r="O56" s="5"/>
      <c r="P56" s="5"/>
      <c r="Q56" s="5"/>
      <c r="R56" s="5"/>
      <c r="S56" s="5"/>
      <c r="T56" s="5"/>
      <c r="U56" s="5"/>
      <c r="V56" s="5"/>
      <c r="W56" s="5"/>
      <c r="X56" s="5"/>
      <c r="Y56" s="5"/>
    </row>
    <row r="57" spans="1:25" ht="12.75" customHeight="1" x14ac:dyDescent="0.25">
      <c r="A57" s="5"/>
      <c r="B57" s="5"/>
      <c r="C57" s="5"/>
      <c r="D57" s="5"/>
      <c r="E57" s="5"/>
      <c r="F57" s="5"/>
      <c r="G57" s="5"/>
      <c r="H57" s="5"/>
      <c r="I57" s="5"/>
      <c r="J57" s="5"/>
      <c r="K57" s="5"/>
      <c r="L57" s="5"/>
      <c r="M57" s="5"/>
      <c r="N57" s="5"/>
      <c r="O57" s="5"/>
      <c r="P57" s="5"/>
      <c r="Q57" s="5"/>
      <c r="R57" s="5"/>
      <c r="S57" s="5"/>
      <c r="T57" s="5"/>
      <c r="U57" s="5"/>
      <c r="V57" s="5"/>
      <c r="W57" s="5"/>
      <c r="X57" s="5"/>
      <c r="Y57" s="5"/>
    </row>
    <row r="58" spans="1:25" ht="12.75" customHeight="1" x14ac:dyDescent="0.25">
      <c r="A58" s="5"/>
      <c r="B58" s="5"/>
      <c r="C58" s="5"/>
      <c r="D58" s="5"/>
      <c r="E58" s="5"/>
      <c r="F58" s="5"/>
      <c r="G58" s="5"/>
      <c r="H58" s="5"/>
      <c r="I58" s="5"/>
      <c r="J58" s="5"/>
      <c r="K58" s="5"/>
      <c r="L58" s="5"/>
      <c r="M58" s="5"/>
      <c r="N58" s="5"/>
      <c r="O58" s="5"/>
      <c r="P58" s="5"/>
      <c r="Q58" s="5"/>
      <c r="R58" s="5"/>
      <c r="S58" s="5"/>
      <c r="T58" s="5"/>
      <c r="U58" s="5"/>
      <c r="V58" s="5"/>
      <c r="W58" s="5"/>
      <c r="X58" s="5"/>
      <c r="Y58" s="5"/>
    </row>
    <row r="59" spans="1:25" ht="12.75" customHeight="1" x14ac:dyDescent="0.25">
      <c r="A59" s="5"/>
      <c r="B59" s="5"/>
      <c r="C59" s="5"/>
      <c r="D59" s="5"/>
      <c r="E59" s="5"/>
      <c r="F59" s="5"/>
      <c r="G59" s="5"/>
      <c r="H59" s="5"/>
      <c r="I59" s="5"/>
      <c r="J59" s="5"/>
      <c r="K59" s="5"/>
      <c r="L59" s="5"/>
      <c r="M59" s="5"/>
      <c r="N59" s="5"/>
      <c r="O59" s="5"/>
      <c r="P59" s="5"/>
      <c r="Q59" s="5"/>
      <c r="R59" s="5"/>
      <c r="S59" s="5"/>
      <c r="T59" s="5"/>
      <c r="U59" s="5"/>
      <c r="V59" s="5"/>
      <c r="W59" s="5"/>
      <c r="X59" s="5"/>
      <c r="Y59" s="5"/>
    </row>
    <row r="60" spans="1:25" ht="12.75" customHeight="1" x14ac:dyDescent="0.25">
      <c r="A60" s="5"/>
      <c r="B60" s="5"/>
      <c r="C60" s="5"/>
      <c r="D60" s="5"/>
      <c r="E60" s="5"/>
      <c r="F60" s="5"/>
      <c r="G60" s="5"/>
      <c r="H60" s="5"/>
      <c r="I60" s="5"/>
      <c r="J60" s="5"/>
      <c r="K60" s="5"/>
      <c r="L60" s="5"/>
      <c r="M60" s="5"/>
      <c r="N60" s="5"/>
      <c r="O60" s="5"/>
      <c r="P60" s="5"/>
      <c r="Q60" s="5"/>
      <c r="R60" s="5"/>
      <c r="S60" s="5"/>
      <c r="T60" s="5"/>
      <c r="U60" s="5"/>
      <c r="V60" s="5"/>
      <c r="W60" s="5"/>
      <c r="X60" s="5"/>
      <c r="Y60" s="5"/>
    </row>
    <row r="61" spans="1:25" ht="12.75" customHeight="1" x14ac:dyDescent="0.25">
      <c r="A61" s="5"/>
      <c r="B61" s="5"/>
      <c r="C61" s="5"/>
      <c r="D61" s="5"/>
      <c r="E61" s="5"/>
      <c r="F61" s="5"/>
      <c r="G61" s="5"/>
      <c r="H61" s="5"/>
      <c r="I61" s="5"/>
      <c r="J61" s="5"/>
      <c r="K61" s="5"/>
      <c r="L61" s="5"/>
      <c r="M61" s="5"/>
      <c r="N61" s="5"/>
      <c r="O61" s="5"/>
      <c r="P61" s="5"/>
      <c r="Q61" s="5"/>
      <c r="R61" s="5"/>
      <c r="S61" s="5"/>
      <c r="T61" s="5"/>
      <c r="U61" s="5"/>
      <c r="V61" s="5"/>
      <c r="W61" s="5"/>
      <c r="X61" s="5"/>
      <c r="Y61" s="5"/>
    </row>
    <row r="62" spans="1:25" ht="12.75" customHeight="1" x14ac:dyDescent="0.25">
      <c r="A62" s="5"/>
      <c r="B62" s="5"/>
      <c r="C62" s="5"/>
      <c r="D62" s="5"/>
      <c r="E62" s="5"/>
      <c r="F62" s="5"/>
      <c r="G62" s="5"/>
      <c r="H62" s="5"/>
      <c r="I62" s="5"/>
      <c r="J62" s="5"/>
      <c r="K62" s="5"/>
      <c r="L62" s="5"/>
      <c r="M62" s="5"/>
      <c r="N62" s="5"/>
      <c r="O62" s="5"/>
      <c r="P62" s="5"/>
      <c r="Q62" s="5"/>
      <c r="R62" s="5"/>
      <c r="S62" s="5"/>
      <c r="T62" s="5"/>
      <c r="U62" s="5"/>
      <c r="V62" s="5"/>
      <c r="W62" s="5"/>
      <c r="X62" s="5"/>
      <c r="Y62" s="5"/>
    </row>
    <row r="63" spans="1:25" ht="12.75" customHeight="1" x14ac:dyDescent="0.25">
      <c r="A63" s="5"/>
      <c r="B63" s="5"/>
      <c r="C63" s="5"/>
      <c r="D63" s="5"/>
      <c r="E63" s="5"/>
      <c r="F63" s="5"/>
      <c r="G63" s="5"/>
      <c r="H63" s="5"/>
      <c r="I63" s="5"/>
      <c r="J63" s="5"/>
      <c r="K63" s="5"/>
      <c r="L63" s="5"/>
      <c r="M63" s="5"/>
      <c r="N63" s="5"/>
      <c r="O63" s="5"/>
      <c r="P63" s="5"/>
      <c r="Q63" s="5"/>
      <c r="R63" s="5"/>
      <c r="S63" s="5"/>
      <c r="T63" s="5"/>
      <c r="U63" s="5"/>
      <c r="V63" s="5"/>
      <c r="W63" s="5"/>
      <c r="X63" s="5"/>
      <c r="Y63" s="5"/>
    </row>
    <row r="64" spans="1:25" ht="12.75" customHeight="1" x14ac:dyDescent="0.25">
      <c r="A64" s="5"/>
      <c r="B64" s="5"/>
      <c r="C64" s="5"/>
      <c r="D64" s="5"/>
      <c r="E64" s="5"/>
      <c r="F64" s="5"/>
      <c r="G64" s="5"/>
      <c r="H64" s="5"/>
      <c r="I64" s="5"/>
      <c r="J64" s="5"/>
      <c r="K64" s="5"/>
      <c r="L64" s="5"/>
      <c r="M64" s="5"/>
      <c r="N64" s="5"/>
      <c r="O64" s="5"/>
      <c r="P64" s="5"/>
      <c r="Q64" s="5"/>
      <c r="R64" s="5"/>
      <c r="S64" s="5"/>
      <c r="T64" s="5"/>
      <c r="U64" s="5"/>
      <c r="V64" s="5"/>
      <c r="W64" s="5"/>
      <c r="X64" s="5"/>
      <c r="Y64" s="5"/>
    </row>
    <row r="65" spans="1:25" ht="12.75" customHeight="1" x14ac:dyDescent="0.25">
      <c r="A65" s="5"/>
      <c r="B65" s="5"/>
      <c r="C65" s="5"/>
      <c r="D65" s="5"/>
      <c r="E65" s="5"/>
      <c r="F65" s="5"/>
      <c r="G65" s="5"/>
      <c r="H65" s="5"/>
      <c r="I65" s="5"/>
      <c r="J65" s="5"/>
      <c r="K65" s="5"/>
      <c r="L65" s="5"/>
      <c r="M65" s="5"/>
      <c r="N65" s="5"/>
      <c r="O65" s="5"/>
      <c r="P65" s="5"/>
      <c r="Q65" s="5"/>
      <c r="R65" s="5"/>
      <c r="S65" s="5"/>
      <c r="T65" s="5"/>
      <c r="U65" s="5"/>
      <c r="V65" s="5"/>
      <c r="W65" s="5"/>
      <c r="X65" s="5"/>
      <c r="Y65" s="5"/>
    </row>
    <row r="66" spans="1:25" ht="12.75" customHeight="1" x14ac:dyDescent="0.25">
      <c r="A66" s="5"/>
      <c r="B66" s="5"/>
      <c r="C66" s="5"/>
      <c r="D66" s="5"/>
      <c r="E66" s="5"/>
      <c r="F66" s="5"/>
      <c r="G66" s="5"/>
      <c r="H66" s="5"/>
      <c r="I66" s="5"/>
      <c r="J66" s="5"/>
      <c r="K66" s="5"/>
      <c r="L66" s="5"/>
      <c r="M66" s="5"/>
      <c r="N66" s="5"/>
      <c r="O66" s="5"/>
      <c r="P66" s="5"/>
      <c r="Q66" s="5"/>
      <c r="R66" s="5"/>
      <c r="S66" s="5"/>
      <c r="T66" s="5"/>
      <c r="U66" s="5"/>
      <c r="V66" s="5"/>
      <c r="W66" s="5"/>
      <c r="X66" s="5"/>
      <c r="Y66" s="5"/>
    </row>
    <row r="67" spans="1:25" ht="12.75" customHeight="1" x14ac:dyDescent="0.25">
      <c r="A67" s="5"/>
      <c r="B67" s="5"/>
      <c r="C67" s="5"/>
      <c r="D67" s="5"/>
      <c r="E67" s="5"/>
      <c r="F67" s="5"/>
      <c r="G67" s="5"/>
      <c r="H67" s="5"/>
      <c r="I67" s="5"/>
      <c r="J67" s="5"/>
      <c r="K67" s="5"/>
      <c r="L67" s="5"/>
      <c r="M67" s="5"/>
      <c r="N67" s="5"/>
      <c r="O67" s="5"/>
      <c r="P67" s="5"/>
      <c r="Q67" s="5"/>
      <c r="R67" s="5"/>
      <c r="S67" s="5"/>
      <c r="T67" s="5"/>
      <c r="U67" s="5"/>
      <c r="V67" s="5"/>
      <c r="W67" s="5"/>
      <c r="X67" s="5"/>
      <c r="Y67" s="5"/>
    </row>
    <row r="68" spans="1:25" ht="12.75" customHeight="1" x14ac:dyDescent="0.25">
      <c r="A68" s="5"/>
      <c r="B68" s="5"/>
      <c r="C68" s="5"/>
      <c r="D68" s="5"/>
      <c r="E68" s="5"/>
      <c r="F68" s="5"/>
      <c r="G68" s="5"/>
      <c r="H68" s="5"/>
      <c r="I68" s="5"/>
      <c r="J68" s="5"/>
      <c r="K68" s="5"/>
      <c r="L68" s="5"/>
      <c r="M68" s="5"/>
      <c r="N68" s="5"/>
      <c r="O68" s="5"/>
      <c r="P68" s="5"/>
      <c r="Q68" s="5"/>
      <c r="R68" s="5"/>
      <c r="S68" s="5"/>
      <c r="T68" s="5"/>
      <c r="U68" s="5"/>
      <c r="V68" s="5"/>
      <c r="W68" s="5"/>
      <c r="X68" s="5"/>
      <c r="Y68" s="5"/>
    </row>
    <row r="69" spans="1:25" ht="12.75" customHeight="1" x14ac:dyDescent="0.25">
      <c r="A69" s="5"/>
      <c r="B69" s="5"/>
      <c r="C69" s="5"/>
      <c r="D69" s="5"/>
      <c r="E69" s="5"/>
      <c r="F69" s="5"/>
      <c r="G69" s="5"/>
      <c r="H69" s="5"/>
      <c r="I69" s="5"/>
      <c r="J69" s="5"/>
      <c r="K69" s="5"/>
      <c r="L69" s="5"/>
      <c r="M69" s="5"/>
      <c r="N69" s="5"/>
      <c r="O69" s="5"/>
      <c r="P69" s="5"/>
      <c r="Q69" s="5"/>
      <c r="R69" s="5"/>
      <c r="S69" s="5"/>
      <c r="T69" s="5"/>
      <c r="U69" s="5"/>
      <c r="V69" s="5"/>
      <c r="W69" s="5"/>
      <c r="X69" s="5"/>
      <c r="Y69" s="5"/>
    </row>
    <row r="70" spans="1:25" ht="12.75" customHeight="1" x14ac:dyDescent="0.25">
      <c r="A70" s="5"/>
      <c r="B70" s="5"/>
      <c r="C70" s="5"/>
      <c r="D70" s="5"/>
      <c r="E70" s="5"/>
      <c r="F70" s="5"/>
      <c r="G70" s="5"/>
      <c r="H70" s="5"/>
      <c r="I70" s="5"/>
      <c r="J70" s="5"/>
      <c r="K70" s="5"/>
      <c r="L70" s="5"/>
      <c r="M70" s="5"/>
      <c r="N70" s="5"/>
      <c r="O70" s="5"/>
      <c r="P70" s="5"/>
      <c r="Q70" s="5"/>
      <c r="R70" s="5"/>
      <c r="S70" s="5"/>
      <c r="T70" s="5"/>
      <c r="U70" s="5"/>
      <c r="V70" s="5"/>
      <c r="W70" s="5"/>
      <c r="X70" s="5"/>
      <c r="Y70" s="5"/>
    </row>
    <row r="71" spans="1:25" ht="12.75" customHeight="1" x14ac:dyDescent="0.25">
      <c r="A71" s="5"/>
      <c r="B71" s="5"/>
      <c r="C71" s="5"/>
      <c r="D71" s="5"/>
      <c r="E71" s="5"/>
      <c r="F71" s="5"/>
      <c r="G71" s="5"/>
      <c r="H71" s="5"/>
      <c r="I71" s="5"/>
      <c r="J71" s="5"/>
      <c r="K71" s="5"/>
      <c r="L71" s="5"/>
      <c r="M71" s="5"/>
      <c r="N71" s="5"/>
      <c r="O71" s="5"/>
      <c r="P71" s="5"/>
      <c r="Q71" s="5"/>
      <c r="R71" s="5"/>
      <c r="S71" s="5"/>
      <c r="T71" s="5"/>
      <c r="U71" s="5"/>
      <c r="V71" s="5"/>
      <c r="W71" s="5"/>
      <c r="X71" s="5"/>
      <c r="Y71" s="5"/>
    </row>
    <row r="72" spans="1:25" ht="12.75" customHeight="1" x14ac:dyDescent="0.25">
      <c r="A72" s="5"/>
      <c r="B72" s="5"/>
      <c r="C72" s="5"/>
      <c r="D72" s="5"/>
      <c r="E72" s="5"/>
      <c r="F72" s="5"/>
      <c r="G72" s="5"/>
      <c r="H72" s="5"/>
      <c r="I72" s="5"/>
      <c r="J72" s="5"/>
      <c r="K72" s="5"/>
      <c r="L72" s="5"/>
      <c r="M72" s="5"/>
      <c r="N72" s="5"/>
      <c r="O72" s="5"/>
      <c r="P72" s="5"/>
      <c r="Q72" s="5"/>
      <c r="R72" s="5"/>
      <c r="S72" s="5"/>
      <c r="T72" s="5"/>
      <c r="U72" s="5"/>
      <c r="V72" s="5"/>
      <c r="W72" s="5"/>
      <c r="X72" s="5"/>
      <c r="Y72" s="5"/>
    </row>
    <row r="73" spans="1:25" ht="12.75" customHeight="1" x14ac:dyDescent="0.25">
      <c r="A73" s="5"/>
      <c r="B73" s="5"/>
      <c r="C73" s="5"/>
      <c r="D73" s="5"/>
      <c r="E73" s="5"/>
      <c r="F73" s="5"/>
      <c r="G73" s="5"/>
      <c r="H73" s="5"/>
      <c r="I73" s="5"/>
      <c r="J73" s="5"/>
      <c r="K73" s="5"/>
      <c r="L73" s="5"/>
      <c r="M73" s="5"/>
      <c r="N73" s="5"/>
      <c r="O73" s="5"/>
      <c r="P73" s="5"/>
      <c r="Q73" s="5"/>
      <c r="R73" s="5"/>
      <c r="S73" s="5"/>
      <c r="T73" s="5"/>
      <c r="U73" s="5"/>
      <c r="V73" s="5"/>
      <c r="W73" s="5"/>
      <c r="X73" s="5"/>
      <c r="Y73" s="5"/>
    </row>
    <row r="74" spans="1:25" ht="12.75" customHeight="1" x14ac:dyDescent="0.25">
      <c r="A74" s="5"/>
      <c r="B74" s="5"/>
      <c r="C74" s="5"/>
      <c r="D74" s="5"/>
      <c r="E74" s="5"/>
      <c r="F74" s="5"/>
      <c r="G74" s="5"/>
      <c r="H74" s="5"/>
      <c r="I74" s="5"/>
      <c r="J74" s="5"/>
      <c r="K74" s="5"/>
      <c r="L74" s="5"/>
      <c r="M74" s="5"/>
      <c r="N74" s="5"/>
      <c r="O74" s="5"/>
      <c r="P74" s="5"/>
      <c r="Q74" s="5"/>
      <c r="R74" s="5"/>
      <c r="S74" s="5"/>
      <c r="T74" s="5"/>
      <c r="U74" s="5"/>
      <c r="V74" s="5"/>
      <c r="W74" s="5"/>
      <c r="X74" s="5"/>
      <c r="Y74" s="5"/>
    </row>
    <row r="75" spans="1:25" ht="12.75" customHeight="1" x14ac:dyDescent="0.25">
      <c r="A75" s="5"/>
      <c r="B75" s="5"/>
      <c r="C75" s="5"/>
      <c r="D75" s="5"/>
      <c r="E75" s="5"/>
      <c r="F75" s="5"/>
      <c r="G75" s="5"/>
      <c r="H75" s="5"/>
      <c r="I75" s="5"/>
      <c r="J75" s="5"/>
      <c r="K75" s="5"/>
      <c r="L75" s="5"/>
      <c r="M75" s="5"/>
      <c r="N75" s="5"/>
      <c r="O75" s="5"/>
      <c r="P75" s="5"/>
      <c r="Q75" s="5"/>
      <c r="R75" s="5"/>
      <c r="S75" s="5"/>
      <c r="T75" s="5"/>
      <c r="U75" s="5"/>
      <c r="V75" s="5"/>
      <c r="W75" s="5"/>
      <c r="X75" s="5"/>
      <c r="Y75" s="5"/>
    </row>
    <row r="76" spans="1:25" ht="12.75" customHeight="1" x14ac:dyDescent="0.25">
      <c r="A76" s="5"/>
      <c r="B76" s="5"/>
      <c r="C76" s="5"/>
      <c r="D76" s="5"/>
      <c r="E76" s="5"/>
      <c r="F76" s="5"/>
      <c r="G76" s="5"/>
      <c r="H76" s="5"/>
      <c r="I76" s="5"/>
      <c r="J76" s="5"/>
      <c r="K76" s="5"/>
      <c r="L76" s="5"/>
      <c r="M76" s="5"/>
      <c r="N76" s="5"/>
      <c r="O76" s="5"/>
      <c r="P76" s="5"/>
      <c r="Q76" s="5"/>
      <c r="R76" s="5"/>
      <c r="S76" s="5"/>
      <c r="T76" s="5"/>
      <c r="U76" s="5"/>
      <c r="V76" s="5"/>
      <c r="W76" s="5"/>
      <c r="X76" s="5"/>
      <c r="Y76" s="5"/>
    </row>
    <row r="77" spans="1:25" ht="12.75" customHeight="1" x14ac:dyDescent="0.25">
      <c r="A77" s="5"/>
      <c r="B77" s="5"/>
      <c r="C77" s="5"/>
      <c r="D77" s="5"/>
      <c r="E77" s="5"/>
      <c r="F77" s="5"/>
      <c r="G77" s="5"/>
      <c r="H77" s="5"/>
      <c r="I77" s="5"/>
      <c r="J77" s="5"/>
      <c r="K77" s="5"/>
      <c r="L77" s="5"/>
      <c r="M77" s="5"/>
      <c r="N77" s="5"/>
      <c r="O77" s="5"/>
      <c r="P77" s="5"/>
      <c r="Q77" s="5"/>
      <c r="R77" s="5"/>
      <c r="S77" s="5"/>
      <c r="T77" s="5"/>
      <c r="U77" s="5"/>
      <c r="V77" s="5"/>
      <c r="W77" s="5"/>
      <c r="X77" s="5"/>
      <c r="Y77" s="5"/>
    </row>
    <row r="78" spans="1:25" ht="12.75" customHeight="1" x14ac:dyDescent="0.25">
      <c r="A78" s="5"/>
      <c r="B78" s="5"/>
      <c r="C78" s="5"/>
      <c r="D78" s="5"/>
      <c r="E78" s="5"/>
      <c r="F78" s="5"/>
      <c r="G78" s="5"/>
      <c r="H78" s="5"/>
      <c r="I78" s="5"/>
      <c r="J78" s="5"/>
      <c r="K78" s="5"/>
      <c r="L78" s="5"/>
      <c r="M78" s="5"/>
      <c r="N78" s="5"/>
      <c r="O78" s="5"/>
      <c r="P78" s="5"/>
      <c r="Q78" s="5"/>
      <c r="R78" s="5"/>
      <c r="S78" s="5"/>
      <c r="T78" s="5"/>
      <c r="U78" s="5"/>
      <c r="V78" s="5"/>
      <c r="W78" s="5"/>
      <c r="X78" s="5"/>
      <c r="Y78" s="5"/>
    </row>
    <row r="79" spans="1:25" ht="12.75" customHeight="1" x14ac:dyDescent="0.25">
      <c r="A79" s="5"/>
      <c r="B79" s="5"/>
      <c r="C79" s="5"/>
      <c r="D79" s="5"/>
      <c r="E79" s="5"/>
      <c r="F79" s="5"/>
      <c r="G79" s="5"/>
      <c r="H79" s="5"/>
      <c r="I79" s="5"/>
      <c r="J79" s="5"/>
      <c r="K79" s="5"/>
      <c r="L79" s="5"/>
      <c r="M79" s="5"/>
      <c r="N79" s="5"/>
      <c r="O79" s="5"/>
      <c r="P79" s="5"/>
      <c r="Q79" s="5"/>
      <c r="R79" s="5"/>
      <c r="S79" s="5"/>
      <c r="T79" s="5"/>
      <c r="U79" s="5"/>
      <c r="V79" s="5"/>
      <c r="W79" s="5"/>
      <c r="X79" s="5"/>
      <c r="Y79" s="5"/>
    </row>
    <row r="80" spans="1:25" ht="12.75" customHeight="1" x14ac:dyDescent="0.25">
      <c r="A80" s="5"/>
      <c r="B80" s="5"/>
      <c r="C80" s="5"/>
      <c r="D80" s="5"/>
      <c r="E80" s="5"/>
      <c r="F80" s="5"/>
      <c r="G80" s="5"/>
      <c r="H80" s="5"/>
      <c r="I80" s="5"/>
      <c r="J80" s="5"/>
      <c r="K80" s="5"/>
      <c r="L80" s="5"/>
      <c r="M80" s="5"/>
      <c r="N80" s="5"/>
      <c r="O80" s="5"/>
      <c r="P80" s="5"/>
      <c r="Q80" s="5"/>
      <c r="R80" s="5"/>
      <c r="S80" s="5"/>
      <c r="T80" s="5"/>
      <c r="U80" s="5"/>
      <c r="V80" s="5"/>
      <c r="W80" s="5"/>
      <c r="X80" s="5"/>
      <c r="Y80" s="5"/>
    </row>
    <row r="81" spans="1:25" ht="12.75" customHeight="1" x14ac:dyDescent="0.25">
      <c r="A81" s="5"/>
      <c r="B81" s="5"/>
      <c r="C81" s="5"/>
      <c r="D81" s="5"/>
      <c r="E81" s="5"/>
      <c r="F81" s="5"/>
      <c r="G81" s="5"/>
      <c r="H81" s="5"/>
      <c r="I81" s="5"/>
      <c r="J81" s="5"/>
      <c r="K81" s="5"/>
      <c r="L81" s="5"/>
      <c r="M81" s="5"/>
      <c r="N81" s="5"/>
      <c r="O81" s="5"/>
      <c r="P81" s="5"/>
      <c r="Q81" s="5"/>
      <c r="R81" s="5"/>
      <c r="S81" s="5"/>
      <c r="T81" s="5"/>
      <c r="U81" s="5"/>
      <c r="V81" s="5"/>
      <c r="W81" s="5"/>
      <c r="X81" s="5"/>
      <c r="Y81" s="5"/>
    </row>
    <row r="82" spans="1:25" ht="12.75" customHeight="1" x14ac:dyDescent="0.25">
      <c r="A82" s="5"/>
      <c r="B82" s="5"/>
      <c r="C82" s="5"/>
      <c r="D82" s="5"/>
      <c r="E82" s="5"/>
      <c r="F82" s="5"/>
      <c r="G82" s="5"/>
      <c r="H82" s="5"/>
      <c r="I82" s="5"/>
      <c r="J82" s="5"/>
      <c r="K82" s="5"/>
      <c r="L82" s="5"/>
      <c r="M82" s="5"/>
      <c r="N82" s="5"/>
      <c r="O82" s="5"/>
      <c r="P82" s="5"/>
      <c r="Q82" s="5"/>
      <c r="R82" s="5"/>
      <c r="S82" s="5"/>
      <c r="T82" s="5"/>
      <c r="U82" s="5"/>
      <c r="V82" s="5"/>
      <c r="W82" s="5"/>
      <c r="X82" s="5"/>
      <c r="Y82" s="5"/>
    </row>
    <row r="83" spans="1:25" ht="12.75" customHeight="1" x14ac:dyDescent="0.25">
      <c r="A83" s="5"/>
      <c r="B83" s="5"/>
      <c r="C83" s="5"/>
      <c r="D83" s="5"/>
      <c r="E83" s="5"/>
      <c r="F83" s="5"/>
      <c r="G83" s="5"/>
      <c r="H83" s="5"/>
      <c r="I83" s="5"/>
      <c r="J83" s="5"/>
      <c r="K83" s="5"/>
      <c r="L83" s="5"/>
      <c r="M83" s="5"/>
      <c r="N83" s="5"/>
      <c r="O83" s="5"/>
      <c r="P83" s="5"/>
      <c r="Q83" s="5"/>
      <c r="R83" s="5"/>
      <c r="S83" s="5"/>
      <c r="T83" s="5"/>
      <c r="U83" s="5"/>
      <c r="V83" s="5"/>
      <c r="W83" s="5"/>
      <c r="X83" s="5"/>
      <c r="Y83" s="5"/>
    </row>
    <row r="84" spans="1:25" ht="12.75" customHeight="1" x14ac:dyDescent="0.25">
      <c r="A84" s="5"/>
      <c r="B84" s="5"/>
      <c r="C84" s="5"/>
      <c r="D84" s="5"/>
      <c r="E84" s="5"/>
      <c r="F84" s="5"/>
      <c r="G84" s="5"/>
      <c r="H84" s="5"/>
      <c r="I84" s="5"/>
      <c r="J84" s="5"/>
      <c r="K84" s="5"/>
      <c r="L84" s="5"/>
      <c r="M84" s="5"/>
      <c r="N84" s="5"/>
      <c r="O84" s="5"/>
      <c r="P84" s="5"/>
      <c r="Q84" s="5"/>
      <c r="R84" s="5"/>
      <c r="S84" s="5"/>
      <c r="T84" s="5"/>
      <c r="U84" s="5"/>
      <c r="V84" s="5"/>
      <c r="W84" s="5"/>
      <c r="X84" s="5"/>
      <c r="Y84" s="5"/>
    </row>
    <row r="85" spans="1:25" ht="12.75" customHeight="1" x14ac:dyDescent="0.25">
      <c r="A85" s="5"/>
      <c r="B85" s="5"/>
      <c r="C85" s="5"/>
      <c r="D85" s="5"/>
      <c r="E85" s="5"/>
      <c r="F85" s="5"/>
      <c r="G85" s="5"/>
      <c r="H85" s="5"/>
      <c r="I85" s="5"/>
      <c r="J85" s="5"/>
      <c r="K85" s="5"/>
      <c r="L85" s="5"/>
      <c r="M85" s="5"/>
      <c r="N85" s="5"/>
      <c r="O85" s="5"/>
      <c r="P85" s="5"/>
      <c r="Q85" s="5"/>
      <c r="R85" s="5"/>
      <c r="S85" s="5"/>
      <c r="T85" s="5"/>
      <c r="U85" s="5"/>
      <c r="V85" s="5"/>
      <c r="W85" s="5"/>
      <c r="X85" s="5"/>
      <c r="Y85" s="5"/>
    </row>
    <row r="86" spans="1:25" ht="12.75" customHeight="1" x14ac:dyDescent="0.25">
      <c r="A86" s="5"/>
      <c r="B86" s="5"/>
      <c r="C86" s="5"/>
      <c r="D86" s="5"/>
      <c r="E86" s="5"/>
      <c r="F86" s="5"/>
      <c r="G86" s="5"/>
      <c r="H86" s="5"/>
      <c r="I86" s="5"/>
      <c r="J86" s="5"/>
      <c r="K86" s="5"/>
      <c r="L86" s="5"/>
      <c r="M86" s="5"/>
      <c r="N86" s="5"/>
      <c r="O86" s="5"/>
      <c r="P86" s="5"/>
      <c r="Q86" s="5"/>
      <c r="R86" s="5"/>
      <c r="S86" s="5"/>
      <c r="T86" s="5"/>
      <c r="U86" s="5"/>
      <c r="V86" s="5"/>
      <c r="W86" s="5"/>
      <c r="X86" s="5"/>
      <c r="Y86" s="5"/>
    </row>
    <row r="87" spans="1:25" ht="12.75" customHeight="1" x14ac:dyDescent="0.25">
      <c r="A87" s="5"/>
      <c r="B87" s="5"/>
      <c r="C87" s="5"/>
      <c r="D87" s="5"/>
      <c r="E87" s="5"/>
      <c r="F87" s="5"/>
      <c r="G87" s="5"/>
      <c r="H87" s="5"/>
      <c r="I87" s="5"/>
      <c r="J87" s="5"/>
      <c r="K87" s="5"/>
      <c r="L87" s="5"/>
      <c r="M87" s="5"/>
      <c r="N87" s="5"/>
      <c r="O87" s="5"/>
      <c r="P87" s="5"/>
      <c r="Q87" s="5"/>
      <c r="R87" s="5"/>
      <c r="S87" s="5"/>
      <c r="T87" s="5"/>
      <c r="U87" s="5"/>
      <c r="V87" s="5"/>
      <c r="W87" s="5"/>
      <c r="X87" s="5"/>
      <c r="Y87" s="5"/>
    </row>
    <row r="88" spans="1:25" ht="12.75" customHeight="1" x14ac:dyDescent="0.25">
      <c r="A88" s="5"/>
      <c r="B88" s="5"/>
      <c r="C88" s="5"/>
      <c r="D88" s="5"/>
      <c r="E88" s="5"/>
      <c r="F88" s="5"/>
      <c r="G88" s="5"/>
      <c r="H88" s="5"/>
      <c r="I88" s="5"/>
      <c r="J88" s="5"/>
      <c r="K88" s="5"/>
      <c r="L88" s="5"/>
      <c r="M88" s="5"/>
      <c r="N88" s="5"/>
      <c r="O88" s="5"/>
      <c r="P88" s="5"/>
      <c r="Q88" s="5"/>
      <c r="R88" s="5"/>
      <c r="S88" s="5"/>
      <c r="T88" s="5"/>
      <c r="U88" s="5"/>
      <c r="V88" s="5"/>
      <c r="W88" s="5"/>
      <c r="X88" s="5"/>
      <c r="Y88" s="5"/>
    </row>
    <row r="89" spans="1:25" ht="12.75" customHeight="1" x14ac:dyDescent="0.25">
      <c r="A89" s="5"/>
      <c r="B89" s="5"/>
      <c r="C89" s="5"/>
      <c r="D89" s="5"/>
      <c r="E89" s="5"/>
      <c r="F89" s="5"/>
      <c r="G89" s="5"/>
      <c r="H89" s="5"/>
      <c r="I89" s="5"/>
      <c r="J89" s="5"/>
      <c r="K89" s="5"/>
      <c r="L89" s="5"/>
      <c r="M89" s="5"/>
      <c r="N89" s="5"/>
      <c r="O89" s="5"/>
      <c r="P89" s="5"/>
      <c r="Q89" s="5"/>
      <c r="R89" s="5"/>
      <c r="S89" s="5"/>
      <c r="T89" s="5"/>
      <c r="U89" s="5"/>
      <c r="V89" s="5"/>
      <c r="W89" s="5"/>
      <c r="X89" s="5"/>
      <c r="Y89" s="5"/>
    </row>
    <row r="90" spans="1:25" ht="12.75" customHeight="1" x14ac:dyDescent="0.25">
      <c r="A90" s="5"/>
      <c r="B90" s="5"/>
      <c r="C90" s="5"/>
      <c r="D90" s="5"/>
      <c r="E90" s="5"/>
      <c r="F90" s="5"/>
      <c r="G90" s="5"/>
      <c r="H90" s="5"/>
      <c r="I90" s="5"/>
      <c r="J90" s="5"/>
      <c r="K90" s="5"/>
      <c r="L90" s="5"/>
      <c r="M90" s="5"/>
      <c r="N90" s="5"/>
      <c r="O90" s="5"/>
      <c r="P90" s="5"/>
      <c r="Q90" s="5"/>
      <c r="R90" s="5"/>
      <c r="S90" s="5"/>
      <c r="T90" s="5"/>
      <c r="U90" s="5"/>
      <c r="V90" s="5"/>
      <c r="W90" s="5"/>
      <c r="X90" s="5"/>
      <c r="Y90" s="5"/>
    </row>
    <row r="91" spans="1:25" ht="12.75" customHeight="1" x14ac:dyDescent="0.25">
      <c r="A91" s="5"/>
      <c r="B91" s="5"/>
      <c r="C91" s="5"/>
      <c r="D91" s="5"/>
      <c r="E91" s="5"/>
      <c r="F91" s="5"/>
      <c r="G91" s="5"/>
      <c r="H91" s="5"/>
      <c r="I91" s="5"/>
      <c r="J91" s="5"/>
      <c r="K91" s="5"/>
      <c r="L91" s="5"/>
      <c r="M91" s="5"/>
      <c r="N91" s="5"/>
      <c r="O91" s="5"/>
      <c r="P91" s="5"/>
      <c r="Q91" s="5"/>
      <c r="R91" s="5"/>
      <c r="S91" s="5"/>
      <c r="T91" s="5"/>
      <c r="U91" s="5"/>
      <c r="V91" s="5"/>
      <c r="W91" s="5"/>
      <c r="X91" s="5"/>
      <c r="Y91" s="5"/>
    </row>
    <row r="92" spans="1:25" ht="12.75" customHeight="1" x14ac:dyDescent="0.25">
      <c r="A92" s="5"/>
      <c r="B92" s="5"/>
      <c r="C92" s="5"/>
      <c r="D92" s="5"/>
      <c r="E92" s="5"/>
      <c r="F92" s="5"/>
      <c r="G92" s="5"/>
      <c r="H92" s="5"/>
      <c r="I92" s="5"/>
      <c r="J92" s="5"/>
      <c r="K92" s="5"/>
      <c r="L92" s="5"/>
      <c r="M92" s="5"/>
      <c r="N92" s="5"/>
      <c r="O92" s="5"/>
      <c r="P92" s="5"/>
      <c r="Q92" s="5"/>
      <c r="R92" s="5"/>
      <c r="S92" s="5"/>
      <c r="T92" s="5"/>
      <c r="U92" s="5"/>
      <c r="V92" s="5"/>
      <c r="W92" s="5"/>
      <c r="X92" s="5"/>
      <c r="Y92" s="5"/>
    </row>
    <row r="93" spans="1:25" ht="12.75" customHeight="1" x14ac:dyDescent="0.25">
      <c r="A93" s="5"/>
      <c r="B93" s="5"/>
      <c r="C93" s="5"/>
      <c r="D93" s="5"/>
      <c r="E93" s="5"/>
      <c r="F93" s="5"/>
      <c r="G93" s="5"/>
      <c r="H93" s="5"/>
      <c r="I93" s="5"/>
      <c r="J93" s="5"/>
      <c r="K93" s="5"/>
      <c r="L93" s="5"/>
      <c r="M93" s="5"/>
      <c r="N93" s="5"/>
      <c r="O93" s="5"/>
      <c r="P93" s="5"/>
      <c r="Q93" s="5"/>
      <c r="R93" s="5"/>
      <c r="S93" s="5"/>
      <c r="T93" s="5"/>
      <c r="U93" s="5"/>
      <c r="V93" s="5"/>
      <c r="W93" s="5"/>
      <c r="X93" s="5"/>
      <c r="Y93" s="5"/>
    </row>
    <row r="94" spans="1:25" ht="12.75" customHeight="1" x14ac:dyDescent="0.25">
      <c r="A94" s="5"/>
      <c r="B94" s="5"/>
      <c r="C94" s="5"/>
      <c r="D94" s="5"/>
      <c r="E94" s="5"/>
      <c r="F94" s="5"/>
      <c r="G94" s="5"/>
      <c r="H94" s="5"/>
      <c r="I94" s="5"/>
      <c r="J94" s="5"/>
      <c r="K94" s="5"/>
      <c r="L94" s="5"/>
      <c r="M94" s="5"/>
      <c r="N94" s="5"/>
      <c r="O94" s="5"/>
      <c r="P94" s="5"/>
      <c r="Q94" s="5"/>
      <c r="R94" s="5"/>
      <c r="S94" s="5"/>
      <c r="T94" s="5"/>
      <c r="U94" s="5"/>
      <c r="V94" s="5"/>
      <c r="W94" s="5"/>
      <c r="X94" s="5"/>
      <c r="Y94" s="5"/>
    </row>
    <row r="95" spans="1:25" ht="12.75" customHeight="1" x14ac:dyDescent="0.25">
      <c r="A95" s="5"/>
      <c r="B95" s="5"/>
      <c r="C95" s="5"/>
      <c r="D95" s="5"/>
      <c r="E95" s="5"/>
      <c r="F95" s="5"/>
      <c r="G95" s="5"/>
      <c r="H95" s="5"/>
      <c r="I95" s="5"/>
      <c r="J95" s="5"/>
      <c r="K95" s="5"/>
      <c r="L95" s="5"/>
      <c r="M95" s="5"/>
      <c r="N95" s="5"/>
      <c r="O95" s="5"/>
      <c r="P95" s="5"/>
      <c r="Q95" s="5"/>
      <c r="R95" s="5"/>
      <c r="S95" s="5"/>
      <c r="T95" s="5"/>
      <c r="U95" s="5"/>
      <c r="V95" s="5"/>
      <c r="W95" s="5"/>
      <c r="X95" s="5"/>
      <c r="Y95" s="5"/>
    </row>
    <row r="96" spans="1:25" ht="12.75" customHeight="1" x14ac:dyDescent="0.25">
      <c r="A96" s="5"/>
      <c r="B96" s="5"/>
      <c r="C96" s="5"/>
      <c r="D96" s="5"/>
      <c r="E96" s="5"/>
      <c r="F96" s="5"/>
      <c r="G96" s="5"/>
      <c r="H96" s="5"/>
      <c r="I96" s="5"/>
      <c r="J96" s="5"/>
      <c r="K96" s="5"/>
      <c r="L96" s="5"/>
      <c r="M96" s="5"/>
      <c r="N96" s="5"/>
      <c r="O96" s="5"/>
      <c r="P96" s="5"/>
      <c r="Q96" s="5"/>
      <c r="R96" s="5"/>
      <c r="S96" s="5"/>
      <c r="T96" s="5"/>
      <c r="U96" s="5"/>
      <c r="V96" s="5"/>
      <c r="W96" s="5"/>
      <c r="X96" s="5"/>
      <c r="Y96" s="5"/>
    </row>
    <row r="97" spans="1:25" ht="12.75" customHeight="1" x14ac:dyDescent="0.25">
      <c r="A97" s="5"/>
      <c r="B97" s="5"/>
      <c r="C97" s="5"/>
      <c r="D97" s="5"/>
      <c r="E97" s="5"/>
      <c r="F97" s="5"/>
      <c r="G97" s="5"/>
      <c r="H97" s="5"/>
      <c r="I97" s="5"/>
      <c r="J97" s="5"/>
      <c r="K97" s="5"/>
      <c r="L97" s="5"/>
      <c r="M97" s="5"/>
      <c r="N97" s="5"/>
      <c r="O97" s="5"/>
      <c r="P97" s="5"/>
      <c r="Q97" s="5"/>
      <c r="R97" s="5"/>
      <c r="S97" s="5"/>
      <c r="T97" s="5"/>
      <c r="U97" s="5"/>
      <c r="V97" s="5"/>
      <c r="W97" s="5"/>
      <c r="X97" s="5"/>
      <c r="Y97" s="5"/>
    </row>
    <row r="98" spans="1:25" ht="12.75" customHeight="1" x14ac:dyDescent="0.25">
      <c r="A98" s="5"/>
      <c r="B98" s="5"/>
      <c r="C98" s="5"/>
      <c r="D98" s="5"/>
      <c r="E98" s="5"/>
      <c r="F98" s="5"/>
      <c r="G98" s="5"/>
      <c r="H98" s="5"/>
      <c r="I98" s="5"/>
      <c r="J98" s="5"/>
      <c r="K98" s="5"/>
      <c r="L98" s="5"/>
      <c r="M98" s="5"/>
      <c r="N98" s="5"/>
      <c r="O98" s="5"/>
      <c r="P98" s="5"/>
      <c r="Q98" s="5"/>
      <c r="R98" s="5"/>
      <c r="S98" s="5"/>
      <c r="T98" s="5"/>
      <c r="U98" s="5"/>
      <c r="V98" s="5"/>
      <c r="W98" s="5"/>
      <c r="X98" s="5"/>
      <c r="Y98" s="5"/>
    </row>
    <row r="99" spans="1:25" ht="12.75" customHeight="1" x14ac:dyDescent="0.25">
      <c r="A99" s="5"/>
      <c r="B99" s="5"/>
      <c r="C99" s="5"/>
      <c r="D99" s="5"/>
      <c r="E99" s="5"/>
      <c r="F99" s="5"/>
      <c r="G99" s="5"/>
      <c r="H99" s="5"/>
      <c r="I99" s="5"/>
      <c r="J99" s="5"/>
      <c r="K99" s="5"/>
      <c r="L99" s="5"/>
      <c r="M99" s="5"/>
      <c r="N99" s="5"/>
      <c r="O99" s="5"/>
      <c r="P99" s="5"/>
      <c r="Q99" s="5"/>
      <c r="R99" s="5"/>
      <c r="S99" s="5"/>
      <c r="T99" s="5"/>
      <c r="U99" s="5"/>
      <c r="V99" s="5"/>
      <c r="W99" s="5"/>
      <c r="X99" s="5"/>
      <c r="Y99" s="5"/>
    </row>
    <row r="100" spans="1:25" ht="12.75" customHeight="1"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row r="101" spans="1:25" ht="12.75" customHeight="1"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row>
    <row r="102" spans="1:25" ht="12.75" customHeight="1"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row>
    <row r="103" spans="1:25" ht="12.75" customHeight="1"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spans="1:25" ht="12.75" customHeight="1"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spans="1:25" ht="12.75" customHeight="1"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spans="1:25" ht="12.75" customHeight="1"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spans="1:25" ht="12.75" customHeight="1"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spans="1:25" ht="12.75" customHeight="1"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spans="1:25" ht="12.75" customHeight="1"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spans="1:25" ht="12.75" customHeight="1"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spans="1:25" ht="12.75" customHeight="1"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spans="1:25" ht="12.75" customHeight="1"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spans="1:25" ht="12.75" customHeight="1"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spans="1:25" ht="12.75" customHeight="1"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spans="1:25" ht="12.75" customHeight="1"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spans="1:25" ht="12.75" customHeight="1"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spans="1:25" ht="12.75" customHeight="1"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spans="1:25" ht="12.75" customHeight="1"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spans="1:25" ht="12.75" customHeight="1"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spans="1:25" ht="12.75" customHeight="1"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spans="1:25" ht="12.75" customHeight="1"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spans="1:25" ht="12.75" customHeight="1"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spans="1:25" ht="12.75" customHeight="1"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spans="1:25" ht="12.75" customHeight="1"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spans="1:25" ht="12.75" customHeight="1"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spans="1:25" ht="12.75" customHeight="1"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spans="1:25" ht="12.75" customHeight="1"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spans="1:25" ht="12.75" customHeight="1"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spans="1:25" ht="12.75" customHeight="1"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spans="1:25" ht="12.75" customHeight="1"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spans="1:25" ht="12.75" customHeight="1"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spans="1:25" ht="12.75" customHeight="1"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spans="1:25" ht="12.75" customHeight="1"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spans="1:25" ht="12.75" customHeight="1"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spans="1:25" ht="12.75" customHeight="1"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spans="1:25" ht="12.75" customHeight="1"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spans="1:25" ht="12.75" customHeight="1"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spans="1:25" ht="12.75" customHeight="1"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spans="1:25" ht="12.75" customHeight="1"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spans="1:25" ht="12.75" customHeight="1"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spans="1:25" ht="12.75" customHeight="1"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spans="1:25" ht="12.75" customHeight="1"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spans="1:25" ht="12.75" customHeight="1"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spans="1:25" ht="12.75" customHeight="1"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spans="1:25" ht="12.75" customHeight="1"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spans="1:25" ht="12.75" customHeight="1"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spans="1:25" ht="12.75" customHeight="1"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spans="1:25" ht="12.75" customHeight="1"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spans="1:25" ht="12.75" customHeight="1"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spans="1:25" ht="12.75" customHeight="1"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spans="1:25" ht="12.75" customHeight="1"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spans="1:25" ht="12.75" customHeight="1"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spans="1:25" ht="12.75" customHeight="1"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spans="1:25" ht="12.75" customHeight="1"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spans="1:25" ht="12.75" customHeight="1"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spans="1:25" ht="12.75" customHeight="1"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spans="1:25" ht="12.75" customHeight="1"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spans="1:25" ht="12.75" customHeight="1"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spans="1:25" ht="12.75" customHeight="1"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spans="1:25" ht="12.75" customHeight="1"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spans="1:25" ht="12.75" customHeight="1"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spans="1:25" ht="12.75" customHeight="1"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spans="1:25" ht="12.75" customHeight="1"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spans="1:25" ht="12.75" customHeight="1"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spans="1:25" ht="12.75" customHeight="1"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spans="1:25" ht="12.75" customHeight="1"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spans="1:25" ht="12.75" customHeight="1"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spans="1:25" ht="12.75" customHeight="1"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spans="1:25" ht="12.75" customHeight="1"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spans="1:25" ht="12.75" customHeight="1"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spans="1:25" ht="12.75" customHeight="1"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spans="1:25" ht="12.75" customHeight="1"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spans="1:25" ht="12.75" customHeight="1"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spans="1:25" ht="12.75" customHeight="1"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spans="1:25" ht="12.75" customHeight="1"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spans="1:25" ht="12.75" customHeight="1"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spans="1:25" ht="12.75" customHeight="1"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spans="1:25" ht="12.75" customHeight="1"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spans="1:25" ht="12.75" customHeight="1"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spans="1:25" ht="12.75" customHeight="1"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spans="1:25" ht="12.75" customHeight="1"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spans="1:25" ht="12.75" customHeight="1"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spans="1:25" ht="12.75" customHeight="1"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spans="1:25" ht="12.75" customHeight="1"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spans="1:25" ht="12.75" customHeight="1"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spans="1:25" ht="12.75" customHeight="1"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spans="1:25" ht="12.75" customHeight="1"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spans="1:25" ht="12.75" customHeight="1"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spans="1:25" ht="12.75" customHeight="1"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spans="1:25" ht="12.75" customHeight="1"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spans="1:25" ht="12.75" customHeight="1"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spans="1:25" ht="12.75" customHeight="1"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spans="1:25" ht="12.75" customHeight="1"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spans="1:25" ht="12.75" customHeight="1"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spans="1:25" ht="12.75" customHeight="1"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spans="1:25" ht="12.75" customHeight="1"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spans="1:25" ht="12.75" customHeight="1"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spans="1:25" ht="12.75" customHeight="1"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spans="1:25" ht="12.75" customHeight="1"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spans="1:25" ht="12.75" customHeight="1"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spans="1:25" ht="12.75" customHeight="1"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spans="1:25" ht="12.75" customHeight="1"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spans="1:25" ht="12.75" customHeight="1"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spans="1:25" ht="12.75" customHeight="1"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spans="1:25" ht="12.75" customHeight="1"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spans="1:25" ht="12.75" customHeight="1"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spans="1:25" ht="12.75" customHeight="1"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spans="1:25" ht="12.75" customHeight="1"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spans="1:25" ht="12.75" customHeight="1"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spans="1:25" ht="12.75" customHeight="1"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spans="1:25" ht="12.75" customHeight="1"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spans="1:25" ht="12.75" customHeight="1"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spans="1:25" ht="12.75" customHeight="1"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spans="1:25" ht="12.75" customHeight="1"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spans="1:25" ht="12.75" customHeight="1"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spans="1:25" ht="12.75" customHeight="1"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spans="1:25" ht="12.75" customHeight="1"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spans="1:25" ht="12.75" customHeight="1"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spans="1:25" ht="12.75" customHeight="1"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spans="1:25" ht="12.75" customHeight="1"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spans="1:25" ht="12.75" customHeight="1"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spans="1:25" ht="12.75" customHeight="1"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spans="1:25" ht="12.75" customHeight="1"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spans="1:25" ht="12.75" customHeight="1"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spans="1:25" ht="12.75" customHeight="1"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spans="1:25" ht="12.75" customHeight="1"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spans="1:25" ht="12.75" customHeight="1"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spans="1:25" ht="12.75" customHeight="1"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spans="1:25" ht="12.75" customHeight="1"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spans="1:25" ht="12.75" customHeight="1"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spans="1:25" ht="12.75" customHeight="1"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spans="1:25" ht="12.75" customHeight="1"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spans="1:25" ht="12.75" customHeight="1"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spans="1:25" ht="15.75" customHeight="1" x14ac:dyDescent="0.25"/>
    <row r="235" spans="1:25" ht="15.75" customHeight="1" x14ac:dyDescent="0.25"/>
    <row r="236" spans="1:25" ht="15.75" customHeight="1" x14ac:dyDescent="0.25"/>
    <row r="237" spans="1:25" ht="15.75" customHeight="1" x14ac:dyDescent="0.25"/>
    <row r="238" spans="1:25" ht="15.75" customHeight="1" x14ac:dyDescent="0.25"/>
    <row r="239" spans="1:25" ht="15.75" customHeight="1" x14ac:dyDescent="0.25"/>
    <row r="240" spans="1:25"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2">
    <mergeCell ref="A9:B9"/>
    <mergeCell ref="C9:D9"/>
    <mergeCell ref="A10:B11"/>
    <mergeCell ref="C10:D10"/>
    <mergeCell ref="E10:E11"/>
    <mergeCell ref="E12:E19"/>
    <mergeCell ref="E21:E22"/>
    <mergeCell ref="A21:B22"/>
    <mergeCell ref="A27:B27"/>
    <mergeCell ref="A33:B33"/>
    <mergeCell ref="A12:D12"/>
    <mergeCell ref="C22:D22"/>
  </mergeCells>
  <pageMargins left="0.69930555555555596" right="0.41944444444444401" top="0.75" bottom="0.75" header="0" footer="0"/>
  <pageSetup paperSize="14" scale="93" pageOrder="overThenDown"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1:Z1000"/>
  <sheetViews>
    <sheetView topLeftCell="A8" workbookViewId="0">
      <selection activeCell="A28" sqref="A28"/>
    </sheetView>
  </sheetViews>
  <sheetFormatPr defaultColWidth="12.59765625" defaultRowHeight="15" customHeight="1" x14ac:dyDescent="0.25"/>
  <cols>
    <col min="1" max="1" width="2.69921875" customWidth="1"/>
    <col min="2" max="2" width="29.19921875" customWidth="1"/>
    <col min="3" max="3" width="18.19921875" customWidth="1"/>
    <col min="4" max="4" width="17.3984375" customWidth="1"/>
    <col min="5" max="10" width="7.8984375" customWidth="1"/>
    <col min="11" max="12" width="11.69921875" customWidth="1"/>
    <col min="13" max="13" width="21.19921875" customWidth="1"/>
    <col min="14" max="14" width="19.3984375" customWidth="1"/>
    <col min="15" max="26" width="9" customWidth="1"/>
  </cols>
  <sheetData>
    <row r="1" spans="1:26" ht="12.75" customHeight="1" x14ac:dyDescent="0.25">
      <c r="A1" s="1" t="s">
        <v>2315</v>
      </c>
      <c r="B1" s="5"/>
      <c r="C1" s="5"/>
      <c r="D1" s="5"/>
      <c r="E1" s="5"/>
      <c r="F1" s="5"/>
      <c r="G1" s="5"/>
      <c r="H1" s="5"/>
      <c r="I1" s="5"/>
      <c r="J1" s="5"/>
      <c r="K1" s="5"/>
      <c r="L1" s="5"/>
      <c r="M1" s="5"/>
      <c r="N1" s="5"/>
      <c r="O1" s="5"/>
      <c r="P1" s="5"/>
      <c r="Q1" s="5"/>
      <c r="R1" s="5"/>
      <c r="S1" s="5"/>
      <c r="T1" s="5"/>
      <c r="U1" s="5"/>
      <c r="V1" s="5"/>
      <c r="W1" s="5"/>
      <c r="X1" s="5"/>
      <c r="Y1" s="5"/>
      <c r="Z1" s="5"/>
    </row>
    <row r="2" spans="1:26" ht="12.75" customHeight="1" x14ac:dyDescent="0.25">
      <c r="A2" s="1" t="s">
        <v>2326</v>
      </c>
      <c r="B2" s="5"/>
      <c r="C2" s="5"/>
      <c r="D2" s="5"/>
      <c r="E2" s="5"/>
      <c r="F2" s="5"/>
      <c r="G2" s="5"/>
      <c r="H2" s="5"/>
      <c r="I2" s="5"/>
      <c r="J2" s="5"/>
      <c r="K2" s="5"/>
      <c r="L2" s="5"/>
      <c r="M2" s="5"/>
      <c r="N2" s="5"/>
      <c r="O2" s="5"/>
      <c r="P2" s="5"/>
      <c r="Q2" s="5"/>
      <c r="R2" s="5"/>
      <c r="S2" s="5"/>
      <c r="T2" s="5"/>
      <c r="U2" s="5"/>
      <c r="V2" s="5"/>
      <c r="W2" s="5"/>
      <c r="X2" s="5"/>
      <c r="Y2" s="5"/>
      <c r="Z2" s="5"/>
    </row>
    <row r="3" spans="1:26" ht="12.75" customHeight="1" x14ac:dyDescent="0.25">
      <c r="A3" s="5"/>
      <c r="B3" s="5"/>
      <c r="C3" s="5"/>
      <c r="D3" s="5"/>
      <c r="E3" s="5"/>
      <c r="F3" s="5"/>
      <c r="G3" s="5"/>
      <c r="H3" s="5"/>
      <c r="I3" s="5"/>
      <c r="J3" s="5"/>
      <c r="K3" s="5"/>
      <c r="L3" s="5"/>
      <c r="M3" s="5"/>
      <c r="N3" s="5"/>
      <c r="O3" s="5"/>
      <c r="P3" s="5"/>
      <c r="Q3" s="5"/>
      <c r="R3" s="5"/>
      <c r="S3" s="5"/>
      <c r="T3" s="5"/>
      <c r="U3" s="5"/>
      <c r="V3" s="5"/>
      <c r="W3" s="5"/>
      <c r="X3" s="5"/>
      <c r="Y3" s="5"/>
      <c r="Z3" s="5"/>
    </row>
    <row r="4" spans="1:26" ht="12.75" customHeight="1" x14ac:dyDescent="0.25">
      <c r="A4" s="4"/>
      <c r="B4" s="3" t="s">
        <v>2317</v>
      </c>
      <c r="C4" s="5"/>
      <c r="D4" s="5"/>
      <c r="E4" s="5"/>
      <c r="F4" s="5"/>
      <c r="G4" s="5"/>
      <c r="H4" s="5"/>
      <c r="I4" s="5"/>
      <c r="J4" s="5"/>
      <c r="K4" s="5"/>
      <c r="L4" s="5"/>
      <c r="M4" s="5"/>
      <c r="N4" s="5"/>
      <c r="O4" s="5"/>
      <c r="P4" s="5"/>
      <c r="Q4" s="5"/>
      <c r="R4" s="5"/>
      <c r="S4" s="5"/>
      <c r="T4" s="5"/>
      <c r="U4" s="5"/>
      <c r="V4" s="5"/>
      <c r="W4" s="5"/>
      <c r="X4" s="5"/>
      <c r="Y4" s="5"/>
      <c r="Z4" s="5"/>
    </row>
    <row r="5" spans="1:26" ht="12.75" customHeight="1" x14ac:dyDescent="0.25">
      <c r="A5" s="6"/>
      <c r="B5" s="3" t="s">
        <v>2327</v>
      </c>
      <c r="C5" s="3"/>
      <c r="D5" s="3"/>
      <c r="E5" s="5"/>
      <c r="F5" s="5"/>
      <c r="G5" s="5"/>
      <c r="H5" s="5"/>
      <c r="I5" s="5"/>
      <c r="J5" s="5"/>
      <c r="K5" s="5"/>
      <c r="L5" s="5"/>
      <c r="M5" s="5"/>
      <c r="N5" s="5"/>
      <c r="O5" s="5"/>
      <c r="P5" s="5"/>
      <c r="Q5" s="5"/>
      <c r="R5" s="5"/>
      <c r="S5" s="5"/>
      <c r="T5" s="5"/>
      <c r="U5" s="5"/>
      <c r="V5" s="5"/>
      <c r="W5" s="5"/>
      <c r="X5" s="5"/>
      <c r="Y5" s="5"/>
      <c r="Z5" s="5"/>
    </row>
    <row r="6" spans="1:26" ht="12.75" customHeight="1" x14ac:dyDescent="0.25">
      <c r="A6" s="6"/>
      <c r="B6" s="3" t="s">
        <v>2328</v>
      </c>
      <c r="C6" s="3"/>
      <c r="D6" s="3"/>
      <c r="E6" s="5"/>
      <c r="F6" s="5"/>
      <c r="G6" s="5"/>
      <c r="H6" s="5"/>
      <c r="I6" s="5"/>
      <c r="J6" s="5"/>
      <c r="K6" s="5"/>
      <c r="L6" s="5"/>
      <c r="M6" s="5"/>
      <c r="N6" s="5"/>
      <c r="O6" s="5"/>
      <c r="P6" s="5"/>
      <c r="Q6" s="5"/>
      <c r="R6" s="5"/>
      <c r="S6" s="5"/>
      <c r="T6" s="5"/>
      <c r="U6" s="5"/>
      <c r="V6" s="5"/>
      <c r="W6" s="5"/>
      <c r="X6" s="5"/>
      <c r="Y6" s="5"/>
      <c r="Z6" s="5"/>
    </row>
    <row r="7" spans="1:26" ht="12.75" customHeight="1" x14ac:dyDescent="0.25">
      <c r="A7" s="6"/>
      <c r="B7" s="3" t="s">
        <v>2329</v>
      </c>
      <c r="C7" s="3"/>
      <c r="D7" s="3"/>
      <c r="E7" s="5"/>
      <c r="F7" s="5"/>
      <c r="G7" s="5"/>
      <c r="H7" s="5"/>
      <c r="I7" s="5"/>
      <c r="J7" s="5"/>
      <c r="K7" s="5"/>
      <c r="L7" s="5"/>
      <c r="M7" s="5"/>
      <c r="N7" s="5"/>
      <c r="O7" s="5"/>
      <c r="P7" s="5"/>
      <c r="Q7" s="5"/>
      <c r="R7" s="5"/>
      <c r="S7" s="5"/>
      <c r="T7" s="5"/>
      <c r="U7" s="5"/>
      <c r="V7" s="5"/>
      <c r="W7" s="5"/>
      <c r="X7" s="5"/>
      <c r="Y7" s="5"/>
      <c r="Z7" s="5"/>
    </row>
    <row r="8" spans="1:26" ht="12.75" customHeight="1" x14ac:dyDescent="0.25">
      <c r="A8" s="6"/>
      <c r="B8" s="374" t="s">
        <v>67</v>
      </c>
      <c r="C8" s="375"/>
      <c r="D8" s="3"/>
      <c r="E8" s="5"/>
      <c r="F8" s="5"/>
      <c r="G8" s="5"/>
      <c r="H8" s="5"/>
      <c r="I8" s="5"/>
      <c r="J8" s="5"/>
      <c r="K8" s="5"/>
      <c r="L8" s="5"/>
      <c r="M8" s="5"/>
      <c r="N8" s="5"/>
      <c r="O8" s="5"/>
      <c r="P8" s="5"/>
      <c r="Q8" s="5"/>
      <c r="R8" s="5"/>
      <c r="S8" s="5"/>
      <c r="T8" s="5"/>
      <c r="U8" s="5"/>
      <c r="V8" s="5"/>
      <c r="W8" s="5"/>
      <c r="X8" s="5"/>
      <c r="Y8" s="5"/>
      <c r="Z8" s="5"/>
    </row>
    <row r="9" spans="1:26" ht="12.75" customHeight="1" x14ac:dyDescent="0.25">
      <c r="A9" s="6"/>
      <c r="B9" s="9"/>
      <c r="C9" s="9"/>
      <c r="D9" s="3"/>
      <c r="E9" s="5"/>
      <c r="F9" s="5"/>
      <c r="G9" s="5"/>
      <c r="H9" s="5"/>
      <c r="I9" s="5"/>
      <c r="J9" s="5"/>
      <c r="K9" s="5"/>
      <c r="L9" s="5"/>
      <c r="M9" s="5"/>
      <c r="N9" s="5"/>
      <c r="O9" s="5"/>
      <c r="P9" s="5"/>
      <c r="Q9" s="5"/>
      <c r="R9" s="5"/>
      <c r="S9" s="5"/>
      <c r="T9" s="5"/>
      <c r="U9" s="5"/>
      <c r="V9" s="5"/>
      <c r="W9" s="5"/>
      <c r="X9" s="5"/>
      <c r="Y9" s="5"/>
      <c r="Z9" s="5"/>
    </row>
    <row r="10" spans="1:26" ht="12.75" customHeight="1" x14ac:dyDescent="0.25">
      <c r="A10" s="9"/>
      <c r="B10" s="3" t="s">
        <v>68</v>
      </c>
      <c r="C10" s="3" t="s">
        <v>69</v>
      </c>
      <c r="D10" s="9"/>
      <c r="E10" s="9"/>
      <c r="F10" s="9"/>
      <c r="G10" s="9"/>
      <c r="H10" s="9"/>
      <c r="I10" s="9"/>
      <c r="J10" s="9"/>
      <c r="K10" s="9"/>
      <c r="L10" s="9"/>
      <c r="M10" s="35"/>
      <c r="N10" s="35"/>
      <c r="O10" s="9"/>
      <c r="P10" s="9"/>
      <c r="Q10" s="9"/>
      <c r="R10" s="9"/>
      <c r="S10" s="9"/>
      <c r="T10" s="9"/>
      <c r="U10" s="9"/>
      <c r="V10" s="9"/>
      <c r="W10" s="9"/>
      <c r="X10" s="9"/>
      <c r="Y10" s="9"/>
      <c r="Z10" s="9"/>
    </row>
    <row r="11" spans="1:26" ht="12.75" customHeight="1" x14ac:dyDescent="0.25">
      <c r="A11" s="9"/>
      <c r="B11" s="9"/>
      <c r="C11" s="9"/>
      <c r="D11" s="9"/>
      <c r="E11" s="9"/>
      <c r="F11" s="9"/>
      <c r="G11" s="9"/>
      <c r="H11" s="9"/>
      <c r="I11" s="9"/>
      <c r="J11" s="9"/>
      <c r="K11" s="9"/>
      <c r="L11" s="9"/>
      <c r="M11" s="35"/>
      <c r="N11" s="35"/>
      <c r="O11" s="9"/>
      <c r="P11" s="9"/>
      <c r="Q11" s="9"/>
      <c r="R11" s="9"/>
      <c r="S11" s="9"/>
      <c r="T11" s="9"/>
      <c r="U11" s="9"/>
      <c r="V11" s="9"/>
      <c r="W11" s="9"/>
      <c r="X11" s="9"/>
      <c r="Y11" s="9"/>
      <c r="Z11" s="9"/>
    </row>
    <row r="12" spans="1:26" ht="12.75" customHeight="1" x14ac:dyDescent="0.25">
      <c r="A12" s="9"/>
      <c r="B12" s="9"/>
      <c r="C12" s="9"/>
      <c r="D12" s="9"/>
      <c r="E12" s="9"/>
      <c r="F12" s="9"/>
      <c r="G12" s="9"/>
      <c r="H12" s="9"/>
      <c r="I12" s="9"/>
      <c r="J12" s="9"/>
      <c r="K12" s="9"/>
      <c r="L12" s="9"/>
      <c r="M12" s="35"/>
      <c r="N12" s="35"/>
      <c r="O12" s="9"/>
      <c r="P12" s="9"/>
      <c r="Q12" s="9"/>
      <c r="R12" s="9"/>
      <c r="S12" s="9"/>
      <c r="T12" s="9"/>
      <c r="U12" s="9"/>
      <c r="V12" s="9"/>
      <c r="W12" s="9"/>
      <c r="X12" s="9"/>
      <c r="Y12" s="9"/>
      <c r="Z12" s="9"/>
    </row>
    <row r="13" spans="1:26" ht="16.5" customHeight="1" x14ac:dyDescent="0.25">
      <c r="A13" s="390">
        <v>1</v>
      </c>
      <c r="B13" s="391"/>
      <c r="C13" s="392">
        <v>2</v>
      </c>
      <c r="D13" s="391"/>
      <c r="E13" s="392">
        <v>3</v>
      </c>
      <c r="F13" s="393"/>
      <c r="G13" s="393"/>
      <c r="H13" s="393"/>
      <c r="I13" s="393"/>
      <c r="J13" s="391"/>
      <c r="K13" s="392">
        <v>4</v>
      </c>
      <c r="L13" s="391"/>
      <c r="M13" s="36">
        <v>5</v>
      </c>
      <c r="N13" s="37">
        <v>6</v>
      </c>
      <c r="O13" s="9"/>
      <c r="P13" s="9"/>
      <c r="Q13" s="9"/>
      <c r="R13" s="9"/>
      <c r="S13" s="9"/>
      <c r="T13" s="9"/>
      <c r="U13" s="9"/>
      <c r="V13" s="9"/>
      <c r="W13" s="9"/>
      <c r="X13" s="9"/>
      <c r="Y13" s="9"/>
      <c r="Z13" s="9"/>
    </row>
    <row r="14" spans="1:26" ht="42.75" customHeight="1" x14ac:dyDescent="0.25">
      <c r="A14" s="394" t="s">
        <v>2330</v>
      </c>
      <c r="B14" s="378"/>
      <c r="C14" s="38" t="s">
        <v>70</v>
      </c>
      <c r="D14" s="38" t="s">
        <v>2331</v>
      </c>
      <c r="E14" s="397" t="s">
        <v>2332</v>
      </c>
      <c r="F14" s="370"/>
      <c r="G14" s="370"/>
      <c r="H14" s="370"/>
      <c r="I14" s="370"/>
      <c r="J14" s="371"/>
      <c r="K14" s="397" t="s">
        <v>2333</v>
      </c>
      <c r="L14" s="371"/>
      <c r="M14" s="38" t="s">
        <v>2334</v>
      </c>
      <c r="N14" s="402" t="s">
        <v>74</v>
      </c>
      <c r="O14" s="13"/>
      <c r="P14" s="13"/>
      <c r="Q14" s="13"/>
      <c r="R14" s="13"/>
      <c r="S14" s="13"/>
      <c r="T14" s="13"/>
      <c r="U14" s="13"/>
      <c r="V14" s="13"/>
      <c r="W14" s="13"/>
      <c r="X14" s="13"/>
      <c r="Y14" s="13"/>
      <c r="Z14" s="13"/>
    </row>
    <row r="15" spans="1:26" ht="12" customHeight="1" x14ac:dyDescent="0.25">
      <c r="A15" s="395"/>
      <c r="B15" s="396"/>
      <c r="C15" s="38"/>
      <c r="D15" s="38"/>
      <c r="E15" s="39" t="s">
        <v>75</v>
      </c>
      <c r="F15" s="39" t="s">
        <v>76</v>
      </c>
      <c r="G15" s="39" t="s">
        <v>77</v>
      </c>
      <c r="H15" s="39" t="s">
        <v>78</v>
      </c>
      <c r="I15" s="39" t="s">
        <v>79</v>
      </c>
      <c r="J15" s="39" t="s">
        <v>80</v>
      </c>
      <c r="K15" s="404" t="s">
        <v>2335</v>
      </c>
      <c r="L15" s="404" t="s">
        <v>2336</v>
      </c>
      <c r="M15" s="404"/>
      <c r="N15" s="385"/>
      <c r="O15" s="13"/>
      <c r="P15" s="13"/>
      <c r="Q15" s="13"/>
      <c r="R15" s="13"/>
      <c r="S15" s="13"/>
      <c r="T15" s="13"/>
      <c r="U15" s="13"/>
      <c r="V15" s="13"/>
      <c r="W15" s="13"/>
      <c r="X15" s="13"/>
      <c r="Y15" s="13"/>
      <c r="Z15" s="13"/>
    </row>
    <row r="16" spans="1:26" ht="12.75" customHeight="1" x14ac:dyDescent="0.25">
      <c r="A16" s="416"/>
      <c r="B16" s="380"/>
      <c r="C16" s="38"/>
      <c r="D16" s="38"/>
      <c r="E16" s="38" t="s">
        <v>83</v>
      </c>
      <c r="F16" s="38" t="s">
        <v>84</v>
      </c>
      <c r="G16" s="38" t="s">
        <v>85</v>
      </c>
      <c r="H16" s="38" t="s">
        <v>86</v>
      </c>
      <c r="I16" s="38" t="s">
        <v>87</v>
      </c>
      <c r="J16" s="38" t="s">
        <v>88</v>
      </c>
      <c r="K16" s="368"/>
      <c r="L16" s="368"/>
      <c r="M16" s="368"/>
      <c r="N16" s="431"/>
      <c r="O16" s="13"/>
      <c r="P16" s="13"/>
      <c r="Q16" s="13"/>
      <c r="R16" s="13"/>
      <c r="S16" s="13"/>
      <c r="T16" s="13"/>
      <c r="U16" s="13"/>
      <c r="V16" s="13"/>
      <c r="W16" s="13"/>
      <c r="X16" s="13"/>
      <c r="Y16" s="13"/>
      <c r="Z16" s="13"/>
    </row>
    <row r="17" spans="1:26" ht="16.5" customHeight="1" x14ac:dyDescent="0.25">
      <c r="A17" s="418" t="s">
        <v>89</v>
      </c>
      <c r="B17" s="370"/>
      <c r="C17" s="370"/>
      <c r="D17" s="370"/>
      <c r="E17" s="370"/>
      <c r="F17" s="370"/>
      <c r="G17" s="370"/>
      <c r="H17" s="370"/>
      <c r="I17" s="370"/>
      <c r="J17" s="370"/>
      <c r="K17" s="370"/>
      <c r="L17" s="370"/>
      <c r="M17" s="371"/>
      <c r="N17" s="432" t="s">
        <v>90</v>
      </c>
      <c r="O17" s="5"/>
      <c r="P17" s="5"/>
      <c r="Q17" s="5"/>
      <c r="R17" s="5"/>
      <c r="S17" s="5"/>
      <c r="T17" s="5"/>
      <c r="U17" s="5"/>
      <c r="V17" s="5"/>
      <c r="W17" s="5"/>
      <c r="X17" s="5"/>
      <c r="Y17" s="5"/>
      <c r="Z17" s="5"/>
    </row>
    <row r="18" spans="1:26" ht="12.75" customHeight="1" x14ac:dyDescent="0.25">
      <c r="A18" s="20">
        <v>1</v>
      </c>
      <c r="B18" s="136" t="s">
        <v>2337</v>
      </c>
      <c r="C18" s="137" t="s">
        <v>2338</v>
      </c>
      <c r="D18" s="138"/>
      <c r="E18" s="137"/>
      <c r="F18" s="137">
        <v>1</v>
      </c>
      <c r="G18" s="137"/>
      <c r="H18" s="137"/>
      <c r="I18" s="137"/>
      <c r="J18" s="139"/>
      <c r="K18" s="140" t="s">
        <v>145</v>
      </c>
      <c r="L18" s="140" t="s">
        <v>2339</v>
      </c>
      <c r="M18" s="43"/>
      <c r="N18" s="385"/>
      <c r="O18" s="5"/>
      <c r="P18" s="5"/>
      <c r="Q18" s="5"/>
      <c r="R18" s="5"/>
      <c r="S18" s="5"/>
      <c r="T18" s="5"/>
      <c r="U18" s="5"/>
      <c r="V18" s="5"/>
      <c r="W18" s="5"/>
      <c r="X18" s="5"/>
      <c r="Y18" s="5"/>
      <c r="Z18" s="5"/>
    </row>
    <row r="19" spans="1:26" ht="12.75" customHeight="1" x14ac:dyDescent="0.25">
      <c r="A19" s="20">
        <v>2</v>
      </c>
      <c r="B19" s="46" t="s">
        <v>2340</v>
      </c>
      <c r="C19" s="20" t="s">
        <v>2341</v>
      </c>
      <c r="D19" s="112"/>
      <c r="E19" s="20"/>
      <c r="F19" s="20">
        <v>1</v>
      </c>
      <c r="G19" s="20"/>
      <c r="H19" s="20"/>
      <c r="I19" s="20"/>
      <c r="J19" s="16"/>
      <c r="K19" s="41" t="s">
        <v>2342</v>
      </c>
      <c r="L19" s="61" t="s">
        <v>2343</v>
      </c>
      <c r="M19" s="141"/>
      <c r="N19" s="385"/>
      <c r="O19" s="5"/>
      <c r="P19" s="5"/>
      <c r="Q19" s="5"/>
      <c r="R19" s="5"/>
      <c r="S19" s="5"/>
      <c r="T19" s="5"/>
      <c r="U19" s="5"/>
      <c r="V19" s="5"/>
      <c r="W19" s="5"/>
      <c r="X19" s="5"/>
      <c r="Y19" s="5"/>
      <c r="Z19" s="5"/>
    </row>
    <row r="20" spans="1:26" ht="12.75" customHeight="1" x14ac:dyDescent="0.25">
      <c r="A20" s="20">
        <v>3</v>
      </c>
      <c r="B20" s="46" t="s">
        <v>2344</v>
      </c>
      <c r="C20" s="20" t="s">
        <v>2345</v>
      </c>
      <c r="D20" s="112"/>
      <c r="E20" s="20"/>
      <c r="F20" s="20">
        <v>1</v>
      </c>
      <c r="G20" s="20"/>
      <c r="H20" s="20"/>
      <c r="I20" s="20"/>
      <c r="J20" s="16"/>
      <c r="K20" s="41" t="s">
        <v>2342</v>
      </c>
      <c r="L20" s="61" t="s">
        <v>2343</v>
      </c>
      <c r="M20" s="141"/>
      <c r="N20" s="385"/>
      <c r="O20" s="5"/>
      <c r="P20" s="5"/>
      <c r="Q20" s="5"/>
      <c r="R20" s="5"/>
      <c r="S20" s="5"/>
      <c r="T20" s="5"/>
      <c r="U20" s="5"/>
      <c r="V20" s="5"/>
      <c r="W20" s="5"/>
      <c r="X20" s="5"/>
      <c r="Y20" s="5"/>
      <c r="Z20" s="5"/>
    </row>
    <row r="21" spans="1:26" ht="12.75" customHeight="1" x14ac:dyDescent="0.25">
      <c r="A21" s="108">
        <v>4</v>
      </c>
      <c r="B21" s="142"/>
      <c r="C21" s="142"/>
      <c r="D21" s="142"/>
      <c r="E21" s="143"/>
      <c r="F21" s="143"/>
      <c r="G21" s="143"/>
      <c r="H21" s="143"/>
      <c r="I21" s="143"/>
      <c r="J21" s="143"/>
      <c r="K21" s="144"/>
      <c r="L21" s="144"/>
      <c r="M21" s="43"/>
      <c r="N21" s="385"/>
      <c r="O21" s="5"/>
      <c r="P21" s="5"/>
      <c r="Q21" s="5"/>
      <c r="R21" s="5"/>
      <c r="S21" s="5"/>
      <c r="T21" s="5"/>
      <c r="U21" s="5"/>
      <c r="V21" s="5"/>
      <c r="W21" s="5"/>
      <c r="X21" s="5"/>
      <c r="Y21" s="5"/>
      <c r="Z21" s="5"/>
    </row>
    <row r="22" spans="1:26" ht="12.75" customHeight="1" x14ac:dyDescent="0.25">
      <c r="A22" s="108">
        <v>5</v>
      </c>
      <c r="B22" s="15"/>
      <c r="C22" s="15"/>
      <c r="D22" s="15"/>
      <c r="E22" s="16"/>
      <c r="F22" s="16"/>
      <c r="G22" s="16"/>
      <c r="H22" s="16"/>
      <c r="I22" s="16"/>
      <c r="J22" s="16"/>
      <c r="K22" s="67"/>
      <c r="L22" s="67"/>
      <c r="M22" s="43"/>
      <c r="N22" s="385"/>
      <c r="O22" s="5"/>
      <c r="P22" s="5"/>
      <c r="Q22" s="5"/>
      <c r="R22" s="5"/>
      <c r="S22" s="5"/>
      <c r="T22" s="5"/>
      <c r="U22" s="5"/>
      <c r="V22" s="5"/>
      <c r="W22" s="5"/>
      <c r="X22" s="5"/>
      <c r="Y22" s="5"/>
      <c r="Z22" s="5"/>
    </row>
    <row r="23" spans="1:26" ht="12.75" customHeight="1" x14ac:dyDescent="0.25">
      <c r="A23" s="108">
        <v>6</v>
      </c>
      <c r="B23" s="15"/>
      <c r="C23" s="15"/>
      <c r="D23" s="15"/>
      <c r="E23" s="16"/>
      <c r="F23" s="16"/>
      <c r="G23" s="16"/>
      <c r="H23" s="16"/>
      <c r="I23" s="16"/>
      <c r="J23" s="16"/>
      <c r="K23" s="67"/>
      <c r="L23" s="67"/>
      <c r="M23" s="43"/>
      <c r="N23" s="385"/>
      <c r="O23" s="5"/>
      <c r="P23" s="5"/>
      <c r="Q23" s="5"/>
      <c r="R23" s="5"/>
      <c r="S23" s="5"/>
      <c r="T23" s="5"/>
      <c r="U23" s="5"/>
      <c r="V23" s="5"/>
      <c r="W23" s="5"/>
      <c r="X23" s="5"/>
      <c r="Y23" s="5"/>
      <c r="Z23" s="5"/>
    </row>
    <row r="24" spans="1:26" ht="15.75" customHeight="1" x14ac:dyDescent="0.25">
      <c r="A24" s="145" t="s">
        <v>2346</v>
      </c>
      <c r="B24" s="64"/>
      <c r="C24" s="64"/>
      <c r="D24" s="64"/>
      <c r="E24" s="64"/>
      <c r="F24" s="64"/>
      <c r="G24" s="64"/>
      <c r="H24" s="64"/>
      <c r="I24" s="64"/>
      <c r="J24" s="64"/>
      <c r="K24" s="64"/>
      <c r="L24" s="64"/>
      <c r="M24" s="64"/>
      <c r="N24" s="385"/>
      <c r="O24" s="5"/>
      <c r="P24" s="5"/>
      <c r="Q24" s="5"/>
      <c r="R24" s="5"/>
      <c r="S24" s="5"/>
      <c r="T24" s="5"/>
      <c r="U24" s="5"/>
      <c r="V24" s="5"/>
      <c r="W24" s="5"/>
      <c r="X24" s="5"/>
      <c r="Y24" s="5"/>
      <c r="Z24" s="5"/>
    </row>
    <row r="25" spans="1:26" ht="12.75" customHeight="1" x14ac:dyDescent="0.25">
      <c r="A25" s="108">
        <v>1</v>
      </c>
      <c r="B25" s="15"/>
      <c r="C25" s="15"/>
      <c r="D25" s="15"/>
      <c r="E25" s="16"/>
      <c r="F25" s="16"/>
      <c r="G25" s="16"/>
      <c r="H25" s="16"/>
      <c r="I25" s="16"/>
      <c r="J25" s="16"/>
      <c r="K25" s="67"/>
      <c r="L25" s="67"/>
      <c r="M25" s="43"/>
      <c r="N25" s="385"/>
      <c r="O25" s="5"/>
      <c r="P25" s="5"/>
      <c r="Q25" s="5"/>
      <c r="R25" s="5"/>
      <c r="S25" s="5"/>
      <c r="T25" s="5"/>
      <c r="U25" s="5"/>
      <c r="V25" s="5"/>
      <c r="W25" s="5"/>
      <c r="X25" s="5"/>
      <c r="Y25" s="5"/>
      <c r="Z25" s="5"/>
    </row>
    <row r="26" spans="1:26" ht="12.75" customHeight="1" x14ac:dyDescent="0.25">
      <c r="A26" s="108">
        <v>2</v>
      </c>
      <c r="B26" s="15"/>
      <c r="C26" s="15"/>
      <c r="D26" s="15"/>
      <c r="E26" s="16"/>
      <c r="F26" s="16"/>
      <c r="G26" s="16"/>
      <c r="H26" s="16"/>
      <c r="I26" s="16"/>
      <c r="J26" s="16"/>
      <c r="K26" s="67"/>
      <c r="L26" s="67"/>
      <c r="M26" s="43"/>
      <c r="N26" s="385"/>
      <c r="O26" s="5"/>
      <c r="P26" s="5"/>
      <c r="Q26" s="5"/>
      <c r="R26" s="5"/>
      <c r="S26" s="5"/>
      <c r="T26" s="5"/>
      <c r="U26" s="5"/>
      <c r="V26" s="5"/>
      <c r="W26" s="5"/>
      <c r="X26" s="5"/>
      <c r="Y26" s="5"/>
      <c r="Z26" s="5"/>
    </row>
    <row r="27" spans="1:26" ht="12.75" customHeight="1" x14ac:dyDescent="0.25">
      <c r="A27" s="108">
        <v>3</v>
      </c>
      <c r="B27" s="15"/>
      <c r="C27" s="15"/>
      <c r="D27" s="15"/>
      <c r="E27" s="16"/>
      <c r="F27" s="16"/>
      <c r="G27" s="16"/>
      <c r="H27" s="16"/>
      <c r="I27" s="16"/>
      <c r="J27" s="16"/>
      <c r="K27" s="67"/>
      <c r="L27" s="67"/>
      <c r="M27" s="43"/>
      <c r="N27" s="385"/>
      <c r="O27" s="5"/>
      <c r="P27" s="5"/>
      <c r="Q27" s="5"/>
      <c r="R27" s="5"/>
      <c r="S27" s="5"/>
      <c r="T27" s="5"/>
      <c r="U27" s="5"/>
      <c r="V27" s="5"/>
      <c r="W27" s="5"/>
      <c r="X27" s="5"/>
      <c r="Y27" s="5"/>
      <c r="Z27" s="5"/>
    </row>
    <row r="28" spans="1:26" ht="12.75" customHeight="1" x14ac:dyDescent="0.25">
      <c r="A28" s="108">
        <v>4</v>
      </c>
      <c r="B28" s="15"/>
      <c r="C28" s="15"/>
      <c r="D28" s="15"/>
      <c r="E28" s="16"/>
      <c r="F28" s="16"/>
      <c r="G28" s="16"/>
      <c r="H28" s="16"/>
      <c r="I28" s="16"/>
      <c r="J28" s="16"/>
      <c r="K28" s="67"/>
      <c r="L28" s="67"/>
      <c r="M28" s="43"/>
      <c r="N28" s="385"/>
      <c r="O28" s="5"/>
      <c r="P28" s="5"/>
      <c r="Q28" s="5"/>
      <c r="R28" s="5"/>
      <c r="S28" s="5"/>
      <c r="T28" s="5"/>
      <c r="U28" s="5"/>
      <c r="V28" s="5"/>
      <c r="W28" s="5"/>
      <c r="X28" s="5"/>
      <c r="Y28" s="5"/>
      <c r="Z28" s="5"/>
    </row>
    <row r="29" spans="1:26" ht="12.75" customHeight="1" x14ac:dyDescent="0.25">
      <c r="A29" s="146">
        <v>5</v>
      </c>
      <c r="B29" s="147"/>
      <c r="C29" s="147"/>
      <c r="D29" s="147"/>
      <c r="E29" s="139"/>
      <c r="F29" s="139"/>
      <c r="G29" s="139"/>
      <c r="H29" s="139"/>
      <c r="I29" s="139"/>
      <c r="J29" s="139"/>
      <c r="K29" s="148"/>
      <c r="L29" s="148"/>
      <c r="M29" s="43"/>
      <c r="N29" s="386"/>
      <c r="O29" s="5"/>
      <c r="P29" s="5"/>
      <c r="Q29" s="5"/>
      <c r="R29" s="5"/>
      <c r="S29" s="5"/>
      <c r="T29" s="5"/>
      <c r="U29" s="5"/>
      <c r="V29" s="5"/>
      <c r="W29" s="5"/>
      <c r="X29" s="5"/>
      <c r="Y29" s="5"/>
      <c r="Z29" s="5"/>
    </row>
    <row r="30" spans="1:26" ht="15" customHeight="1" x14ac:dyDescent="0.25">
      <c r="A30" s="5"/>
      <c r="B30" s="5"/>
      <c r="C30" s="5"/>
      <c r="D30" s="5"/>
      <c r="E30" s="149">
        <f t="shared" ref="E30:J30" si="0">COUNTA(E18:E23,E25:E29)</f>
        <v>0</v>
      </c>
      <c r="F30" s="149">
        <f t="shared" si="0"/>
        <v>3</v>
      </c>
      <c r="G30" s="149">
        <f t="shared" si="0"/>
        <v>0</v>
      </c>
      <c r="H30" s="149">
        <f t="shared" si="0"/>
        <v>0</v>
      </c>
      <c r="I30" s="149">
        <f t="shared" si="0"/>
        <v>0</v>
      </c>
      <c r="J30" s="149">
        <f t="shared" si="0"/>
        <v>0</v>
      </c>
      <c r="K30" s="5"/>
      <c r="L30" s="5"/>
      <c r="M30" s="150" t="s">
        <v>2347</v>
      </c>
      <c r="N30" s="70">
        <f>COUNTIF(M18:M23:M25:M29,[1]Legend!A13)</f>
        <v>0</v>
      </c>
      <c r="O30" s="5"/>
      <c r="P30" s="5"/>
      <c r="Q30" s="5"/>
      <c r="R30" s="5"/>
      <c r="S30" s="5"/>
      <c r="T30" s="5"/>
      <c r="U30" s="5"/>
      <c r="V30" s="5"/>
      <c r="W30" s="5"/>
      <c r="X30" s="5"/>
      <c r="Y30" s="5"/>
      <c r="Z30" s="5"/>
    </row>
    <row r="31" spans="1:26" ht="40.5" customHeight="1" x14ac:dyDescent="0.25">
      <c r="A31" s="5"/>
      <c r="B31" s="5"/>
      <c r="C31" s="5"/>
      <c r="D31" s="5"/>
      <c r="E31" s="5"/>
      <c r="F31" s="5"/>
      <c r="G31" s="5"/>
      <c r="H31" s="5"/>
      <c r="I31" s="5"/>
      <c r="J31" s="5"/>
      <c r="K31" s="5"/>
      <c r="L31" s="5"/>
      <c r="M31" s="151" t="s">
        <v>2348</v>
      </c>
      <c r="N31" s="70">
        <f>COUNTIF(M18:M24:M25:M29,[1]Legend!A14)</f>
        <v>0</v>
      </c>
      <c r="O31" s="5"/>
      <c r="P31" s="5"/>
      <c r="Q31" s="5"/>
      <c r="R31" s="5"/>
      <c r="S31" s="5"/>
      <c r="T31" s="5"/>
      <c r="U31" s="5"/>
      <c r="V31" s="5"/>
      <c r="W31" s="5"/>
      <c r="X31" s="5"/>
      <c r="Y31" s="5"/>
      <c r="Z31" s="5"/>
    </row>
    <row r="32" spans="1:26" ht="16.5" customHeight="1" x14ac:dyDescent="0.25">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2.75" customHeight="1" x14ac:dyDescent="0.25">
      <c r="A33" s="34"/>
      <c r="B33" s="5"/>
      <c r="C33" s="5"/>
      <c r="D33" s="5"/>
      <c r="E33" s="5"/>
      <c r="F33" s="5"/>
      <c r="G33" s="5"/>
      <c r="H33" s="5"/>
      <c r="I33" s="5"/>
      <c r="J33" s="5"/>
      <c r="K33" s="5"/>
      <c r="L33" s="5"/>
      <c r="M33" s="5"/>
      <c r="N33" s="5"/>
      <c r="O33" s="5"/>
      <c r="P33" s="5"/>
      <c r="Q33" s="5"/>
      <c r="R33" s="5"/>
      <c r="S33" s="5"/>
      <c r="T33" s="5"/>
      <c r="U33" s="5"/>
      <c r="V33" s="5"/>
      <c r="W33" s="5"/>
      <c r="X33" s="5"/>
      <c r="Y33" s="5"/>
      <c r="Z33" s="5"/>
    </row>
    <row r="34" spans="1:26" ht="12.75" customHeight="1" x14ac:dyDescent="0.25">
      <c r="A34" s="5"/>
      <c r="B34" s="5"/>
      <c r="C34" s="5"/>
      <c r="D34" s="398" t="s">
        <v>157</v>
      </c>
      <c r="E34" s="72" t="s">
        <v>2349</v>
      </c>
      <c r="F34" s="73"/>
      <c r="G34" s="73"/>
      <c r="H34" s="73"/>
      <c r="I34" s="74"/>
      <c r="J34" s="74"/>
      <c r="K34" s="75">
        <f>SUM(E30:H30)</f>
        <v>3</v>
      </c>
      <c r="L34" s="400">
        <f>K34/(K34+K35)</f>
        <v>1</v>
      </c>
      <c r="M34" s="5"/>
      <c r="N34" s="5"/>
      <c r="O34" s="5"/>
      <c r="P34" s="5"/>
      <c r="Q34" s="5"/>
      <c r="R34" s="5"/>
      <c r="S34" s="5"/>
      <c r="T34" s="5"/>
      <c r="U34" s="5"/>
      <c r="V34" s="5"/>
      <c r="W34" s="5"/>
      <c r="X34" s="5"/>
      <c r="Y34" s="5"/>
      <c r="Z34" s="5"/>
    </row>
    <row r="35" spans="1:26" ht="12.75" customHeight="1" x14ac:dyDescent="0.25">
      <c r="A35" s="5"/>
      <c r="B35" s="5"/>
      <c r="C35" s="5"/>
      <c r="D35" s="399"/>
      <c r="E35" s="76" t="s">
        <v>2350</v>
      </c>
      <c r="F35" s="76"/>
      <c r="G35" s="76"/>
      <c r="H35" s="76"/>
      <c r="I35" s="76"/>
      <c r="J35" s="76"/>
      <c r="K35" s="77">
        <v>0</v>
      </c>
      <c r="L35" s="401"/>
      <c r="M35" s="5"/>
      <c r="N35" s="5"/>
      <c r="O35" s="5"/>
      <c r="P35" s="5"/>
      <c r="Q35" s="5"/>
      <c r="R35" s="5"/>
      <c r="S35" s="5"/>
      <c r="T35" s="5"/>
      <c r="U35" s="5"/>
      <c r="V35" s="5"/>
      <c r="W35" s="5"/>
      <c r="X35" s="5"/>
      <c r="Y35" s="5"/>
      <c r="Z35" s="5"/>
    </row>
    <row r="36" spans="1:26" ht="12.75" customHeight="1" x14ac:dyDescent="0.25">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2.75" customHeight="1" x14ac:dyDescent="0.25">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2.75" customHeight="1" x14ac:dyDescent="0.25">
      <c r="A38" s="28" t="s">
        <v>56</v>
      </c>
      <c r="B38" s="29"/>
      <c r="C38" s="29"/>
      <c r="D38" s="5"/>
      <c r="E38" s="5"/>
      <c r="F38" s="5"/>
      <c r="G38" s="5"/>
      <c r="H38" s="5"/>
      <c r="I38" s="5"/>
      <c r="J38" s="5"/>
      <c r="K38" s="5"/>
      <c r="L38" s="5"/>
      <c r="M38" s="5"/>
      <c r="N38" s="5"/>
      <c r="O38" s="5"/>
      <c r="P38" s="5"/>
      <c r="Q38" s="5"/>
      <c r="R38" s="5"/>
      <c r="S38" s="5"/>
      <c r="T38" s="5"/>
      <c r="U38" s="5"/>
      <c r="V38" s="5"/>
      <c r="W38" s="5"/>
      <c r="X38" s="5"/>
      <c r="Y38" s="5"/>
      <c r="Z38" s="5"/>
    </row>
    <row r="39" spans="1:26" ht="12.75" customHeight="1" x14ac:dyDescent="0.25">
      <c r="A39" s="28"/>
      <c r="B39" s="29"/>
      <c r="C39" s="29"/>
      <c r="D39" s="5"/>
      <c r="E39" s="5"/>
      <c r="F39" s="5"/>
      <c r="G39" s="5"/>
      <c r="H39" s="5"/>
      <c r="I39" s="5"/>
      <c r="J39" s="5"/>
      <c r="K39" s="5"/>
      <c r="L39" s="5"/>
      <c r="M39" s="5"/>
      <c r="N39" s="5"/>
      <c r="O39" s="5"/>
      <c r="P39" s="5"/>
      <c r="Q39" s="5"/>
      <c r="R39" s="5"/>
      <c r="S39" s="5"/>
      <c r="T39" s="5"/>
      <c r="U39" s="5"/>
      <c r="V39" s="5"/>
      <c r="W39" s="5"/>
      <c r="X39" s="5"/>
      <c r="Y39" s="5"/>
      <c r="Z39" s="5"/>
    </row>
    <row r="40" spans="1:26" ht="12.75" customHeight="1" x14ac:dyDescent="0.25">
      <c r="A40" s="29"/>
      <c r="B40" s="152" t="s">
        <v>160</v>
      </c>
      <c r="C40" s="29"/>
      <c r="D40" s="78" t="s">
        <v>161</v>
      </c>
      <c r="E40" s="5"/>
      <c r="F40" s="5"/>
      <c r="G40" s="5"/>
      <c r="H40" s="5"/>
      <c r="I40" s="5"/>
      <c r="J40" s="5"/>
      <c r="K40" s="5"/>
      <c r="L40" s="5"/>
      <c r="M40" s="5"/>
      <c r="N40" s="5"/>
      <c r="O40" s="5"/>
      <c r="P40" s="5"/>
      <c r="Q40" s="5"/>
      <c r="R40" s="5"/>
      <c r="S40" s="5"/>
      <c r="T40" s="5"/>
      <c r="U40" s="5"/>
      <c r="V40" s="5"/>
      <c r="W40" s="5"/>
      <c r="X40" s="5"/>
      <c r="Y40" s="5"/>
      <c r="Z40" s="5"/>
    </row>
    <row r="41" spans="1:26" ht="12.75" customHeight="1" x14ac:dyDescent="0.25">
      <c r="A41" s="372" t="s">
        <v>58</v>
      </c>
      <c r="B41" s="373"/>
      <c r="C41" s="32"/>
      <c r="D41" s="32" t="s">
        <v>59</v>
      </c>
      <c r="E41" s="5"/>
      <c r="F41" s="5"/>
      <c r="G41" s="5"/>
      <c r="H41" s="5"/>
      <c r="I41" s="5"/>
      <c r="J41" s="5"/>
      <c r="K41" s="5"/>
      <c r="L41" s="5"/>
      <c r="M41" s="5"/>
      <c r="N41" s="5"/>
      <c r="O41" s="5"/>
      <c r="P41" s="5"/>
      <c r="Q41" s="5"/>
      <c r="R41" s="5"/>
      <c r="S41" s="5"/>
      <c r="T41" s="5"/>
      <c r="U41" s="5"/>
      <c r="V41" s="5"/>
      <c r="W41" s="5"/>
      <c r="X41" s="5"/>
      <c r="Y41" s="5"/>
      <c r="Z41" s="5"/>
    </row>
    <row r="42" spans="1:26" ht="12.75" customHeight="1" x14ac:dyDescent="0.25">
      <c r="A42" s="5"/>
      <c r="B42" s="5"/>
      <c r="C42" s="5"/>
      <c r="D42" s="5"/>
      <c r="E42" s="34"/>
      <c r="F42" s="34"/>
      <c r="G42" s="34"/>
      <c r="H42" s="34"/>
      <c r="I42" s="34"/>
      <c r="J42" s="34"/>
      <c r="K42" s="34"/>
      <c r="L42" s="34"/>
      <c r="M42" s="34"/>
      <c r="N42" s="5"/>
      <c r="O42" s="5"/>
      <c r="P42" s="5"/>
      <c r="Q42" s="5"/>
      <c r="R42" s="5"/>
      <c r="S42" s="5"/>
      <c r="T42" s="5"/>
      <c r="U42" s="5"/>
      <c r="V42" s="5"/>
      <c r="W42" s="5"/>
      <c r="X42" s="5"/>
      <c r="Y42" s="5"/>
      <c r="Z42" s="5"/>
    </row>
    <row r="43" spans="1:26" ht="12.75" customHeight="1" x14ac:dyDescent="0.25">
      <c r="A43" s="33" t="s">
        <v>60</v>
      </c>
      <c r="B43" s="5"/>
      <c r="C43" s="5"/>
      <c r="D43" s="5"/>
      <c r="E43" s="5"/>
      <c r="F43" s="5"/>
      <c r="G43" s="5"/>
      <c r="H43" s="5"/>
      <c r="I43" s="5"/>
      <c r="J43" s="5"/>
      <c r="K43" s="5"/>
      <c r="L43" s="5"/>
      <c r="M43" s="5"/>
      <c r="N43" s="5"/>
      <c r="O43" s="5"/>
      <c r="P43" s="5"/>
      <c r="Q43" s="5"/>
      <c r="R43" s="5"/>
      <c r="S43" s="5"/>
      <c r="T43" s="5"/>
      <c r="U43" s="5"/>
      <c r="V43" s="5"/>
      <c r="W43" s="5"/>
      <c r="X43" s="5"/>
      <c r="Y43" s="5"/>
      <c r="Z43" s="5"/>
    </row>
    <row r="44" spans="1:26" ht="12.75" customHeight="1" x14ac:dyDescent="0.25">
      <c r="A44" s="33"/>
      <c r="B44" s="5"/>
      <c r="C44" s="5"/>
      <c r="D44" s="5"/>
      <c r="E44" s="5"/>
      <c r="F44" s="5"/>
      <c r="G44" s="5"/>
      <c r="H44" s="5"/>
      <c r="I44" s="5"/>
      <c r="J44" s="5"/>
      <c r="K44" s="5"/>
      <c r="L44" s="5"/>
      <c r="M44" s="5"/>
      <c r="N44" s="5"/>
      <c r="O44" s="5"/>
      <c r="P44" s="5"/>
      <c r="Q44" s="5"/>
      <c r="R44" s="5"/>
      <c r="S44" s="5"/>
      <c r="T44" s="5"/>
      <c r="U44" s="5"/>
      <c r="V44" s="5"/>
      <c r="W44" s="5"/>
      <c r="X44" s="5"/>
      <c r="Y44" s="5"/>
      <c r="Z44" s="5"/>
    </row>
    <row r="45" spans="1:26" ht="12.75" customHeight="1" x14ac:dyDescent="0.25">
      <c r="A45" s="29"/>
      <c r="B45" s="153" t="s">
        <v>162</v>
      </c>
      <c r="C45" s="29"/>
      <c r="D45" s="78" t="s">
        <v>163</v>
      </c>
      <c r="E45" s="34"/>
      <c r="F45" s="34"/>
      <c r="G45" s="34"/>
      <c r="H45" s="34"/>
      <c r="I45" s="34"/>
      <c r="J45" s="34"/>
      <c r="K45" s="34"/>
      <c r="L45" s="34"/>
      <c r="M45" s="34"/>
      <c r="N45" s="5"/>
      <c r="O45" s="5"/>
      <c r="P45" s="5"/>
      <c r="Q45" s="5"/>
      <c r="R45" s="5"/>
      <c r="S45" s="5"/>
      <c r="T45" s="5"/>
      <c r="U45" s="5"/>
      <c r="V45" s="5"/>
      <c r="W45" s="5"/>
      <c r="X45" s="5"/>
      <c r="Y45" s="5"/>
      <c r="Z45" s="5"/>
    </row>
    <row r="46" spans="1:26" ht="12.75" customHeight="1" x14ac:dyDescent="0.25">
      <c r="A46" s="372" t="s">
        <v>58</v>
      </c>
      <c r="B46" s="373"/>
      <c r="C46" s="32"/>
      <c r="D46" s="32" t="s">
        <v>59</v>
      </c>
      <c r="E46" s="5"/>
      <c r="F46" s="5"/>
      <c r="G46" s="5"/>
      <c r="H46" s="5"/>
      <c r="I46" s="5"/>
      <c r="J46" s="5"/>
      <c r="K46" s="5"/>
      <c r="L46" s="5"/>
      <c r="M46" s="5"/>
      <c r="N46" s="5"/>
      <c r="O46" s="5"/>
      <c r="P46" s="5"/>
      <c r="Q46" s="5"/>
      <c r="R46" s="5"/>
      <c r="S46" s="5"/>
      <c r="T46" s="5"/>
      <c r="U46" s="5"/>
      <c r="V46" s="5"/>
      <c r="W46" s="5"/>
      <c r="X46" s="5"/>
      <c r="Y46" s="5"/>
      <c r="Z46" s="5"/>
    </row>
    <row r="47" spans="1:26" ht="12.75" customHeight="1" x14ac:dyDescent="0.25">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2.75" customHeight="1" x14ac:dyDescent="0.25">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2.75" customHeight="1" x14ac:dyDescent="0.25">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2.75" customHeight="1" x14ac:dyDescent="0.25">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2.75" customHeight="1" x14ac:dyDescent="0.25">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2.75" customHeight="1" x14ac:dyDescent="0.25">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2.75" customHeight="1" x14ac:dyDescent="0.25">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2.75" customHeight="1" x14ac:dyDescent="0.25">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2.75" customHeight="1" x14ac:dyDescent="0.25">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2.75" customHeight="1" x14ac:dyDescent="0.25">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2.75" customHeight="1" x14ac:dyDescent="0.25">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2.75" customHeight="1" x14ac:dyDescent="0.25">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2.75" customHeight="1" x14ac:dyDescent="0.25">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2.75" customHeight="1" x14ac:dyDescent="0.25">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2.75" customHeight="1" x14ac:dyDescent="0.25">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2.75" customHeight="1" x14ac:dyDescent="0.25">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2.75" customHeight="1" x14ac:dyDescent="0.25">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2.75" customHeight="1" x14ac:dyDescent="0.25">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2.75" customHeight="1" x14ac:dyDescent="0.25">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2.75" customHeight="1" x14ac:dyDescent="0.25">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2.75" customHeight="1" x14ac:dyDescent="0.25">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2.75" customHeight="1" x14ac:dyDescent="0.25">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2.75" customHeight="1" x14ac:dyDescent="0.25">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2.75" customHeight="1" x14ac:dyDescent="0.25">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2.75" customHeight="1" x14ac:dyDescent="0.25">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2.75" customHeight="1" x14ac:dyDescent="0.25">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2.75" customHeight="1" x14ac:dyDescent="0.25">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2.75" customHeight="1" x14ac:dyDescent="0.25">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2.75" customHeight="1" x14ac:dyDescent="0.25">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2.75" customHeight="1" x14ac:dyDescent="0.25">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2.75" customHeight="1" x14ac:dyDescent="0.25">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2.75" customHeight="1" x14ac:dyDescent="0.25">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2.75" customHeight="1" x14ac:dyDescent="0.25">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2.75" customHeight="1" x14ac:dyDescent="0.25">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2.75" customHeight="1" x14ac:dyDescent="0.25">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2.75" customHeight="1" x14ac:dyDescent="0.25">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2.75" customHeight="1" x14ac:dyDescent="0.25">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2.75" customHeight="1" x14ac:dyDescent="0.25">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2.75" customHeight="1" x14ac:dyDescent="0.25">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2.75" customHeight="1" x14ac:dyDescent="0.25">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2.75" customHeight="1" x14ac:dyDescent="0.25">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2.75" customHeight="1" x14ac:dyDescent="0.25">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75" customHeight="1" x14ac:dyDescent="0.25">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75" customHeight="1" x14ac:dyDescent="0.25">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75" customHeight="1" x14ac:dyDescent="0.2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75" customHeight="1" x14ac:dyDescent="0.25">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75" customHeight="1" x14ac:dyDescent="0.25">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75" customHeight="1" x14ac:dyDescent="0.25">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75" customHeight="1" x14ac:dyDescent="0.25">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75" customHeight="1" x14ac:dyDescent="0.25">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75" customHeight="1" x14ac:dyDescent="0.2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75" customHeight="1" x14ac:dyDescent="0.2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75" customHeight="1" x14ac:dyDescent="0.2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75" customHeight="1"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customHeight="1"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customHeight="1"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customHeight="1"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customHeight="1"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customHeight="1"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customHeight="1"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customHeight="1"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customHeight="1"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customHeight="1"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customHeight="1"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customHeight="1"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customHeight="1"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customHeight="1"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customHeight="1"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customHeight="1"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customHeight="1"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customHeight="1"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customHeight="1"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customHeight="1"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customHeight="1"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75" customHeight="1"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75" customHeight="1"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75" customHeight="1"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75" customHeight="1"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75" customHeight="1"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75" customHeight="1"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customHeight="1"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customHeight="1"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customHeight="1"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customHeight="1"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customHeight="1"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customHeight="1"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customHeight="1"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customHeight="1"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customHeight="1"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customHeight="1"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customHeight="1"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customHeight="1"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customHeight="1"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customHeight="1"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customHeight="1"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customHeight="1"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customHeight="1"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customHeight="1"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customHeight="1"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customHeight="1"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customHeight="1"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customHeight="1"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customHeight="1"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customHeight="1"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customHeight="1"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customHeight="1"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customHeight="1"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customHeight="1"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customHeight="1"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customHeight="1"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customHeight="1"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customHeight="1"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customHeight="1"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customHeight="1"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customHeight="1"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customHeight="1"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customHeight="1"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customHeight="1"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customHeight="1"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customHeight="1"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customHeight="1"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customHeight="1"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customHeight="1"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customHeight="1"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customHeight="1"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customHeight="1"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customHeight="1"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customHeight="1"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customHeight="1"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customHeight="1"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customHeight="1"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customHeight="1"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customHeight="1"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customHeight="1"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customHeight="1"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customHeight="1"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customHeight="1"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customHeight="1"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customHeight="1"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customHeight="1"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customHeight="1"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customHeight="1"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customHeight="1"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customHeight="1"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customHeight="1"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customHeight="1"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customHeight="1"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customHeight="1"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customHeight="1"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customHeight="1"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customHeight="1"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customHeight="1"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customHeight="1"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customHeight="1"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customHeight="1"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customHeight="1"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customHeight="1"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customHeight="1"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customHeight="1"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customHeight="1"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customHeight="1"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customHeight="1"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customHeight="1"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customHeight="1"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customHeight="1"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customHeight="1"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customHeight="1"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customHeight="1"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customHeight="1"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customHeight="1"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customHeight="1"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customHeight="1"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customHeight="1"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customHeight="1"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customHeight="1"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customHeight="1"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customHeight="1"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customHeight="1"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customHeight="1"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customHeight="1"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customHeight="1"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customHeight="1"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customHeight="1"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customHeight="1"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customHeight="1"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customHeight="1"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customHeight="1"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customHeight="1"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customHeight="1"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customHeight="1"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customHeight="1"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customHeight="1"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customHeight="1"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customHeight="1"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customHeight="1"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customHeight="1"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75" customHeight="1" x14ac:dyDescent="0.25"/>
    <row r="244" spans="1:26" ht="15.75" customHeight="1" x14ac:dyDescent="0.25"/>
    <row r="245" spans="1:26" ht="15.75" customHeight="1" x14ac:dyDescent="0.25"/>
    <row r="246" spans="1:26" ht="15.75" customHeight="1" x14ac:dyDescent="0.25"/>
    <row r="247" spans="1:26" ht="15.75" customHeight="1" x14ac:dyDescent="0.25"/>
    <row r="248" spans="1:26" ht="15.75" customHeight="1" x14ac:dyDescent="0.25"/>
    <row r="249" spans="1:26" ht="15.75" customHeight="1" x14ac:dyDescent="0.25"/>
    <row r="250" spans="1:26" ht="15.75" customHeight="1" x14ac:dyDescent="0.25"/>
    <row r="251" spans="1:26" ht="15.75" customHeight="1" x14ac:dyDescent="0.25"/>
    <row r="252" spans="1:26" ht="15.75" customHeight="1" x14ac:dyDescent="0.25"/>
    <row r="253" spans="1:26" ht="15.75" customHeight="1" x14ac:dyDescent="0.25"/>
    <row r="254" spans="1:26" ht="15.75" customHeight="1" x14ac:dyDescent="0.25"/>
    <row r="255" spans="1:26" ht="15.75" customHeight="1" x14ac:dyDescent="0.25"/>
    <row r="256" spans="1:2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8">
    <mergeCell ref="A46:B46"/>
    <mergeCell ref="K14:L14"/>
    <mergeCell ref="N14:N16"/>
    <mergeCell ref="K15:K16"/>
    <mergeCell ref="L15:L16"/>
    <mergeCell ref="M15:M16"/>
    <mergeCell ref="N17:N29"/>
    <mergeCell ref="L34:L35"/>
    <mergeCell ref="A14:B16"/>
    <mergeCell ref="E14:J14"/>
    <mergeCell ref="A17:M17"/>
    <mergeCell ref="D34:D35"/>
    <mergeCell ref="A41:B41"/>
    <mergeCell ref="B8:C8"/>
    <mergeCell ref="A13:B13"/>
    <mergeCell ref="C13:D13"/>
    <mergeCell ref="E13:J13"/>
    <mergeCell ref="K13:L13"/>
  </mergeCells>
  <pageMargins left="0.69930555555555596" right="0.41944444444444401" top="0.75" bottom="0.75" header="0" footer="0"/>
  <pageSetup paperSize="14" fitToHeight="0" pageOrder="overThenDown"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Z1000"/>
  <sheetViews>
    <sheetView topLeftCell="A4" workbookViewId="0"/>
  </sheetViews>
  <sheetFormatPr defaultColWidth="12.59765625" defaultRowHeight="15" customHeight="1" x14ac:dyDescent="0.25"/>
  <cols>
    <col min="1" max="1" width="2.69921875" customWidth="1"/>
    <col min="2" max="2" width="25.69921875" customWidth="1"/>
    <col min="3" max="3" width="28.5" customWidth="1"/>
    <col min="4" max="4" width="25.5" customWidth="1"/>
    <col min="5" max="5" width="29.69921875" customWidth="1"/>
    <col min="6" max="6" width="27.69921875" customWidth="1"/>
    <col min="7" max="25" width="8.59765625" customWidth="1"/>
  </cols>
  <sheetData>
    <row r="1" spans="1:26" ht="14.25" customHeight="1" x14ac:dyDescent="0.25">
      <c r="A1" s="1" t="s">
        <v>2315</v>
      </c>
      <c r="B1" s="29"/>
      <c r="C1" s="29"/>
      <c r="D1" s="29"/>
      <c r="E1" s="29"/>
      <c r="F1" s="29"/>
      <c r="G1" s="29"/>
      <c r="H1" s="29"/>
      <c r="I1" s="29"/>
      <c r="J1" s="29"/>
      <c r="K1" s="29"/>
      <c r="L1" s="29"/>
      <c r="M1" s="29"/>
      <c r="N1" s="29"/>
      <c r="O1" s="29"/>
      <c r="P1" s="29"/>
      <c r="Q1" s="29"/>
      <c r="R1" s="29"/>
      <c r="S1" s="29"/>
      <c r="T1" s="29"/>
      <c r="U1" s="29"/>
      <c r="V1" s="29"/>
      <c r="W1" s="29"/>
      <c r="X1" s="29"/>
      <c r="Y1" s="29"/>
    </row>
    <row r="2" spans="1:26" ht="14.25" customHeight="1" x14ac:dyDescent="0.25">
      <c r="A2" s="1" t="s">
        <v>2351</v>
      </c>
      <c r="B2" s="29"/>
      <c r="C2" s="29"/>
      <c r="D2" s="29"/>
      <c r="E2" s="29"/>
      <c r="F2" s="29"/>
      <c r="G2" s="29"/>
      <c r="H2" s="29"/>
      <c r="I2" s="29"/>
      <c r="J2" s="29"/>
      <c r="K2" s="29"/>
      <c r="L2" s="29"/>
      <c r="M2" s="29"/>
      <c r="N2" s="29"/>
      <c r="O2" s="29"/>
      <c r="P2" s="29"/>
      <c r="Q2" s="29"/>
      <c r="R2" s="29"/>
      <c r="S2" s="29"/>
      <c r="T2" s="29"/>
      <c r="U2" s="29"/>
      <c r="V2" s="29"/>
      <c r="W2" s="29"/>
      <c r="X2" s="29"/>
      <c r="Y2" s="29"/>
    </row>
    <row r="3" spans="1:26" ht="14.25" customHeight="1" x14ac:dyDescent="0.25">
      <c r="A3" s="29"/>
      <c r="B3" s="29"/>
      <c r="C3" s="29"/>
      <c r="D3" s="29"/>
      <c r="E3" s="29"/>
      <c r="F3" s="29"/>
      <c r="G3" s="29"/>
      <c r="H3" s="29"/>
      <c r="I3" s="29"/>
      <c r="J3" s="29"/>
      <c r="K3" s="29"/>
      <c r="L3" s="29"/>
      <c r="M3" s="29"/>
      <c r="N3" s="29"/>
      <c r="O3" s="29"/>
      <c r="P3" s="29"/>
      <c r="Q3" s="29"/>
      <c r="R3" s="29"/>
      <c r="S3" s="29"/>
      <c r="T3" s="29"/>
      <c r="U3" s="29"/>
      <c r="V3" s="29"/>
      <c r="W3" s="29"/>
      <c r="X3" s="29"/>
      <c r="Y3" s="29"/>
    </row>
    <row r="4" spans="1:26" ht="14.25" customHeight="1" x14ac:dyDescent="0.25">
      <c r="B4" s="154" t="s">
        <v>2352</v>
      </c>
      <c r="C4" s="154"/>
      <c r="D4" s="154"/>
      <c r="E4" s="29"/>
      <c r="F4" s="29"/>
      <c r="G4" s="29"/>
      <c r="H4" s="29"/>
      <c r="I4" s="29"/>
      <c r="J4" s="29"/>
      <c r="K4" s="29"/>
      <c r="L4" s="29"/>
      <c r="M4" s="29"/>
      <c r="N4" s="29"/>
      <c r="O4" s="29"/>
      <c r="P4" s="29"/>
      <c r="Q4" s="29"/>
      <c r="R4" s="29"/>
      <c r="S4" s="29"/>
      <c r="T4" s="29"/>
      <c r="U4" s="29"/>
      <c r="V4" s="29"/>
      <c r="W4" s="29"/>
      <c r="X4" s="29"/>
      <c r="Y4" s="29"/>
    </row>
    <row r="5" spans="1:26" ht="14.25" customHeight="1" x14ac:dyDescent="0.25">
      <c r="A5" s="29"/>
      <c r="B5" s="155" t="s">
        <v>2353</v>
      </c>
      <c r="C5" s="156"/>
      <c r="D5" s="156"/>
      <c r="E5" s="157"/>
      <c r="F5" s="157"/>
      <c r="G5" s="29"/>
      <c r="H5" s="29"/>
      <c r="I5" s="29"/>
      <c r="J5" s="29"/>
      <c r="K5" s="29"/>
      <c r="L5" s="29"/>
      <c r="M5" s="29"/>
      <c r="N5" s="29"/>
      <c r="O5" s="29"/>
      <c r="P5" s="29"/>
      <c r="Q5" s="29"/>
      <c r="R5" s="29"/>
      <c r="S5" s="29"/>
      <c r="T5" s="29"/>
      <c r="U5" s="29"/>
      <c r="V5" s="29"/>
      <c r="W5" s="29"/>
      <c r="X5" s="29"/>
      <c r="Y5" s="29"/>
    </row>
    <row r="6" spans="1:26" ht="14.25" customHeight="1" x14ac:dyDescent="0.25">
      <c r="A6" s="29"/>
      <c r="B6" s="29"/>
      <c r="C6" s="29"/>
      <c r="D6" s="29"/>
      <c r="E6" s="29"/>
      <c r="F6" s="29"/>
      <c r="G6" s="29"/>
      <c r="H6" s="29"/>
      <c r="I6" s="29"/>
      <c r="J6" s="29"/>
      <c r="K6" s="29"/>
      <c r="L6" s="29"/>
      <c r="M6" s="29"/>
      <c r="N6" s="29"/>
      <c r="O6" s="29"/>
      <c r="P6" s="29"/>
      <c r="Q6" s="29"/>
      <c r="R6" s="29"/>
      <c r="S6" s="29"/>
      <c r="T6" s="29"/>
      <c r="U6" s="29"/>
      <c r="V6" s="29"/>
      <c r="W6" s="29"/>
      <c r="X6" s="29"/>
      <c r="Y6" s="29"/>
    </row>
    <row r="7" spans="1:26" ht="14.25" customHeight="1" x14ac:dyDescent="0.25">
      <c r="A7" s="29"/>
      <c r="B7" s="154" t="s">
        <v>7</v>
      </c>
      <c r="C7" s="154" t="s">
        <v>2354</v>
      </c>
      <c r="D7" s="29"/>
      <c r="E7" s="29"/>
      <c r="F7" s="29"/>
      <c r="G7" s="29"/>
      <c r="H7" s="29"/>
      <c r="I7" s="29"/>
      <c r="J7" s="29"/>
      <c r="K7" s="29"/>
      <c r="L7" s="29"/>
      <c r="M7" s="29"/>
      <c r="N7" s="29"/>
      <c r="O7" s="29"/>
      <c r="P7" s="29"/>
      <c r="Q7" s="29"/>
      <c r="R7" s="29"/>
      <c r="S7" s="29"/>
      <c r="T7" s="29"/>
      <c r="U7" s="29"/>
      <c r="V7" s="29"/>
      <c r="W7" s="29"/>
      <c r="X7" s="29"/>
      <c r="Y7" s="29"/>
      <c r="Z7" s="4"/>
    </row>
    <row r="8" spans="1:26" ht="14.25" customHeight="1" x14ac:dyDescent="0.25">
      <c r="A8" s="29"/>
      <c r="B8" s="29"/>
      <c r="C8" s="154" t="s">
        <v>2355</v>
      </c>
      <c r="D8" s="29"/>
      <c r="E8" s="29"/>
      <c r="F8" s="29"/>
      <c r="G8" s="29"/>
      <c r="H8" s="29"/>
      <c r="I8" s="29"/>
      <c r="J8" s="29"/>
      <c r="K8" s="29"/>
      <c r="L8" s="29"/>
      <c r="M8" s="29"/>
      <c r="N8" s="29"/>
      <c r="O8" s="29"/>
      <c r="P8" s="29"/>
      <c r="Q8" s="29"/>
      <c r="R8" s="29"/>
      <c r="S8" s="29"/>
      <c r="T8" s="29"/>
      <c r="U8" s="29"/>
      <c r="V8" s="29"/>
      <c r="W8" s="29"/>
      <c r="X8" s="29"/>
      <c r="Y8" s="29"/>
    </row>
    <row r="9" spans="1:26" ht="14.25" customHeight="1" x14ac:dyDescent="0.25">
      <c r="A9" s="29"/>
      <c r="B9" s="29"/>
      <c r="C9" s="154" t="s">
        <v>2356</v>
      </c>
      <c r="D9" s="29"/>
      <c r="E9" s="29"/>
      <c r="F9" s="29"/>
      <c r="G9" s="29"/>
      <c r="H9" s="29"/>
      <c r="I9" s="29"/>
      <c r="J9" s="29"/>
      <c r="K9" s="29"/>
      <c r="L9" s="29"/>
      <c r="M9" s="29"/>
      <c r="N9" s="29"/>
      <c r="O9" s="29"/>
      <c r="P9" s="29"/>
      <c r="Q9" s="29"/>
      <c r="R9" s="29"/>
      <c r="S9" s="29"/>
      <c r="T9" s="29"/>
      <c r="U9" s="29"/>
      <c r="V9" s="29"/>
      <c r="W9" s="29"/>
      <c r="X9" s="29"/>
      <c r="Y9" s="29"/>
      <c r="Z9" s="4"/>
    </row>
    <row r="10" spans="1:26" ht="14.25" customHeight="1" x14ac:dyDescent="0.25">
      <c r="A10" s="29"/>
      <c r="B10" s="29"/>
      <c r="C10" s="29"/>
      <c r="D10" s="29"/>
      <c r="E10" s="29"/>
      <c r="F10" s="29"/>
      <c r="G10" s="29"/>
      <c r="H10" s="29"/>
      <c r="I10" s="29"/>
      <c r="J10" s="29"/>
      <c r="K10" s="29"/>
      <c r="L10" s="29"/>
      <c r="M10" s="29"/>
      <c r="N10" s="29"/>
      <c r="O10" s="29"/>
      <c r="P10" s="29"/>
      <c r="Q10" s="29"/>
      <c r="R10" s="29"/>
      <c r="S10" s="29"/>
      <c r="T10" s="29"/>
      <c r="U10" s="29"/>
      <c r="V10" s="29"/>
      <c r="W10" s="29"/>
      <c r="X10" s="29"/>
      <c r="Y10" s="29"/>
      <c r="Z10" s="4"/>
    </row>
    <row r="11" spans="1:26" ht="12" customHeight="1" x14ac:dyDescent="0.25">
      <c r="A11" s="33"/>
      <c r="B11" s="10">
        <v>1</v>
      </c>
      <c r="C11" s="10">
        <v>2</v>
      </c>
      <c r="D11" s="10">
        <v>3</v>
      </c>
      <c r="E11" s="10">
        <v>4</v>
      </c>
      <c r="F11" s="10">
        <v>5</v>
      </c>
      <c r="G11" s="33"/>
      <c r="H11" s="33"/>
      <c r="I11" s="33"/>
      <c r="J11" s="33"/>
      <c r="K11" s="33"/>
      <c r="L11" s="33"/>
      <c r="M11" s="33"/>
      <c r="N11" s="33"/>
      <c r="O11" s="33"/>
      <c r="P11" s="33"/>
      <c r="Q11" s="33"/>
      <c r="R11" s="33"/>
      <c r="S11" s="33"/>
      <c r="T11" s="33"/>
      <c r="U11" s="33"/>
      <c r="V11" s="33"/>
      <c r="W11" s="33"/>
      <c r="X11" s="33"/>
      <c r="Y11" s="33"/>
      <c r="Z11" s="33"/>
    </row>
    <row r="12" spans="1:26" ht="16.5" customHeight="1" x14ac:dyDescent="0.25">
      <c r="A12" s="33"/>
      <c r="B12" s="433" t="s">
        <v>2357</v>
      </c>
      <c r="C12" s="158" t="s">
        <v>2358</v>
      </c>
      <c r="D12" s="158" t="s">
        <v>2359</v>
      </c>
      <c r="E12" s="158" t="s">
        <v>2360</v>
      </c>
      <c r="F12" s="158" t="s">
        <v>2361</v>
      </c>
      <c r="G12" s="33"/>
      <c r="H12" s="33"/>
      <c r="I12" s="33"/>
      <c r="J12" s="33"/>
      <c r="K12" s="33"/>
      <c r="L12" s="33"/>
      <c r="M12" s="33"/>
      <c r="N12" s="33"/>
      <c r="O12" s="33"/>
      <c r="P12" s="33"/>
      <c r="Q12" s="33"/>
      <c r="R12" s="33"/>
      <c r="S12" s="33"/>
      <c r="T12" s="33"/>
      <c r="U12" s="33"/>
      <c r="V12" s="33"/>
      <c r="W12" s="33"/>
      <c r="X12" s="33"/>
      <c r="Y12" s="33"/>
      <c r="Z12" s="33"/>
    </row>
    <row r="13" spans="1:26" ht="49.5" customHeight="1" x14ac:dyDescent="0.25">
      <c r="A13" s="33"/>
      <c r="B13" s="368"/>
      <c r="C13" s="159" t="s">
        <v>2362</v>
      </c>
      <c r="D13" s="159" t="s">
        <v>2363</v>
      </c>
      <c r="E13" s="159" t="s">
        <v>2364</v>
      </c>
      <c r="F13" s="159" t="s">
        <v>2365</v>
      </c>
      <c r="G13" s="33"/>
      <c r="H13" s="33"/>
      <c r="I13" s="33"/>
      <c r="J13" s="33"/>
      <c r="K13" s="33"/>
      <c r="L13" s="33"/>
      <c r="M13" s="33"/>
      <c r="N13" s="33"/>
      <c r="O13" s="33"/>
      <c r="P13" s="33"/>
      <c r="Q13" s="33"/>
      <c r="R13" s="33"/>
      <c r="S13" s="33"/>
      <c r="T13" s="33"/>
      <c r="U13" s="33"/>
      <c r="V13" s="33"/>
      <c r="W13" s="33"/>
      <c r="X13" s="33"/>
      <c r="Y13" s="33"/>
      <c r="Z13" s="33"/>
    </row>
    <row r="14" spans="1:26" ht="52.5" customHeight="1" x14ac:dyDescent="0.25">
      <c r="A14" s="33"/>
      <c r="B14" s="20">
        <v>23</v>
      </c>
      <c r="C14" s="20">
        <v>3</v>
      </c>
      <c r="D14" s="20">
        <v>7</v>
      </c>
      <c r="E14" s="20">
        <v>2</v>
      </c>
      <c r="F14" s="20">
        <v>2</v>
      </c>
      <c r="G14" s="33"/>
      <c r="H14" s="33"/>
      <c r="I14" s="33"/>
      <c r="J14" s="33"/>
      <c r="K14" s="33"/>
      <c r="L14" s="33"/>
      <c r="M14" s="33"/>
      <c r="N14" s="33"/>
      <c r="O14" s="33"/>
      <c r="P14" s="33"/>
      <c r="Q14" s="33"/>
      <c r="R14" s="33"/>
      <c r="S14" s="33"/>
      <c r="T14" s="33"/>
      <c r="U14" s="33"/>
      <c r="V14" s="33"/>
      <c r="W14" s="33"/>
      <c r="X14" s="33"/>
      <c r="Y14" s="33"/>
      <c r="Z14" s="33"/>
    </row>
    <row r="15" spans="1:26" ht="27.75" customHeight="1" x14ac:dyDescent="0.25">
      <c r="A15" s="33"/>
      <c r="B15" s="160" t="s">
        <v>2366</v>
      </c>
      <c r="C15" s="161">
        <f>C14/B14</f>
        <v>0.13043478260869565</v>
      </c>
      <c r="D15" s="161">
        <f>D14/B14</f>
        <v>0.30434782608695654</v>
      </c>
      <c r="E15" s="161">
        <f>E14/B14</f>
        <v>8.6956521739130432E-2</v>
      </c>
      <c r="F15" s="161">
        <f>F14/B14</f>
        <v>8.6956521739130432E-2</v>
      </c>
      <c r="G15" s="33"/>
      <c r="H15" s="33"/>
      <c r="I15" s="33"/>
      <c r="J15" s="33"/>
      <c r="K15" s="33"/>
      <c r="L15" s="33"/>
      <c r="M15" s="33"/>
      <c r="N15" s="33"/>
      <c r="O15" s="33"/>
      <c r="P15" s="33"/>
      <c r="Q15" s="33"/>
      <c r="R15" s="33"/>
      <c r="S15" s="33"/>
      <c r="T15" s="33"/>
      <c r="U15" s="33"/>
      <c r="V15" s="33"/>
      <c r="W15" s="33"/>
      <c r="X15" s="33"/>
      <c r="Y15" s="33"/>
      <c r="Z15" s="33"/>
    </row>
    <row r="16" spans="1:26" ht="23.25" customHeight="1" x14ac:dyDescent="0.25">
      <c r="A16" s="33"/>
      <c r="B16" s="33"/>
      <c r="C16" s="162"/>
      <c r="D16" s="163"/>
      <c r="E16" s="163"/>
      <c r="F16" s="163"/>
      <c r="G16" s="33"/>
      <c r="H16" s="33"/>
      <c r="I16" s="33"/>
      <c r="J16" s="33"/>
      <c r="K16" s="33"/>
      <c r="L16" s="33"/>
      <c r="M16" s="33"/>
      <c r="N16" s="33"/>
      <c r="O16" s="33"/>
      <c r="P16" s="33"/>
      <c r="Q16" s="33"/>
      <c r="R16" s="33"/>
      <c r="S16" s="33"/>
      <c r="T16" s="33"/>
      <c r="U16" s="33"/>
      <c r="V16" s="33"/>
      <c r="W16" s="33"/>
      <c r="X16" s="33"/>
      <c r="Y16" s="33"/>
      <c r="Z16" s="33"/>
    </row>
    <row r="17" spans="1:26" ht="14.25" customHeight="1" x14ac:dyDescent="0.25">
      <c r="A17" s="33" t="s">
        <v>2367</v>
      </c>
      <c r="B17" s="33"/>
      <c r="C17" s="33"/>
      <c r="D17" s="33"/>
      <c r="E17" s="33"/>
      <c r="F17" s="33"/>
      <c r="G17" s="33"/>
      <c r="H17" s="33"/>
      <c r="I17" s="33"/>
      <c r="J17" s="33"/>
      <c r="K17" s="33"/>
      <c r="L17" s="33"/>
      <c r="M17" s="33"/>
      <c r="N17" s="33"/>
      <c r="O17" s="33"/>
      <c r="P17" s="33"/>
      <c r="Q17" s="33"/>
      <c r="R17" s="33"/>
      <c r="S17" s="33"/>
      <c r="T17" s="33"/>
      <c r="U17" s="33"/>
      <c r="V17" s="33"/>
      <c r="W17" s="33"/>
      <c r="X17" s="33"/>
      <c r="Y17" s="33"/>
      <c r="Z17" s="33"/>
    </row>
    <row r="18" spans="1:26" ht="14.25" customHeight="1" x14ac:dyDescent="0.25">
      <c r="A18" s="29"/>
      <c r="B18" s="29"/>
      <c r="C18" s="29"/>
      <c r="D18" s="33"/>
      <c r="E18" s="33"/>
      <c r="F18" s="33"/>
      <c r="G18" s="33"/>
      <c r="H18" s="33"/>
      <c r="I18" s="33"/>
      <c r="J18" s="33"/>
      <c r="K18" s="33"/>
      <c r="L18" s="33"/>
      <c r="M18" s="33"/>
      <c r="N18" s="33"/>
      <c r="O18" s="33"/>
      <c r="P18" s="33"/>
      <c r="Q18" s="33"/>
      <c r="R18" s="33"/>
      <c r="S18" s="33"/>
      <c r="T18" s="33"/>
      <c r="U18" s="33"/>
      <c r="V18" s="33"/>
      <c r="W18" s="33"/>
      <c r="X18" s="33"/>
      <c r="Y18" s="33"/>
      <c r="Z18" s="33"/>
    </row>
    <row r="19" spans="1:26" ht="14.25" customHeight="1" x14ac:dyDescent="0.25">
      <c r="A19" s="28" t="s">
        <v>56</v>
      </c>
      <c r="B19" s="29"/>
      <c r="C19" s="5"/>
      <c r="D19" s="33"/>
      <c r="E19" s="33"/>
      <c r="F19" s="33"/>
      <c r="G19" s="33"/>
      <c r="H19" s="33"/>
      <c r="I19" s="33"/>
      <c r="J19" s="33"/>
      <c r="K19" s="33"/>
      <c r="L19" s="33"/>
      <c r="M19" s="33"/>
      <c r="N19" s="33"/>
      <c r="O19" s="33"/>
      <c r="P19" s="33"/>
      <c r="Q19" s="33"/>
      <c r="R19" s="33"/>
      <c r="S19" s="33"/>
      <c r="T19" s="33"/>
      <c r="U19" s="33"/>
      <c r="V19" s="33"/>
      <c r="W19" s="33"/>
      <c r="X19" s="33"/>
      <c r="Y19" s="33"/>
      <c r="Z19" s="33"/>
    </row>
    <row r="20" spans="1:26" ht="14.25" customHeight="1" x14ac:dyDescent="0.25">
      <c r="A20" s="28"/>
      <c r="B20" s="29"/>
      <c r="C20" s="5"/>
      <c r="D20" s="33"/>
      <c r="E20" s="33"/>
      <c r="F20" s="33"/>
      <c r="G20" s="33"/>
      <c r="H20" s="33"/>
      <c r="I20" s="33"/>
      <c r="J20" s="33"/>
      <c r="K20" s="33"/>
      <c r="L20" s="33"/>
      <c r="M20" s="33"/>
      <c r="N20" s="33"/>
      <c r="O20" s="33"/>
      <c r="P20" s="33"/>
      <c r="Q20" s="33"/>
      <c r="R20" s="33"/>
      <c r="S20" s="33"/>
      <c r="T20" s="33"/>
      <c r="U20" s="33"/>
      <c r="V20" s="33"/>
      <c r="W20" s="33"/>
      <c r="X20" s="33"/>
      <c r="Y20" s="33"/>
      <c r="Z20" s="33"/>
    </row>
    <row r="21" spans="1:26" ht="14.25" customHeight="1" x14ac:dyDescent="0.25">
      <c r="A21" s="29"/>
      <c r="B21" s="30" t="s">
        <v>2368</v>
      </c>
      <c r="C21" s="78" t="s">
        <v>2369</v>
      </c>
      <c r="D21" s="33"/>
      <c r="E21" s="33"/>
      <c r="F21" s="33"/>
      <c r="G21" s="33"/>
      <c r="H21" s="33"/>
      <c r="I21" s="33"/>
      <c r="J21" s="33"/>
      <c r="K21" s="33"/>
      <c r="L21" s="33"/>
      <c r="M21" s="33"/>
      <c r="N21" s="33"/>
      <c r="O21" s="33"/>
      <c r="P21" s="33"/>
      <c r="Q21" s="33"/>
      <c r="R21" s="33"/>
      <c r="S21" s="33"/>
      <c r="T21" s="33"/>
      <c r="U21" s="33"/>
      <c r="V21" s="33"/>
      <c r="W21" s="33"/>
      <c r="X21" s="33"/>
      <c r="Y21" s="33"/>
      <c r="Z21" s="33"/>
    </row>
    <row r="22" spans="1:26" ht="14.25" customHeight="1" x14ac:dyDescent="0.25">
      <c r="A22" s="372" t="s">
        <v>2370</v>
      </c>
      <c r="B22" s="373"/>
      <c r="C22" s="32" t="s">
        <v>59</v>
      </c>
      <c r="D22" s="33"/>
      <c r="E22" s="33"/>
      <c r="F22" s="33"/>
      <c r="G22" s="33"/>
      <c r="H22" s="33"/>
      <c r="I22" s="33"/>
      <c r="J22" s="33"/>
      <c r="K22" s="33"/>
      <c r="L22" s="33"/>
      <c r="M22" s="33"/>
      <c r="N22" s="33"/>
      <c r="O22" s="33"/>
      <c r="P22" s="33"/>
      <c r="Q22" s="33"/>
      <c r="R22" s="33"/>
      <c r="S22" s="33"/>
      <c r="T22" s="33"/>
      <c r="U22" s="33"/>
      <c r="V22" s="33"/>
      <c r="W22" s="33"/>
      <c r="X22" s="33"/>
      <c r="Y22" s="33"/>
      <c r="Z22" s="33"/>
    </row>
    <row r="23" spans="1:26" ht="14.25" customHeight="1" x14ac:dyDescent="0.25">
      <c r="A23" s="5"/>
      <c r="B23" s="5"/>
      <c r="C23" s="5"/>
      <c r="D23" s="33"/>
      <c r="E23" s="33"/>
      <c r="F23" s="33"/>
      <c r="G23" s="33"/>
      <c r="H23" s="33"/>
      <c r="I23" s="33"/>
      <c r="J23" s="33"/>
      <c r="K23" s="33"/>
      <c r="L23" s="33"/>
      <c r="M23" s="33"/>
      <c r="N23" s="33"/>
      <c r="O23" s="33"/>
      <c r="P23" s="33"/>
      <c r="Q23" s="33"/>
      <c r="R23" s="33"/>
      <c r="S23" s="33"/>
      <c r="T23" s="33"/>
      <c r="U23" s="33"/>
      <c r="V23" s="33"/>
      <c r="W23" s="33"/>
      <c r="X23" s="33"/>
      <c r="Y23" s="33"/>
      <c r="Z23" s="33"/>
    </row>
    <row r="24" spans="1:26" ht="14.25" customHeight="1" x14ac:dyDescent="0.25">
      <c r="A24" s="5"/>
      <c r="B24" s="5"/>
      <c r="C24" s="5"/>
      <c r="D24" s="33"/>
      <c r="E24" s="33"/>
      <c r="F24" s="33"/>
      <c r="G24" s="33"/>
      <c r="H24" s="33"/>
      <c r="I24" s="33"/>
      <c r="J24" s="33"/>
      <c r="K24" s="33"/>
      <c r="L24" s="33"/>
      <c r="M24" s="33"/>
      <c r="N24" s="33"/>
      <c r="O24" s="33"/>
      <c r="P24" s="33"/>
      <c r="Q24" s="33"/>
      <c r="R24" s="33"/>
      <c r="S24" s="33"/>
      <c r="T24" s="33"/>
      <c r="U24" s="33"/>
      <c r="V24" s="33"/>
      <c r="W24" s="33"/>
      <c r="X24" s="33"/>
      <c r="Y24" s="33"/>
      <c r="Z24" s="33"/>
    </row>
    <row r="25" spans="1:26" ht="14.25" customHeight="1" x14ac:dyDescent="0.25">
      <c r="A25" s="33" t="s">
        <v>60</v>
      </c>
      <c r="B25" s="5"/>
      <c r="C25" s="5"/>
      <c r="D25" s="33"/>
      <c r="E25" s="33"/>
      <c r="F25" s="33"/>
      <c r="G25" s="33"/>
      <c r="H25" s="33"/>
      <c r="I25" s="33"/>
      <c r="J25" s="33"/>
      <c r="K25" s="33"/>
      <c r="L25" s="33"/>
      <c r="M25" s="33"/>
      <c r="N25" s="33"/>
      <c r="O25" s="33"/>
      <c r="P25" s="33"/>
      <c r="Q25" s="33"/>
      <c r="R25" s="33"/>
      <c r="S25" s="33"/>
      <c r="T25" s="33"/>
      <c r="U25" s="33"/>
      <c r="V25" s="33"/>
      <c r="W25" s="33"/>
      <c r="X25" s="33"/>
      <c r="Y25" s="33"/>
      <c r="Z25" s="33"/>
    </row>
    <row r="26" spans="1:26" ht="14.25" customHeight="1" x14ac:dyDescent="0.25">
      <c r="A26" s="33"/>
      <c r="B26" s="5"/>
      <c r="C26" s="5"/>
      <c r="D26" s="33"/>
      <c r="E26" s="33"/>
      <c r="F26" s="33"/>
      <c r="G26" s="33"/>
      <c r="H26" s="33"/>
      <c r="I26" s="33"/>
      <c r="J26" s="33"/>
      <c r="K26" s="33"/>
      <c r="L26" s="33"/>
      <c r="M26" s="33"/>
      <c r="N26" s="33"/>
      <c r="O26" s="33"/>
      <c r="P26" s="33"/>
      <c r="Q26" s="33"/>
      <c r="R26" s="33"/>
      <c r="S26" s="33"/>
      <c r="T26" s="33"/>
      <c r="U26" s="33"/>
      <c r="V26" s="33"/>
      <c r="W26" s="33"/>
      <c r="X26" s="33"/>
      <c r="Y26" s="33"/>
      <c r="Z26" s="33"/>
    </row>
    <row r="27" spans="1:26" ht="14.25" customHeight="1" x14ac:dyDescent="0.25">
      <c r="A27" s="29"/>
      <c r="B27" s="30" t="s">
        <v>61</v>
      </c>
      <c r="C27" s="78" t="s">
        <v>2369</v>
      </c>
      <c r="D27" s="33"/>
      <c r="E27" s="33"/>
      <c r="F27" s="33"/>
      <c r="G27" s="33"/>
      <c r="H27" s="33"/>
      <c r="I27" s="33"/>
      <c r="J27" s="33"/>
      <c r="K27" s="33"/>
      <c r="L27" s="33"/>
      <c r="M27" s="33"/>
      <c r="N27" s="33"/>
      <c r="O27" s="33"/>
      <c r="P27" s="33"/>
      <c r="Q27" s="33"/>
      <c r="R27" s="33"/>
      <c r="S27" s="33"/>
      <c r="T27" s="33"/>
      <c r="U27" s="33"/>
      <c r="V27" s="33"/>
      <c r="W27" s="33"/>
      <c r="X27" s="33"/>
      <c r="Y27" s="33"/>
      <c r="Z27" s="33"/>
    </row>
    <row r="28" spans="1:26" ht="14.25" customHeight="1" x14ac:dyDescent="0.25">
      <c r="A28" s="372" t="s">
        <v>2370</v>
      </c>
      <c r="B28" s="373"/>
      <c r="C28" s="32" t="s">
        <v>59</v>
      </c>
      <c r="D28" s="33"/>
      <c r="E28" s="33"/>
      <c r="F28" s="33"/>
      <c r="G28" s="33"/>
      <c r="H28" s="33"/>
      <c r="I28" s="33"/>
      <c r="J28" s="33"/>
      <c r="K28" s="33"/>
      <c r="L28" s="33"/>
      <c r="M28" s="33"/>
      <c r="N28" s="33"/>
      <c r="O28" s="33"/>
      <c r="P28" s="33"/>
      <c r="Q28" s="33"/>
      <c r="R28" s="33"/>
      <c r="S28" s="33"/>
      <c r="T28" s="33"/>
      <c r="U28" s="33"/>
      <c r="V28" s="33"/>
      <c r="W28" s="33"/>
      <c r="X28" s="33"/>
      <c r="Y28" s="33"/>
      <c r="Z28" s="33"/>
    </row>
    <row r="29" spans="1:26" ht="14.25" customHeight="1" x14ac:dyDescent="0.25">
      <c r="A29" s="29"/>
      <c r="B29" s="29"/>
      <c r="C29" s="29"/>
      <c r="D29" s="33"/>
      <c r="E29" s="33"/>
      <c r="F29" s="33"/>
      <c r="G29" s="33"/>
      <c r="H29" s="33"/>
      <c r="I29" s="33"/>
      <c r="J29" s="33"/>
      <c r="K29" s="33"/>
      <c r="L29" s="33"/>
      <c r="M29" s="33"/>
      <c r="N29" s="33"/>
      <c r="O29" s="33"/>
      <c r="P29" s="33"/>
      <c r="Q29" s="33"/>
      <c r="R29" s="33"/>
      <c r="S29" s="33"/>
      <c r="T29" s="33"/>
      <c r="U29" s="33"/>
      <c r="V29" s="33"/>
      <c r="W29" s="33"/>
      <c r="X29" s="33"/>
      <c r="Y29" s="33"/>
      <c r="Z29" s="33"/>
    </row>
    <row r="30" spans="1:26" ht="14.25" customHeight="1" x14ac:dyDescent="0.25">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row>
    <row r="31" spans="1:26" ht="14.25" customHeight="1" x14ac:dyDescent="0.25">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row>
    <row r="32" spans="1:26" ht="14.25" customHeight="1" x14ac:dyDescent="0.25">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row>
    <row r="33" spans="1:26" ht="14.25" customHeight="1" x14ac:dyDescent="0.25">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row>
    <row r="34" spans="1:26" ht="14.25" customHeight="1" x14ac:dyDescent="0.25">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spans="1:26" ht="14.25" customHeight="1" x14ac:dyDescent="0.2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row>
    <row r="36" spans="1:26" ht="14.25" customHeight="1" x14ac:dyDescent="0.25">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row>
    <row r="37" spans="1:26" ht="14.25" customHeight="1" x14ac:dyDescent="0.25">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row>
    <row r="38" spans="1:26" ht="14.25" customHeight="1" x14ac:dyDescent="0.25">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row>
    <row r="39" spans="1:26" ht="14.25" customHeight="1" x14ac:dyDescent="0.25">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row>
    <row r="40" spans="1:26" ht="14.25" customHeight="1" x14ac:dyDescent="0.25">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row>
    <row r="41" spans="1:26" ht="14.25" customHeight="1" x14ac:dyDescent="0.25">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row>
    <row r="42" spans="1:26" ht="14.25" customHeight="1" x14ac:dyDescent="0.25">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row>
    <row r="43" spans="1:26" ht="14.25" customHeight="1" x14ac:dyDescent="0.25">
      <c r="D43" s="33"/>
      <c r="E43" s="33"/>
      <c r="F43" s="33"/>
      <c r="G43" s="33"/>
      <c r="H43" s="33"/>
      <c r="I43" s="33"/>
      <c r="J43" s="33"/>
      <c r="K43" s="33"/>
      <c r="L43" s="33"/>
      <c r="M43" s="33"/>
      <c r="N43" s="33"/>
      <c r="O43" s="33"/>
      <c r="P43" s="33"/>
      <c r="Q43" s="33"/>
      <c r="R43" s="33"/>
      <c r="S43" s="33"/>
      <c r="T43" s="33"/>
      <c r="U43" s="33"/>
      <c r="V43" s="33"/>
      <c r="W43" s="33"/>
      <c r="X43" s="33"/>
      <c r="Y43" s="33"/>
      <c r="Z43" s="33"/>
    </row>
    <row r="44" spans="1:26" ht="14.25" customHeight="1" x14ac:dyDescent="0.25">
      <c r="D44" s="29"/>
      <c r="E44" s="29"/>
      <c r="F44" s="29"/>
      <c r="G44" s="29"/>
      <c r="H44" s="29"/>
      <c r="I44" s="29"/>
      <c r="J44" s="29"/>
      <c r="K44" s="29"/>
      <c r="L44" s="29"/>
      <c r="M44" s="29"/>
      <c r="N44" s="29"/>
      <c r="O44" s="29"/>
      <c r="P44" s="29"/>
      <c r="Q44" s="29"/>
      <c r="R44" s="29"/>
      <c r="S44" s="29"/>
      <c r="T44" s="29"/>
      <c r="U44" s="29"/>
      <c r="V44" s="29"/>
      <c r="W44" s="29"/>
      <c r="X44" s="29"/>
      <c r="Y44" s="29"/>
    </row>
    <row r="45" spans="1:26" ht="14.25" customHeight="1" x14ac:dyDescent="0.25">
      <c r="D45" s="29"/>
      <c r="E45" s="29"/>
      <c r="F45" s="29"/>
      <c r="G45" s="29"/>
      <c r="H45" s="29"/>
      <c r="I45" s="29"/>
      <c r="J45" s="29"/>
      <c r="K45" s="29"/>
      <c r="L45" s="29"/>
      <c r="M45" s="29"/>
      <c r="N45" s="29"/>
      <c r="O45" s="29"/>
      <c r="P45" s="29"/>
      <c r="Q45" s="29"/>
      <c r="R45" s="29"/>
      <c r="S45" s="29"/>
      <c r="T45" s="29"/>
      <c r="U45" s="29"/>
      <c r="V45" s="29"/>
      <c r="W45" s="29"/>
      <c r="X45" s="29"/>
      <c r="Y45" s="29"/>
    </row>
    <row r="46" spans="1:26" ht="14.25" customHeight="1" x14ac:dyDescent="0.25">
      <c r="D46" s="29"/>
      <c r="E46" s="29"/>
      <c r="F46" s="29"/>
      <c r="G46" s="29"/>
      <c r="H46" s="29"/>
      <c r="I46" s="29"/>
      <c r="J46" s="29"/>
      <c r="K46" s="29"/>
      <c r="L46" s="29"/>
      <c r="M46" s="29"/>
      <c r="N46" s="29"/>
      <c r="O46" s="29"/>
      <c r="P46" s="29"/>
      <c r="Q46" s="29"/>
      <c r="R46" s="29"/>
      <c r="S46" s="29"/>
      <c r="T46" s="29"/>
      <c r="U46" s="29"/>
      <c r="V46" s="29"/>
      <c r="W46" s="29"/>
      <c r="X46" s="29"/>
      <c r="Y46" s="29"/>
    </row>
    <row r="47" spans="1:26" ht="14.25" customHeight="1" x14ac:dyDescent="0.25">
      <c r="D47" s="29"/>
      <c r="E47" s="29"/>
      <c r="F47" s="29"/>
      <c r="G47" s="29"/>
      <c r="H47" s="29"/>
      <c r="I47" s="29"/>
      <c r="J47" s="29"/>
      <c r="K47" s="29"/>
      <c r="L47" s="29"/>
      <c r="M47" s="29"/>
      <c r="N47" s="29"/>
      <c r="O47" s="29"/>
      <c r="P47" s="29"/>
      <c r="Q47" s="29"/>
      <c r="R47" s="29"/>
      <c r="S47" s="29"/>
      <c r="T47" s="29"/>
      <c r="U47" s="29"/>
      <c r="V47" s="29"/>
      <c r="W47" s="29"/>
      <c r="X47" s="29"/>
      <c r="Y47" s="29"/>
    </row>
    <row r="48" spans="1:26" ht="14.25" customHeight="1" x14ac:dyDescent="0.25">
      <c r="D48" s="29"/>
      <c r="E48" s="29"/>
      <c r="F48" s="29"/>
      <c r="G48" s="164"/>
      <c r="H48" s="29"/>
      <c r="I48" s="29"/>
      <c r="J48" s="29"/>
      <c r="K48" s="29"/>
      <c r="L48" s="29"/>
      <c r="M48" s="29"/>
      <c r="N48" s="29"/>
      <c r="O48" s="29"/>
      <c r="P48" s="29"/>
      <c r="Q48" s="29"/>
      <c r="R48" s="29"/>
      <c r="S48" s="29"/>
      <c r="T48" s="29"/>
      <c r="U48" s="29"/>
      <c r="V48" s="29"/>
      <c r="W48" s="29"/>
      <c r="X48" s="29"/>
      <c r="Y48" s="29"/>
    </row>
    <row r="49" spans="1:25" ht="14.25" customHeight="1" x14ac:dyDescent="0.25">
      <c r="D49" s="29"/>
      <c r="E49" s="29"/>
      <c r="F49" s="29"/>
      <c r="G49" s="29"/>
      <c r="H49" s="29"/>
      <c r="I49" s="29"/>
      <c r="J49" s="29"/>
      <c r="K49" s="29"/>
      <c r="L49" s="29"/>
      <c r="M49" s="29"/>
      <c r="N49" s="29"/>
      <c r="O49" s="29"/>
      <c r="P49" s="29"/>
      <c r="Q49" s="29"/>
      <c r="R49" s="29"/>
      <c r="S49" s="29"/>
      <c r="T49" s="29"/>
      <c r="U49" s="29"/>
      <c r="V49" s="29"/>
      <c r="W49" s="29"/>
      <c r="X49" s="29"/>
      <c r="Y49" s="29"/>
    </row>
    <row r="50" spans="1:25" ht="14.25" customHeight="1" x14ac:dyDescent="0.25">
      <c r="D50" s="29"/>
      <c r="E50" s="29"/>
      <c r="F50" s="29"/>
      <c r="G50" s="29"/>
      <c r="H50" s="29"/>
      <c r="I50" s="29"/>
      <c r="J50" s="29"/>
      <c r="K50" s="29"/>
      <c r="L50" s="29"/>
      <c r="M50" s="29"/>
      <c r="N50" s="29"/>
      <c r="O50" s="29"/>
      <c r="P50" s="29"/>
      <c r="Q50" s="29"/>
      <c r="R50" s="29"/>
      <c r="S50" s="29"/>
      <c r="T50" s="29"/>
      <c r="U50" s="29"/>
      <c r="V50" s="29"/>
      <c r="W50" s="29"/>
      <c r="X50" s="29"/>
      <c r="Y50" s="29"/>
    </row>
    <row r="51" spans="1:25" ht="14.25" customHeight="1" x14ac:dyDescent="0.25">
      <c r="D51" s="29"/>
      <c r="E51" s="29"/>
      <c r="F51" s="29"/>
      <c r="G51" s="29"/>
      <c r="H51" s="29"/>
      <c r="I51" s="29"/>
      <c r="J51" s="29"/>
      <c r="K51" s="29"/>
      <c r="L51" s="29"/>
      <c r="M51" s="29"/>
      <c r="N51" s="29"/>
      <c r="O51" s="29"/>
      <c r="P51" s="29"/>
      <c r="Q51" s="29"/>
      <c r="R51" s="29"/>
      <c r="S51" s="29"/>
      <c r="T51" s="29"/>
      <c r="U51" s="29"/>
      <c r="V51" s="29"/>
      <c r="W51" s="29"/>
      <c r="X51" s="29"/>
      <c r="Y51" s="29"/>
    </row>
    <row r="52" spans="1:25" ht="14.25" customHeight="1" x14ac:dyDescent="0.25">
      <c r="D52" s="29"/>
      <c r="E52" s="29"/>
      <c r="F52" s="29"/>
      <c r="G52" s="29"/>
      <c r="H52" s="29"/>
      <c r="I52" s="29"/>
      <c r="J52" s="29"/>
      <c r="K52" s="29"/>
      <c r="L52" s="29"/>
      <c r="M52" s="29"/>
      <c r="N52" s="29"/>
      <c r="O52" s="29"/>
      <c r="P52" s="29"/>
      <c r="Q52" s="29"/>
      <c r="R52" s="29"/>
      <c r="S52" s="29"/>
      <c r="T52" s="29"/>
      <c r="U52" s="29"/>
      <c r="V52" s="29"/>
      <c r="W52" s="29"/>
      <c r="X52" s="29"/>
      <c r="Y52" s="29"/>
    </row>
    <row r="53" spans="1:25" ht="14.25" customHeight="1" x14ac:dyDescent="0.25">
      <c r="D53" s="29"/>
      <c r="E53" s="29"/>
      <c r="F53" s="29"/>
      <c r="G53" s="29"/>
      <c r="H53" s="29"/>
      <c r="I53" s="29"/>
      <c r="J53" s="29"/>
      <c r="K53" s="29"/>
      <c r="L53" s="29"/>
      <c r="M53" s="29"/>
      <c r="N53" s="29"/>
      <c r="O53" s="29"/>
      <c r="P53" s="29"/>
      <c r="Q53" s="29"/>
      <c r="R53" s="29"/>
      <c r="S53" s="29"/>
      <c r="T53" s="29"/>
      <c r="U53" s="29"/>
      <c r="V53" s="29"/>
      <c r="W53" s="29"/>
      <c r="X53" s="29"/>
      <c r="Y53" s="29"/>
    </row>
    <row r="54" spans="1:25" ht="14.25" customHeight="1" x14ac:dyDescent="0.25">
      <c r="D54" s="29"/>
      <c r="E54" s="29"/>
      <c r="F54" s="29"/>
      <c r="G54" s="29"/>
      <c r="H54" s="29"/>
      <c r="I54" s="29"/>
      <c r="J54" s="29"/>
      <c r="K54" s="29"/>
      <c r="L54" s="29"/>
      <c r="M54" s="29"/>
      <c r="N54" s="29"/>
      <c r="O54" s="29"/>
      <c r="P54" s="29"/>
      <c r="Q54" s="29"/>
      <c r="R54" s="29"/>
      <c r="S54" s="29"/>
      <c r="T54" s="29"/>
      <c r="U54" s="29"/>
      <c r="V54" s="29"/>
      <c r="W54" s="29"/>
      <c r="X54" s="29"/>
      <c r="Y54" s="29"/>
    </row>
    <row r="55" spans="1:25" ht="14.25" customHeight="1" x14ac:dyDescent="0.25">
      <c r="D55" s="29"/>
      <c r="E55" s="29"/>
      <c r="F55" s="29"/>
      <c r="G55" s="29"/>
      <c r="H55" s="29"/>
      <c r="I55" s="29"/>
      <c r="J55" s="29"/>
      <c r="K55" s="29"/>
      <c r="L55" s="29"/>
      <c r="M55" s="29"/>
      <c r="N55" s="29"/>
      <c r="O55" s="29"/>
      <c r="P55" s="29"/>
      <c r="Q55" s="29"/>
      <c r="R55" s="29"/>
      <c r="S55" s="29"/>
      <c r="T55" s="29"/>
      <c r="U55" s="29"/>
      <c r="V55" s="29"/>
      <c r="W55" s="29"/>
      <c r="X55" s="29"/>
      <c r="Y55" s="29"/>
    </row>
    <row r="56" spans="1:25" ht="14.25" customHeight="1" x14ac:dyDescent="0.25">
      <c r="A56" s="29"/>
      <c r="B56" s="29"/>
      <c r="C56" s="29"/>
      <c r="D56" s="29"/>
      <c r="E56" s="29"/>
      <c r="F56" s="29"/>
      <c r="G56" s="29"/>
      <c r="H56" s="29"/>
      <c r="I56" s="29"/>
      <c r="J56" s="29"/>
      <c r="K56" s="29"/>
      <c r="L56" s="29"/>
      <c r="M56" s="29"/>
      <c r="N56" s="29"/>
      <c r="O56" s="29"/>
      <c r="P56" s="29"/>
      <c r="Q56" s="29"/>
      <c r="R56" s="29"/>
      <c r="S56" s="29"/>
      <c r="T56" s="29"/>
      <c r="U56" s="29"/>
      <c r="V56" s="29"/>
      <c r="W56" s="29"/>
      <c r="X56" s="29"/>
      <c r="Y56" s="29"/>
    </row>
    <row r="57" spans="1:25" ht="14.25" customHeight="1" x14ac:dyDescent="0.25">
      <c r="A57" s="29"/>
      <c r="B57" s="29"/>
      <c r="C57" s="29"/>
      <c r="D57" s="29"/>
      <c r="E57" s="29"/>
      <c r="F57" s="29"/>
      <c r="G57" s="29"/>
      <c r="H57" s="29"/>
      <c r="I57" s="29"/>
      <c r="J57" s="29"/>
      <c r="K57" s="29"/>
      <c r="L57" s="29"/>
      <c r="M57" s="29"/>
      <c r="N57" s="29"/>
      <c r="O57" s="29"/>
      <c r="P57" s="29"/>
      <c r="Q57" s="29"/>
      <c r="R57" s="29"/>
      <c r="S57" s="29"/>
      <c r="T57" s="29"/>
      <c r="U57" s="29"/>
      <c r="V57" s="29"/>
      <c r="W57" s="29"/>
      <c r="X57" s="29"/>
      <c r="Y57" s="29"/>
    </row>
    <row r="58" spans="1:25" ht="14.25" customHeight="1" x14ac:dyDescent="0.25">
      <c r="A58" s="29"/>
      <c r="B58" s="29"/>
      <c r="C58" s="29"/>
      <c r="D58" s="29"/>
      <c r="E58" s="29"/>
      <c r="F58" s="29"/>
      <c r="G58" s="29"/>
      <c r="H58" s="29"/>
      <c r="I58" s="29"/>
      <c r="J58" s="29"/>
      <c r="K58" s="29"/>
      <c r="L58" s="29"/>
      <c r="M58" s="29"/>
      <c r="N58" s="29"/>
      <c r="O58" s="29"/>
      <c r="P58" s="29"/>
      <c r="Q58" s="29"/>
      <c r="R58" s="29"/>
      <c r="S58" s="29"/>
      <c r="T58" s="29"/>
      <c r="U58" s="29"/>
      <c r="V58" s="29"/>
      <c r="W58" s="29"/>
      <c r="X58" s="29"/>
      <c r="Y58" s="29"/>
    </row>
    <row r="59" spans="1:25" ht="14.25" customHeight="1" x14ac:dyDescent="0.25">
      <c r="A59" s="29"/>
      <c r="B59" s="29"/>
      <c r="C59" s="29"/>
      <c r="D59" s="29"/>
      <c r="E59" s="29"/>
      <c r="F59" s="29"/>
      <c r="G59" s="29"/>
      <c r="H59" s="29"/>
      <c r="I59" s="29"/>
      <c r="J59" s="29"/>
      <c r="K59" s="29"/>
      <c r="L59" s="29"/>
      <c r="M59" s="29"/>
      <c r="N59" s="29"/>
      <c r="O59" s="29"/>
      <c r="P59" s="29"/>
      <c r="Q59" s="29"/>
      <c r="R59" s="29"/>
      <c r="S59" s="29"/>
      <c r="T59" s="29"/>
      <c r="U59" s="29"/>
      <c r="V59" s="29"/>
      <c r="W59" s="29"/>
      <c r="X59" s="29"/>
      <c r="Y59" s="29"/>
    </row>
    <row r="60" spans="1:25" ht="14.25" customHeight="1" x14ac:dyDescent="0.25">
      <c r="A60" s="29"/>
      <c r="B60" s="29"/>
      <c r="C60" s="29"/>
      <c r="D60" s="29"/>
      <c r="E60" s="29"/>
      <c r="F60" s="29"/>
      <c r="G60" s="29"/>
      <c r="H60" s="29"/>
      <c r="I60" s="29"/>
      <c r="J60" s="29"/>
      <c r="K60" s="29"/>
      <c r="L60" s="29"/>
      <c r="M60" s="29"/>
      <c r="N60" s="29"/>
      <c r="O60" s="29"/>
      <c r="P60" s="29"/>
      <c r="Q60" s="29"/>
      <c r="R60" s="29"/>
      <c r="S60" s="29"/>
      <c r="T60" s="29"/>
      <c r="U60" s="29"/>
      <c r="V60" s="29"/>
      <c r="W60" s="29"/>
      <c r="X60" s="29"/>
      <c r="Y60" s="29"/>
    </row>
    <row r="61" spans="1:25" ht="14.25" customHeight="1" x14ac:dyDescent="0.25">
      <c r="A61" s="29"/>
      <c r="B61" s="29"/>
      <c r="C61" s="29"/>
      <c r="D61" s="29"/>
      <c r="E61" s="29"/>
      <c r="F61" s="29"/>
      <c r="G61" s="29"/>
      <c r="H61" s="29"/>
      <c r="I61" s="29"/>
      <c r="J61" s="29"/>
      <c r="K61" s="29"/>
      <c r="L61" s="29"/>
      <c r="M61" s="29"/>
      <c r="N61" s="29"/>
      <c r="O61" s="29"/>
      <c r="P61" s="29"/>
      <c r="Q61" s="29"/>
      <c r="R61" s="29"/>
      <c r="S61" s="29"/>
      <c r="T61" s="29"/>
      <c r="U61" s="29"/>
      <c r="V61" s="29"/>
      <c r="W61" s="29"/>
      <c r="X61" s="29"/>
      <c r="Y61" s="29"/>
    </row>
    <row r="62" spans="1:25" ht="14.25" customHeight="1" x14ac:dyDescent="0.25">
      <c r="A62" s="29"/>
      <c r="B62" s="29"/>
      <c r="C62" s="29"/>
      <c r="D62" s="29"/>
      <c r="E62" s="29"/>
      <c r="F62" s="29"/>
      <c r="G62" s="29"/>
      <c r="H62" s="29"/>
      <c r="I62" s="29"/>
      <c r="J62" s="29"/>
      <c r="K62" s="29"/>
      <c r="L62" s="29"/>
      <c r="M62" s="29"/>
      <c r="N62" s="29"/>
      <c r="O62" s="29"/>
      <c r="P62" s="29"/>
      <c r="Q62" s="29"/>
      <c r="R62" s="29"/>
      <c r="S62" s="29"/>
      <c r="T62" s="29"/>
      <c r="U62" s="29"/>
      <c r="V62" s="29"/>
      <c r="W62" s="29"/>
      <c r="X62" s="29"/>
      <c r="Y62" s="29"/>
    </row>
    <row r="63" spans="1:25" ht="14.25" customHeight="1" x14ac:dyDescent="0.25">
      <c r="A63" s="29"/>
      <c r="B63" s="29"/>
      <c r="C63" s="29"/>
      <c r="D63" s="29"/>
      <c r="E63" s="29"/>
      <c r="F63" s="29"/>
      <c r="G63" s="29"/>
      <c r="H63" s="29"/>
      <c r="I63" s="29"/>
      <c r="J63" s="29"/>
      <c r="K63" s="29"/>
      <c r="L63" s="29"/>
      <c r="M63" s="29"/>
      <c r="N63" s="29"/>
      <c r="O63" s="29"/>
      <c r="P63" s="29"/>
      <c r="Q63" s="29"/>
      <c r="R63" s="29"/>
      <c r="S63" s="29"/>
      <c r="T63" s="29"/>
      <c r="U63" s="29"/>
      <c r="V63" s="29"/>
      <c r="W63" s="29"/>
      <c r="X63" s="29"/>
      <c r="Y63" s="29"/>
    </row>
    <row r="64" spans="1:25" ht="14.25" customHeight="1" x14ac:dyDescent="0.25">
      <c r="A64" s="29"/>
      <c r="B64" s="29"/>
      <c r="C64" s="29"/>
      <c r="D64" s="29"/>
      <c r="E64" s="29"/>
      <c r="F64" s="29"/>
      <c r="G64" s="29"/>
      <c r="H64" s="29"/>
      <c r="I64" s="29"/>
      <c r="J64" s="29"/>
      <c r="K64" s="29"/>
      <c r="L64" s="29"/>
      <c r="M64" s="29"/>
      <c r="N64" s="29"/>
      <c r="O64" s="29"/>
      <c r="P64" s="29"/>
      <c r="Q64" s="29"/>
      <c r="R64" s="29"/>
      <c r="S64" s="29"/>
      <c r="T64" s="29"/>
      <c r="U64" s="29"/>
      <c r="V64" s="29"/>
      <c r="W64" s="29"/>
      <c r="X64" s="29"/>
      <c r="Y64" s="29"/>
    </row>
    <row r="65" spans="1:25" ht="14.25" customHeight="1" x14ac:dyDescent="0.25">
      <c r="A65" s="29"/>
      <c r="B65" s="29"/>
      <c r="C65" s="29"/>
      <c r="D65" s="29"/>
      <c r="E65" s="29"/>
      <c r="F65" s="29"/>
      <c r="G65" s="29"/>
      <c r="H65" s="29"/>
      <c r="I65" s="29"/>
      <c r="J65" s="29"/>
      <c r="K65" s="29"/>
      <c r="L65" s="29"/>
      <c r="M65" s="29"/>
      <c r="N65" s="29"/>
      <c r="O65" s="29"/>
      <c r="P65" s="29"/>
      <c r="Q65" s="29"/>
      <c r="R65" s="29"/>
      <c r="S65" s="29"/>
      <c r="T65" s="29"/>
      <c r="U65" s="29"/>
      <c r="V65" s="29"/>
      <c r="W65" s="29"/>
      <c r="X65" s="29"/>
      <c r="Y65" s="29"/>
    </row>
    <row r="66" spans="1:25" ht="14.25" customHeight="1" x14ac:dyDescent="0.25">
      <c r="A66" s="29"/>
      <c r="B66" s="29"/>
      <c r="C66" s="29"/>
      <c r="D66" s="29"/>
      <c r="E66" s="29"/>
      <c r="F66" s="29"/>
      <c r="G66" s="29"/>
      <c r="H66" s="29"/>
      <c r="I66" s="29"/>
      <c r="J66" s="29"/>
      <c r="K66" s="29"/>
      <c r="L66" s="29"/>
      <c r="M66" s="29"/>
      <c r="N66" s="29"/>
      <c r="O66" s="29"/>
      <c r="P66" s="29"/>
      <c r="Q66" s="29"/>
      <c r="R66" s="29"/>
      <c r="S66" s="29"/>
      <c r="T66" s="29"/>
      <c r="U66" s="29"/>
      <c r="V66" s="29"/>
      <c r="W66" s="29"/>
      <c r="X66" s="29"/>
      <c r="Y66" s="29"/>
    </row>
    <row r="67" spans="1:25" ht="14.25" customHeight="1" x14ac:dyDescent="0.25">
      <c r="A67" s="29"/>
      <c r="B67" s="29"/>
      <c r="C67" s="29"/>
      <c r="D67" s="29"/>
      <c r="E67" s="29"/>
      <c r="F67" s="29"/>
      <c r="G67" s="29"/>
      <c r="H67" s="29"/>
      <c r="I67" s="29"/>
      <c r="J67" s="29"/>
      <c r="K67" s="29"/>
      <c r="L67" s="29"/>
      <c r="M67" s="29"/>
      <c r="N67" s="29"/>
      <c r="O67" s="29"/>
      <c r="P67" s="29"/>
      <c r="Q67" s="29"/>
      <c r="R67" s="29"/>
      <c r="S67" s="29"/>
      <c r="T67" s="29"/>
      <c r="U67" s="29"/>
      <c r="V67" s="29"/>
      <c r="W67" s="29"/>
      <c r="X67" s="29"/>
      <c r="Y67" s="29"/>
    </row>
    <row r="68" spans="1:25" ht="14.25" customHeight="1" x14ac:dyDescent="0.25">
      <c r="A68" s="29"/>
      <c r="B68" s="29"/>
      <c r="C68" s="29"/>
      <c r="D68" s="29"/>
      <c r="E68" s="29"/>
      <c r="F68" s="29"/>
      <c r="G68" s="29"/>
      <c r="H68" s="29"/>
      <c r="I68" s="29"/>
      <c r="J68" s="29"/>
      <c r="K68" s="29"/>
      <c r="L68" s="29"/>
      <c r="M68" s="29"/>
      <c r="N68" s="29"/>
      <c r="O68" s="29"/>
      <c r="P68" s="29"/>
      <c r="Q68" s="29"/>
      <c r="R68" s="29"/>
      <c r="S68" s="29"/>
      <c r="T68" s="29"/>
      <c r="U68" s="29"/>
      <c r="V68" s="29"/>
      <c r="W68" s="29"/>
      <c r="X68" s="29"/>
      <c r="Y68" s="29"/>
    </row>
    <row r="69" spans="1:25" ht="14.25" customHeight="1" x14ac:dyDescent="0.25">
      <c r="A69" s="29"/>
      <c r="B69" s="29"/>
      <c r="C69" s="29"/>
      <c r="D69" s="29"/>
      <c r="E69" s="29"/>
      <c r="F69" s="29"/>
      <c r="G69" s="29"/>
      <c r="H69" s="29"/>
      <c r="I69" s="29"/>
      <c r="J69" s="29"/>
      <c r="K69" s="29"/>
      <c r="L69" s="29"/>
      <c r="M69" s="29"/>
      <c r="N69" s="29"/>
      <c r="O69" s="29"/>
      <c r="P69" s="29"/>
      <c r="Q69" s="29"/>
      <c r="R69" s="29"/>
      <c r="S69" s="29"/>
      <c r="T69" s="29"/>
      <c r="U69" s="29"/>
      <c r="V69" s="29"/>
      <c r="W69" s="29"/>
      <c r="X69" s="29"/>
      <c r="Y69" s="29"/>
    </row>
    <row r="70" spans="1:25" ht="14.25" customHeight="1" x14ac:dyDescent="0.25">
      <c r="A70" s="29"/>
      <c r="B70" s="29"/>
      <c r="C70" s="29"/>
      <c r="D70" s="29"/>
      <c r="E70" s="29"/>
      <c r="F70" s="29"/>
      <c r="G70" s="29"/>
      <c r="H70" s="29"/>
      <c r="I70" s="29"/>
      <c r="J70" s="29"/>
      <c r="K70" s="29"/>
      <c r="L70" s="29"/>
      <c r="M70" s="29"/>
      <c r="N70" s="29"/>
      <c r="O70" s="29"/>
      <c r="P70" s="29"/>
      <c r="Q70" s="29"/>
      <c r="R70" s="29"/>
      <c r="S70" s="29"/>
      <c r="T70" s="29"/>
      <c r="U70" s="29"/>
      <c r="V70" s="29"/>
      <c r="W70" s="29"/>
      <c r="X70" s="29"/>
      <c r="Y70" s="29"/>
    </row>
    <row r="71" spans="1:25" ht="14.25" customHeight="1" x14ac:dyDescent="0.25">
      <c r="A71" s="29"/>
      <c r="B71" s="29"/>
      <c r="C71" s="29"/>
      <c r="D71" s="29"/>
      <c r="E71" s="29"/>
      <c r="F71" s="29"/>
      <c r="G71" s="29"/>
      <c r="H71" s="29"/>
      <c r="I71" s="29"/>
      <c r="J71" s="29"/>
      <c r="K71" s="29"/>
      <c r="L71" s="29"/>
      <c r="M71" s="29"/>
      <c r="N71" s="29"/>
      <c r="O71" s="29"/>
      <c r="P71" s="29"/>
      <c r="Q71" s="29"/>
      <c r="R71" s="29"/>
      <c r="S71" s="29"/>
      <c r="T71" s="29"/>
      <c r="U71" s="29"/>
      <c r="V71" s="29"/>
      <c r="W71" s="29"/>
      <c r="X71" s="29"/>
      <c r="Y71" s="29"/>
    </row>
    <row r="72" spans="1:25" ht="14.25" customHeight="1" x14ac:dyDescent="0.25">
      <c r="A72" s="29"/>
      <c r="B72" s="29"/>
      <c r="C72" s="29"/>
      <c r="D72" s="29"/>
      <c r="E72" s="29"/>
      <c r="F72" s="29"/>
      <c r="G72" s="29"/>
      <c r="H72" s="29"/>
      <c r="I72" s="29"/>
      <c r="J72" s="29"/>
      <c r="K72" s="29"/>
      <c r="L72" s="29"/>
      <c r="M72" s="29"/>
      <c r="N72" s="29"/>
      <c r="O72" s="29"/>
      <c r="P72" s="29"/>
      <c r="Q72" s="29"/>
      <c r="R72" s="29"/>
      <c r="S72" s="29"/>
      <c r="T72" s="29"/>
      <c r="U72" s="29"/>
      <c r="V72" s="29"/>
      <c r="W72" s="29"/>
      <c r="X72" s="29"/>
      <c r="Y72" s="29"/>
    </row>
    <row r="73" spans="1:25" ht="14.25" customHeight="1" x14ac:dyDescent="0.25">
      <c r="A73" s="29"/>
      <c r="B73" s="29"/>
      <c r="C73" s="29"/>
      <c r="D73" s="29"/>
      <c r="E73" s="29"/>
      <c r="F73" s="29"/>
      <c r="G73" s="29"/>
      <c r="H73" s="29"/>
      <c r="I73" s="29"/>
      <c r="J73" s="29"/>
      <c r="K73" s="29"/>
      <c r="L73" s="29"/>
      <c r="M73" s="29"/>
      <c r="N73" s="29"/>
      <c r="O73" s="29"/>
      <c r="P73" s="29"/>
      <c r="Q73" s="29"/>
      <c r="R73" s="29"/>
      <c r="S73" s="29"/>
      <c r="T73" s="29"/>
      <c r="U73" s="29"/>
      <c r="V73" s="29"/>
      <c r="W73" s="29"/>
      <c r="X73" s="29"/>
      <c r="Y73" s="29"/>
    </row>
    <row r="74" spans="1:25" ht="14.25" customHeight="1" x14ac:dyDescent="0.25">
      <c r="A74" s="29"/>
      <c r="B74" s="29"/>
      <c r="C74" s="29"/>
      <c r="D74" s="29"/>
      <c r="E74" s="29"/>
      <c r="F74" s="29"/>
      <c r="G74" s="29"/>
      <c r="H74" s="29"/>
      <c r="I74" s="29"/>
      <c r="J74" s="29"/>
      <c r="K74" s="29"/>
      <c r="L74" s="29"/>
      <c r="M74" s="29"/>
      <c r="N74" s="29"/>
      <c r="O74" s="29"/>
      <c r="P74" s="29"/>
      <c r="Q74" s="29"/>
      <c r="R74" s="29"/>
      <c r="S74" s="29"/>
      <c r="T74" s="29"/>
      <c r="U74" s="29"/>
      <c r="V74" s="29"/>
      <c r="W74" s="29"/>
      <c r="X74" s="29"/>
      <c r="Y74" s="29"/>
    </row>
    <row r="75" spans="1:25" ht="14.25" customHeight="1" x14ac:dyDescent="0.25">
      <c r="A75" s="29"/>
      <c r="B75" s="29"/>
      <c r="C75" s="29"/>
      <c r="D75" s="29"/>
      <c r="E75" s="29"/>
      <c r="F75" s="29"/>
      <c r="G75" s="29"/>
      <c r="H75" s="29"/>
      <c r="I75" s="29"/>
      <c r="J75" s="29"/>
      <c r="K75" s="29"/>
      <c r="L75" s="29"/>
      <c r="M75" s="29"/>
      <c r="N75" s="29"/>
      <c r="O75" s="29"/>
      <c r="P75" s="29"/>
      <c r="Q75" s="29"/>
      <c r="R75" s="29"/>
      <c r="S75" s="29"/>
      <c r="T75" s="29"/>
      <c r="U75" s="29"/>
      <c r="V75" s="29"/>
      <c r="W75" s="29"/>
      <c r="X75" s="29"/>
      <c r="Y75" s="29"/>
    </row>
    <row r="76" spans="1:25" ht="14.25" customHeight="1" x14ac:dyDescent="0.25">
      <c r="A76" s="29"/>
      <c r="B76" s="29"/>
      <c r="C76" s="29"/>
      <c r="D76" s="29"/>
      <c r="E76" s="29"/>
      <c r="F76" s="29"/>
      <c r="G76" s="29"/>
      <c r="H76" s="29"/>
      <c r="I76" s="29"/>
      <c r="J76" s="29"/>
      <c r="K76" s="29"/>
      <c r="L76" s="29"/>
      <c r="M76" s="29"/>
      <c r="N76" s="29"/>
      <c r="O76" s="29"/>
      <c r="P76" s="29"/>
      <c r="Q76" s="29"/>
      <c r="R76" s="29"/>
      <c r="S76" s="29"/>
      <c r="T76" s="29"/>
      <c r="U76" s="29"/>
      <c r="V76" s="29"/>
      <c r="W76" s="29"/>
      <c r="X76" s="29"/>
      <c r="Y76" s="29"/>
    </row>
    <row r="77" spans="1:25" ht="14.25" customHeight="1" x14ac:dyDescent="0.25">
      <c r="A77" s="29"/>
      <c r="B77" s="29"/>
      <c r="C77" s="29"/>
      <c r="D77" s="29"/>
      <c r="E77" s="29"/>
      <c r="F77" s="29"/>
      <c r="G77" s="29"/>
      <c r="H77" s="29"/>
      <c r="I77" s="29"/>
      <c r="J77" s="29"/>
      <c r="K77" s="29"/>
      <c r="L77" s="29"/>
      <c r="M77" s="29"/>
      <c r="N77" s="29"/>
      <c r="O77" s="29"/>
      <c r="P77" s="29"/>
      <c r="Q77" s="29"/>
      <c r="R77" s="29"/>
      <c r="S77" s="29"/>
      <c r="T77" s="29"/>
      <c r="U77" s="29"/>
      <c r="V77" s="29"/>
      <c r="W77" s="29"/>
      <c r="X77" s="29"/>
      <c r="Y77" s="29"/>
    </row>
    <row r="78" spans="1:25" ht="14.25" customHeight="1" x14ac:dyDescent="0.25">
      <c r="A78" s="29"/>
      <c r="B78" s="29"/>
      <c r="C78" s="29"/>
      <c r="D78" s="29"/>
      <c r="E78" s="29"/>
      <c r="F78" s="29"/>
      <c r="G78" s="29"/>
      <c r="H78" s="29"/>
      <c r="I78" s="29"/>
      <c r="J78" s="29"/>
      <c r="K78" s="29"/>
      <c r="L78" s="29"/>
      <c r="M78" s="29"/>
      <c r="N78" s="29"/>
      <c r="O78" s="29"/>
      <c r="P78" s="29"/>
      <c r="Q78" s="29"/>
      <c r="R78" s="29"/>
      <c r="S78" s="29"/>
      <c r="T78" s="29"/>
      <c r="U78" s="29"/>
      <c r="V78" s="29"/>
      <c r="W78" s="29"/>
      <c r="X78" s="29"/>
      <c r="Y78" s="29"/>
    </row>
    <row r="79" spans="1:25" ht="14.25" customHeight="1" x14ac:dyDescent="0.25">
      <c r="A79" s="29"/>
      <c r="B79" s="29"/>
      <c r="C79" s="29"/>
      <c r="D79" s="29"/>
      <c r="E79" s="29"/>
      <c r="F79" s="29"/>
      <c r="G79" s="29"/>
      <c r="H79" s="29"/>
      <c r="I79" s="29"/>
      <c r="J79" s="29"/>
      <c r="K79" s="29"/>
      <c r="L79" s="29"/>
      <c r="M79" s="29"/>
      <c r="N79" s="29"/>
      <c r="O79" s="29"/>
      <c r="P79" s="29"/>
      <c r="Q79" s="29"/>
      <c r="R79" s="29"/>
      <c r="S79" s="29"/>
      <c r="T79" s="29"/>
      <c r="U79" s="29"/>
      <c r="V79" s="29"/>
      <c r="W79" s="29"/>
      <c r="X79" s="29"/>
      <c r="Y79" s="29"/>
    </row>
    <row r="80" spans="1:25" ht="14.25" customHeight="1" x14ac:dyDescent="0.25">
      <c r="A80" s="29"/>
      <c r="B80" s="29"/>
      <c r="C80" s="29"/>
      <c r="D80" s="29"/>
      <c r="E80" s="29"/>
      <c r="F80" s="29"/>
      <c r="G80" s="29"/>
      <c r="H80" s="29"/>
      <c r="I80" s="29"/>
      <c r="J80" s="29"/>
      <c r="K80" s="29"/>
      <c r="L80" s="29"/>
      <c r="M80" s="29"/>
      <c r="N80" s="29"/>
      <c r="O80" s="29"/>
      <c r="P80" s="29"/>
      <c r="Q80" s="29"/>
      <c r="R80" s="29"/>
      <c r="S80" s="29"/>
      <c r="T80" s="29"/>
      <c r="U80" s="29"/>
      <c r="V80" s="29"/>
      <c r="W80" s="29"/>
      <c r="X80" s="29"/>
      <c r="Y80" s="29"/>
    </row>
    <row r="81" spans="1:25" ht="14.25" customHeight="1" x14ac:dyDescent="0.25">
      <c r="A81" s="29"/>
      <c r="B81" s="29"/>
      <c r="C81" s="29"/>
      <c r="D81" s="29"/>
      <c r="E81" s="29"/>
      <c r="F81" s="29"/>
      <c r="G81" s="29"/>
      <c r="H81" s="29"/>
      <c r="I81" s="29"/>
      <c r="J81" s="29"/>
      <c r="K81" s="29"/>
      <c r="L81" s="29"/>
      <c r="M81" s="29"/>
      <c r="N81" s="29"/>
      <c r="O81" s="29"/>
      <c r="P81" s="29"/>
      <c r="Q81" s="29"/>
      <c r="R81" s="29"/>
      <c r="S81" s="29"/>
      <c r="T81" s="29"/>
      <c r="U81" s="29"/>
      <c r="V81" s="29"/>
      <c r="W81" s="29"/>
      <c r="X81" s="29"/>
      <c r="Y81" s="29"/>
    </row>
    <row r="82" spans="1:25" ht="14.25" customHeight="1" x14ac:dyDescent="0.25">
      <c r="A82" s="29"/>
      <c r="B82" s="29"/>
      <c r="C82" s="29"/>
      <c r="D82" s="29"/>
      <c r="E82" s="29"/>
      <c r="F82" s="29"/>
      <c r="G82" s="29"/>
      <c r="H82" s="29"/>
      <c r="I82" s="29"/>
      <c r="J82" s="29"/>
      <c r="K82" s="29"/>
      <c r="L82" s="29"/>
      <c r="M82" s="29"/>
      <c r="N82" s="29"/>
      <c r="O82" s="29"/>
      <c r="P82" s="29"/>
      <c r="Q82" s="29"/>
      <c r="R82" s="29"/>
      <c r="S82" s="29"/>
      <c r="T82" s="29"/>
      <c r="U82" s="29"/>
      <c r="V82" s="29"/>
      <c r="W82" s="29"/>
      <c r="X82" s="29"/>
      <c r="Y82" s="29"/>
    </row>
    <row r="83" spans="1:25" ht="14.25" customHeight="1" x14ac:dyDescent="0.25">
      <c r="A83" s="29"/>
      <c r="B83" s="29"/>
      <c r="C83" s="29"/>
      <c r="D83" s="29"/>
      <c r="E83" s="29"/>
      <c r="F83" s="29"/>
      <c r="G83" s="29"/>
      <c r="H83" s="29"/>
      <c r="I83" s="29"/>
      <c r="J83" s="29"/>
      <c r="K83" s="29"/>
      <c r="L83" s="29"/>
      <c r="M83" s="29"/>
      <c r="N83" s="29"/>
      <c r="O83" s="29"/>
      <c r="P83" s="29"/>
      <c r="Q83" s="29"/>
      <c r="R83" s="29"/>
      <c r="S83" s="29"/>
      <c r="T83" s="29"/>
      <c r="U83" s="29"/>
      <c r="V83" s="29"/>
      <c r="W83" s="29"/>
      <c r="X83" s="29"/>
      <c r="Y83" s="29"/>
    </row>
    <row r="84" spans="1:25" ht="14.25" customHeight="1" x14ac:dyDescent="0.25">
      <c r="A84" s="29"/>
      <c r="B84" s="29"/>
      <c r="C84" s="29"/>
      <c r="D84" s="29"/>
      <c r="E84" s="29"/>
      <c r="F84" s="29"/>
      <c r="G84" s="29"/>
      <c r="H84" s="29"/>
      <c r="I84" s="29"/>
      <c r="J84" s="29"/>
      <c r="K84" s="29"/>
      <c r="L84" s="29"/>
      <c r="M84" s="29"/>
      <c r="N84" s="29"/>
      <c r="O84" s="29"/>
      <c r="P84" s="29"/>
      <c r="Q84" s="29"/>
      <c r="R84" s="29"/>
      <c r="S84" s="29"/>
      <c r="T84" s="29"/>
      <c r="U84" s="29"/>
      <c r="V84" s="29"/>
      <c r="W84" s="29"/>
      <c r="X84" s="29"/>
      <c r="Y84" s="29"/>
    </row>
    <row r="85" spans="1:25" ht="14.25" customHeight="1" x14ac:dyDescent="0.25">
      <c r="A85" s="29"/>
      <c r="B85" s="29"/>
      <c r="C85" s="29"/>
      <c r="D85" s="29"/>
      <c r="E85" s="29"/>
      <c r="F85" s="29"/>
      <c r="G85" s="29"/>
      <c r="H85" s="29"/>
      <c r="I85" s="29"/>
      <c r="J85" s="29"/>
      <c r="K85" s="29"/>
      <c r="L85" s="29"/>
      <c r="M85" s="29"/>
      <c r="N85" s="29"/>
      <c r="O85" s="29"/>
      <c r="P85" s="29"/>
      <c r="Q85" s="29"/>
      <c r="R85" s="29"/>
      <c r="S85" s="29"/>
      <c r="T85" s="29"/>
      <c r="U85" s="29"/>
      <c r="V85" s="29"/>
      <c r="W85" s="29"/>
      <c r="X85" s="29"/>
      <c r="Y85" s="29"/>
    </row>
    <row r="86" spans="1:25" ht="14.25" customHeight="1" x14ac:dyDescent="0.25">
      <c r="A86" s="29"/>
      <c r="B86" s="29"/>
      <c r="C86" s="29"/>
      <c r="D86" s="29"/>
      <c r="E86" s="29"/>
      <c r="F86" s="29"/>
      <c r="G86" s="29"/>
      <c r="H86" s="29"/>
      <c r="I86" s="29"/>
      <c r="J86" s="29"/>
      <c r="K86" s="29"/>
      <c r="L86" s="29"/>
      <c r="M86" s="29"/>
      <c r="N86" s="29"/>
      <c r="O86" s="29"/>
      <c r="P86" s="29"/>
      <c r="Q86" s="29"/>
      <c r="R86" s="29"/>
      <c r="S86" s="29"/>
      <c r="T86" s="29"/>
      <c r="U86" s="29"/>
      <c r="V86" s="29"/>
      <c r="W86" s="29"/>
      <c r="X86" s="29"/>
      <c r="Y86" s="29"/>
    </row>
    <row r="87" spans="1:25" ht="14.25" customHeight="1" x14ac:dyDescent="0.25">
      <c r="A87" s="29"/>
      <c r="B87" s="29"/>
      <c r="C87" s="29"/>
      <c r="D87" s="29"/>
      <c r="E87" s="29"/>
      <c r="F87" s="29"/>
      <c r="G87" s="29"/>
      <c r="H87" s="29"/>
      <c r="I87" s="29"/>
      <c r="J87" s="29"/>
      <c r="K87" s="29"/>
      <c r="L87" s="29"/>
      <c r="M87" s="29"/>
      <c r="N87" s="29"/>
      <c r="O87" s="29"/>
      <c r="P87" s="29"/>
      <c r="Q87" s="29"/>
      <c r="R87" s="29"/>
      <c r="S87" s="29"/>
      <c r="T87" s="29"/>
      <c r="U87" s="29"/>
      <c r="V87" s="29"/>
      <c r="W87" s="29"/>
      <c r="X87" s="29"/>
      <c r="Y87" s="29"/>
    </row>
    <row r="88" spans="1:25" ht="14.25" customHeight="1" x14ac:dyDescent="0.25">
      <c r="A88" s="29"/>
      <c r="B88" s="29"/>
      <c r="C88" s="29"/>
      <c r="D88" s="29"/>
      <c r="E88" s="29"/>
      <c r="F88" s="29"/>
      <c r="G88" s="29"/>
      <c r="H88" s="29"/>
      <c r="I88" s="29"/>
      <c r="J88" s="29"/>
      <c r="K88" s="29"/>
      <c r="L88" s="29"/>
      <c r="M88" s="29"/>
      <c r="N88" s="29"/>
      <c r="O88" s="29"/>
      <c r="P88" s="29"/>
      <c r="Q88" s="29"/>
      <c r="R88" s="29"/>
      <c r="S88" s="29"/>
      <c r="T88" s="29"/>
      <c r="U88" s="29"/>
      <c r="V88" s="29"/>
      <c r="W88" s="29"/>
      <c r="X88" s="29"/>
      <c r="Y88" s="29"/>
    </row>
    <row r="89" spans="1:25" ht="14.25" customHeight="1" x14ac:dyDescent="0.25">
      <c r="A89" s="29"/>
      <c r="B89" s="29"/>
      <c r="C89" s="29"/>
      <c r="D89" s="29"/>
      <c r="E89" s="29"/>
      <c r="F89" s="29"/>
      <c r="G89" s="29"/>
      <c r="H89" s="29"/>
      <c r="I89" s="29"/>
      <c r="J89" s="29"/>
      <c r="K89" s="29"/>
      <c r="L89" s="29"/>
      <c r="M89" s="29"/>
      <c r="N89" s="29"/>
      <c r="O89" s="29"/>
      <c r="P89" s="29"/>
      <c r="Q89" s="29"/>
      <c r="R89" s="29"/>
      <c r="S89" s="29"/>
      <c r="T89" s="29"/>
      <c r="U89" s="29"/>
      <c r="V89" s="29"/>
      <c r="W89" s="29"/>
      <c r="X89" s="29"/>
      <c r="Y89" s="29"/>
    </row>
    <row r="90" spans="1:25" ht="14.25" customHeight="1" x14ac:dyDescent="0.25">
      <c r="A90" s="29"/>
      <c r="B90" s="29"/>
      <c r="C90" s="29"/>
      <c r="D90" s="29"/>
      <c r="E90" s="29"/>
      <c r="F90" s="29"/>
      <c r="G90" s="29"/>
      <c r="H90" s="29"/>
      <c r="I90" s="29"/>
      <c r="J90" s="29"/>
      <c r="K90" s="29"/>
      <c r="L90" s="29"/>
      <c r="M90" s="29"/>
      <c r="N90" s="29"/>
      <c r="O90" s="29"/>
      <c r="P90" s="29"/>
      <c r="Q90" s="29"/>
      <c r="R90" s="29"/>
      <c r="S90" s="29"/>
      <c r="T90" s="29"/>
      <c r="U90" s="29"/>
      <c r="V90" s="29"/>
      <c r="W90" s="29"/>
      <c r="X90" s="29"/>
      <c r="Y90" s="29"/>
    </row>
    <row r="91" spans="1:25" ht="14.25" customHeight="1" x14ac:dyDescent="0.25">
      <c r="A91" s="29"/>
      <c r="B91" s="29"/>
      <c r="C91" s="29"/>
      <c r="D91" s="29"/>
      <c r="E91" s="29"/>
      <c r="F91" s="29"/>
      <c r="G91" s="29"/>
      <c r="H91" s="29"/>
      <c r="I91" s="29"/>
      <c r="J91" s="29"/>
      <c r="K91" s="29"/>
      <c r="L91" s="29"/>
      <c r="M91" s="29"/>
      <c r="N91" s="29"/>
      <c r="O91" s="29"/>
      <c r="P91" s="29"/>
      <c r="Q91" s="29"/>
      <c r="R91" s="29"/>
      <c r="S91" s="29"/>
      <c r="T91" s="29"/>
      <c r="U91" s="29"/>
      <c r="V91" s="29"/>
      <c r="W91" s="29"/>
      <c r="X91" s="29"/>
      <c r="Y91" s="29"/>
    </row>
    <row r="92" spans="1:25" ht="14.25" customHeight="1" x14ac:dyDescent="0.25">
      <c r="A92" s="29"/>
      <c r="B92" s="29"/>
      <c r="C92" s="29"/>
      <c r="D92" s="29"/>
      <c r="E92" s="29"/>
      <c r="F92" s="29"/>
      <c r="G92" s="29"/>
      <c r="H92" s="29"/>
      <c r="I92" s="29"/>
      <c r="J92" s="29"/>
      <c r="K92" s="29"/>
      <c r="L92" s="29"/>
      <c r="M92" s="29"/>
      <c r="N92" s="29"/>
      <c r="O92" s="29"/>
      <c r="P92" s="29"/>
      <c r="Q92" s="29"/>
      <c r="R92" s="29"/>
      <c r="S92" s="29"/>
      <c r="T92" s="29"/>
      <c r="U92" s="29"/>
      <c r="V92" s="29"/>
      <c r="W92" s="29"/>
      <c r="X92" s="29"/>
      <c r="Y92" s="29"/>
    </row>
    <row r="93" spans="1:25" ht="14.25" customHeight="1" x14ac:dyDescent="0.25">
      <c r="A93" s="29"/>
      <c r="B93" s="29"/>
      <c r="C93" s="29"/>
      <c r="D93" s="29"/>
      <c r="E93" s="29"/>
      <c r="F93" s="29"/>
      <c r="G93" s="29"/>
      <c r="H93" s="29"/>
      <c r="I93" s="29"/>
      <c r="J93" s="29"/>
      <c r="K93" s="29"/>
      <c r="L93" s="29"/>
      <c r="M93" s="29"/>
      <c r="N93" s="29"/>
      <c r="O93" s="29"/>
      <c r="P93" s="29"/>
      <c r="Q93" s="29"/>
      <c r="R93" s="29"/>
      <c r="S93" s="29"/>
      <c r="T93" s="29"/>
      <c r="U93" s="29"/>
      <c r="V93" s="29"/>
      <c r="W93" s="29"/>
      <c r="X93" s="29"/>
      <c r="Y93" s="29"/>
    </row>
    <row r="94" spans="1:25" ht="14.25" customHeight="1" x14ac:dyDescent="0.25">
      <c r="A94" s="29"/>
      <c r="B94" s="29"/>
      <c r="C94" s="29"/>
      <c r="D94" s="29"/>
      <c r="E94" s="29"/>
      <c r="F94" s="29"/>
      <c r="G94" s="29"/>
      <c r="H94" s="29"/>
      <c r="I94" s="29"/>
      <c r="J94" s="29"/>
      <c r="K94" s="29"/>
      <c r="L94" s="29"/>
      <c r="M94" s="29"/>
      <c r="N94" s="29"/>
      <c r="O94" s="29"/>
      <c r="P94" s="29"/>
      <c r="Q94" s="29"/>
      <c r="R94" s="29"/>
      <c r="S94" s="29"/>
      <c r="T94" s="29"/>
      <c r="U94" s="29"/>
      <c r="V94" s="29"/>
      <c r="W94" s="29"/>
      <c r="X94" s="29"/>
      <c r="Y94" s="29"/>
    </row>
    <row r="95" spans="1:25" ht="14.25" customHeight="1" x14ac:dyDescent="0.25">
      <c r="A95" s="29"/>
      <c r="B95" s="29"/>
      <c r="C95" s="29"/>
      <c r="D95" s="29"/>
      <c r="E95" s="29"/>
      <c r="F95" s="29"/>
      <c r="G95" s="29"/>
      <c r="H95" s="29"/>
      <c r="I95" s="29"/>
      <c r="J95" s="29"/>
      <c r="K95" s="29"/>
      <c r="L95" s="29"/>
      <c r="M95" s="29"/>
      <c r="N95" s="29"/>
      <c r="O95" s="29"/>
      <c r="P95" s="29"/>
      <c r="Q95" s="29"/>
      <c r="R95" s="29"/>
      <c r="S95" s="29"/>
      <c r="T95" s="29"/>
      <c r="U95" s="29"/>
      <c r="V95" s="29"/>
      <c r="W95" s="29"/>
      <c r="X95" s="29"/>
      <c r="Y95" s="29"/>
    </row>
    <row r="96" spans="1:25" ht="14.25" customHeight="1" x14ac:dyDescent="0.25">
      <c r="A96" s="29"/>
      <c r="B96" s="29"/>
      <c r="C96" s="29"/>
      <c r="D96" s="29"/>
      <c r="E96" s="29"/>
      <c r="F96" s="29"/>
      <c r="G96" s="29"/>
      <c r="H96" s="29"/>
      <c r="I96" s="29"/>
      <c r="J96" s="29"/>
      <c r="K96" s="29"/>
      <c r="L96" s="29"/>
      <c r="M96" s="29"/>
      <c r="N96" s="29"/>
      <c r="O96" s="29"/>
      <c r="P96" s="29"/>
      <c r="Q96" s="29"/>
      <c r="R96" s="29"/>
      <c r="S96" s="29"/>
      <c r="T96" s="29"/>
      <c r="U96" s="29"/>
      <c r="V96" s="29"/>
      <c r="W96" s="29"/>
      <c r="X96" s="29"/>
      <c r="Y96" s="29"/>
    </row>
    <row r="97" spans="1:25" ht="14.25" customHeight="1" x14ac:dyDescent="0.25">
      <c r="A97" s="29"/>
      <c r="B97" s="29"/>
      <c r="C97" s="29"/>
      <c r="D97" s="29"/>
      <c r="E97" s="29"/>
      <c r="F97" s="29"/>
      <c r="G97" s="29"/>
      <c r="H97" s="29"/>
      <c r="I97" s="29"/>
      <c r="J97" s="29"/>
      <c r="K97" s="29"/>
      <c r="L97" s="29"/>
      <c r="M97" s="29"/>
      <c r="N97" s="29"/>
      <c r="O97" s="29"/>
      <c r="P97" s="29"/>
      <c r="Q97" s="29"/>
      <c r="R97" s="29"/>
      <c r="S97" s="29"/>
      <c r="T97" s="29"/>
      <c r="U97" s="29"/>
      <c r="V97" s="29"/>
      <c r="W97" s="29"/>
      <c r="X97" s="29"/>
      <c r="Y97" s="29"/>
    </row>
    <row r="98" spans="1:25" ht="14.25" customHeight="1" x14ac:dyDescent="0.25">
      <c r="A98" s="29"/>
      <c r="B98" s="29"/>
      <c r="C98" s="29"/>
      <c r="D98" s="29"/>
      <c r="E98" s="29"/>
      <c r="F98" s="29"/>
      <c r="G98" s="29"/>
      <c r="H98" s="29"/>
      <c r="I98" s="29"/>
      <c r="J98" s="29"/>
      <c r="K98" s="29"/>
      <c r="L98" s="29"/>
      <c r="M98" s="29"/>
      <c r="N98" s="29"/>
      <c r="O98" s="29"/>
      <c r="P98" s="29"/>
      <c r="Q98" s="29"/>
      <c r="R98" s="29"/>
      <c r="S98" s="29"/>
      <c r="T98" s="29"/>
      <c r="U98" s="29"/>
      <c r="V98" s="29"/>
      <c r="W98" s="29"/>
      <c r="X98" s="29"/>
      <c r="Y98" s="29"/>
    </row>
    <row r="99" spans="1:25" ht="14.25" customHeight="1" x14ac:dyDescent="0.25">
      <c r="A99" s="29"/>
      <c r="B99" s="29"/>
      <c r="C99" s="29"/>
      <c r="D99" s="29"/>
      <c r="E99" s="29"/>
      <c r="F99" s="29"/>
      <c r="G99" s="29"/>
      <c r="H99" s="29"/>
      <c r="I99" s="29"/>
      <c r="J99" s="29"/>
      <c r="K99" s="29"/>
      <c r="L99" s="29"/>
      <c r="M99" s="29"/>
      <c r="N99" s="29"/>
      <c r="O99" s="29"/>
      <c r="P99" s="29"/>
      <c r="Q99" s="29"/>
      <c r="R99" s="29"/>
      <c r="S99" s="29"/>
      <c r="T99" s="29"/>
      <c r="U99" s="29"/>
      <c r="V99" s="29"/>
      <c r="W99" s="29"/>
      <c r="X99" s="29"/>
      <c r="Y99" s="29"/>
    </row>
    <row r="100" spans="1:25" ht="14.25" customHeight="1" x14ac:dyDescent="0.25">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row>
    <row r="101" spans="1:25" ht="14.25" customHeight="1" x14ac:dyDescent="0.25">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row>
    <row r="102" spans="1:25" ht="14.25" customHeight="1" x14ac:dyDescent="0.25">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row>
    <row r="103" spans="1:25" ht="14.25" customHeight="1" x14ac:dyDescent="0.25">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row>
    <row r="104" spans="1:25" ht="14.25" customHeight="1" x14ac:dyDescent="0.25">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row>
    <row r="105" spans="1:25" ht="14.25" customHeight="1" x14ac:dyDescent="0.25">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row>
    <row r="106" spans="1:25" ht="14.25" customHeight="1" x14ac:dyDescent="0.25">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row>
    <row r="107" spans="1:25" ht="14.25" customHeight="1" x14ac:dyDescent="0.25">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row>
    <row r="108" spans="1:25" ht="14.25" customHeight="1" x14ac:dyDescent="0.25">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row>
    <row r="109" spans="1:25" ht="14.25" customHeight="1" x14ac:dyDescent="0.25">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row>
    <row r="110" spans="1:25" ht="14.25" customHeight="1" x14ac:dyDescent="0.25">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row>
    <row r="111" spans="1:25" ht="14.25" customHeight="1" x14ac:dyDescent="0.25">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row>
    <row r="112" spans="1:25" ht="14.25" customHeight="1" x14ac:dyDescent="0.25">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row>
    <row r="113" spans="1:25" ht="14.25" customHeight="1" x14ac:dyDescent="0.25">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row>
    <row r="114" spans="1:25" ht="14.25" customHeight="1" x14ac:dyDescent="0.25">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row>
    <row r="115" spans="1:25" ht="14.25" customHeight="1" x14ac:dyDescent="0.25">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row>
    <row r="116" spans="1:25" ht="14.25" customHeight="1" x14ac:dyDescent="0.25">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row>
    <row r="117" spans="1:25" ht="14.25" customHeight="1" x14ac:dyDescent="0.25">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row>
    <row r="118" spans="1:25" ht="14.25" customHeight="1" x14ac:dyDescent="0.25">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row>
    <row r="119" spans="1:25" ht="14.25" customHeight="1" x14ac:dyDescent="0.25">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row>
    <row r="120" spans="1:25" ht="14.25" customHeight="1" x14ac:dyDescent="0.25">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row>
    <row r="121" spans="1:25" ht="14.25" customHeight="1" x14ac:dyDescent="0.25">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row>
    <row r="122" spans="1:25" ht="14.25" customHeight="1" x14ac:dyDescent="0.25">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row>
    <row r="123" spans="1:25" ht="14.25" customHeight="1" x14ac:dyDescent="0.25">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row>
    <row r="124" spans="1:25" ht="14.25" customHeight="1" x14ac:dyDescent="0.25">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row>
    <row r="125" spans="1:25" ht="14.25" customHeight="1" x14ac:dyDescent="0.25">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row>
    <row r="126" spans="1:25" ht="14.25" customHeight="1" x14ac:dyDescent="0.25">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row>
    <row r="127" spans="1:25" ht="14.25" customHeight="1" x14ac:dyDescent="0.25">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row>
    <row r="128" spans="1:25" ht="14.25" customHeight="1" x14ac:dyDescent="0.25">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row>
    <row r="129" spans="1:25" ht="14.25" customHeight="1" x14ac:dyDescent="0.25">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row>
    <row r="130" spans="1:25" ht="14.25" customHeight="1" x14ac:dyDescent="0.25">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row>
    <row r="131" spans="1:25" ht="14.25" customHeight="1" x14ac:dyDescent="0.25">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row>
    <row r="132" spans="1:25" ht="14.25" customHeight="1" x14ac:dyDescent="0.25">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row>
    <row r="133" spans="1:25" ht="14.25" customHeight="1" x14ac:dyDescent="0.25">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row>
    <row r="134" spans="1:25" ht="14.25" customHeight="1" x14ac:dyDescent="0.25">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row>
    <row r="135" spans="1:25" ht="14.25" customHeight="1" x14ac:dyDescent="0.25">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row>
    <row r="136" spans="1:25" ht="14.25" customHeight="1" x14ac:dyDescent="0.25">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row>
    <row r="137" spans="1:25" ht="14.25" customHeight="1" x14ac:dyDescent="0.25">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row>
    <row r="138" spans="1:25" ht="14.25" customHeight="1" x14ac:dyDescent="0.25">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row>
    <row r="139" spans="1:25" ht="14.25" customHeight="1" x14ac:dyDescent="0.25">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row>
    <row r="140" spans="1:25" ht="14.25" customHeight="1" x14ac:dyDescent="0.25">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row>
    <row r="141" spans="1:25" ht="14.25" customHeight="1" x14ac:dyDescent="0.25">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row>
    <row r="142" spans="1:25" ht="14.25" customHeight="1" x14ac:dyDescent="0.25">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row>
    <row r="143" spans="1:25" ht="14.25" customHeight="1" x14ac:dyDescent="0.25">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row>
    <row r="144" spans="1:25" ht="14.25" customHeight="1" x14ac:dyDescent="0.25">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row>
    <row r="145" spans="1:25" ht="14.25" customHeight="1" x14ac:dyDescent="0.25">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row>
    <row r="146" spans="1:25" ht="14.25" customHeight="1" x14ac:dyDescent="0.25">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row>
    <row r="147" spans="1:25" ht="14.25" customHeight="1" x14ac:dyDescent="0.25">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row>
    <row r="148" spans="1:25" ht="14.25" customHeight="1" x14ac:dyDescent="0.25">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row>
    <row r="149" spans="1:25" ht="14.25" customHeight="1" x14ac:dyDescent="0.25">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row>
    <row r="150" spans="1:25" ht="14.25" customHeight="1" x14ac:dyDescent="0.25">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row>
    <row r="151" spans="1:25" ht="14.25" customHeight="1" x14ac:dyDescent="0.25">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row>
    <row r="152" spans="1:25" ht="14.25" customHeight="1" x14ac:dyDescent="0.25">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row>
    <row r="153" spans="1:25" ht="14.25" customHeight="1" x14ac:dyDescent="0.25">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row>
    <row r="154" spans="1:25" ht="14.25" customHeight="1" x14ac:dyDescent="0.25">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row>
    <row r="155" spans="1:25" ht="14.25" customHeight="1" x14ac:dyDescent="0.25">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row>
    <row r="156" spans="1:25" ht="14.25" customHeight="1" x14ac:dyDescent="0.25">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row>
    <row r="157" spans="1:25" ht="14.25" customHeight="1" x14ac:dyDescent="0.25">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row>
    <row r="158" spans="1:25" ht="14.25" customHeight="1" x14ac:dyDescent="0.25">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row>
    <row r="159" spans="1:25" ht="14.25" customHeight="1" x14ac:dyDescent="0.25">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row>
    <row r="160" spans="1:25" ht="14.25" customHeight="1" x14ac:dyDescent="0.25">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row>
    <row r="161" spans="1:25" ht="14.25" customHeight="1" x14ac:dyDescent="0.25">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row>
    <row r="162" spans="1:25" ht="14.25" customHeight="1" x14ac:dyDescent="0.25">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row>
    <row r="163" spans="1:25" ht="14.25" customHeight="1" x14ac:dyDescent="0.25">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row>
    <row r="164" spans="1:25" ht="14.25" customHeight="1" x14ac:dyDescent="0.25">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row>
    <row r="165" spans="1:25" ht="14.25" customHeight="1" x14ac:dyDescent="0.25">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row>
    <row r="166" spans="1:25" ht="14.25" customHeight="1" x14ac:dyDescent="0.25">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row>
    <row r="167" spans="1:25" ht="14.25" customHeight="1" x14ac:dyDescent="0.25">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row>
    <row r="168" spans="1:25" ht="14.25" customHeight="1" x14ac:dyDescent="0.25">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row>
    <row r="169" spans="1:25" ht="14.25" customHeight="1" x14ac:dyDescent="0.25">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row>
    <row r="170" spans="1:25" ht="14.25" customHeight="1" x14ac:dyDescent="0.25">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row>
    <row r="171" spans="1:25" ht="14.25" customHeight="1" x14ac:dyDescent="0.25">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row>
    <row r="172" spans="1:25" ht="14.25" customHeight="1" x14ac:dyDescent="0.25">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row>
    <row r="173" spans="1:25" ht="14.25" customHeight="1" x14ac:dyDescent="0.25">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row>
    <row r="174" spans="1:25" ht="14.25" customHeight="1" x14ac:dyDescent="0.25">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row>
    <row r="175" spans="1:25" ht="14.25" customHeight="1" x14ac:dyDescent="0.25">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row>
    <row r="176" spans="1:25" ht="14.25" customHeight="1" x14ac:dyDescent="0.25">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row>
    <row r="177" spans="1:25" ht="14.25" customHeight="1" x14ac:dyDescent="0.25">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row>
    <row r="178" spans="1:25" ht="14.25" customHeight="1" x14ac:dyDescent="0.25">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row>
    <row r="179" spans="1:25" ht="14.25" customHeight="1" x14ac:dyDescent="0.25">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row>
    <row r="180" spans="1:25" ht="14.25" customHeight="1" x14ac:dyDescent="0.25">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row>
    <row r="181" spans="1:25" ht="14.25" customHeight="1" x14ac:dyDescent="0.25">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row>
    <row r="182" spans="1:25" ht="14.25" customHeight="1" x14ac:dyDescent="0.25">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row>
    <row r="183" spans="1:25" ht="14.25" customHeight="1" x14ac:dyDescent="0.25">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row>
    <row r="184" spans="1:25" ht="14.25" customHeight="1" x14ac:dyDescent="0.25">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row>
    <row r="185" spans="1:25" ht="14.25" customHeight="1" x14ac:dyDescent="0.25">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row>
    <row r="186" spans="1:25" ht="14.25" customHeight="1" x14ac:dyDescent="0.25">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row>
    <row r="187" spans="1:25" ht="14.25" customHeight="1" x14ac:dyDescent="0.25">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row>
    <row r="188" spans="1:25" ht="14.25" customHeight="1" x14ac:dyDescent="0.25">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row>
    <row r="189" spans="1:25" ht="14.25" customHeight="1" x14ac:dyDescent="0.25">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row>
    <row r="190" spans="1:25" ht="14.25" customHeight="1" x14ac:dyDescent="0.25">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row>
    <row r="191" spans="1:25" ht="14.25" customHeight="1" x14ac:dyDescent="0.25">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row>
    <row r="192" spans="1:25" ht="14.25" customHeight="1" x14ac:dyDescent="0.25">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row>
    <row r="193" spans="1:25" ht="14.25" customHeight="1" x14ac:dyDescent="0.25">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row>
    <row r="194" spans="1:25" ht="14.25" customHeight="1" x14ac:dyDescent="0.25">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row>
    <row r="195" spans="1:25" ht="14.25" customHeight="1" x14ac:dyDescent="0.25">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row>
    <row r="196" spans="1:25" ht="14.25" customHeight="1" x14ac:dyDescent="0.25">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row>
    <row r="197" spans="1:25" ht="14.25" customHeight="1" x14ac:dyDescent="0.25">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row>
    <row r="198" spans="1:25" ht="14.25" customHeight="1" x14ac:dyDescent="0.25">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row>
    <row r="199" spans="1:25" ht="14.25" customHeight="1" x14ac:dyDescent="0.25">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row>
    <row r="200" spans="1:25" ht="14.25" customHeight="1" x14ac:dyDescent="0.25">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row>
    <row r="201" spans="1:25" ht="14.25" customHeight="1" x14ac:dyDescent="0.25">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row>
    <row r="202" spans="1:25" ht="14.25" customHeight="1" x14ac:dyDescent="0.25">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row>
    <row r="203" spans="1:25" ht="14.25" customHeight="1" x14ac:dyDescent="0.25">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row>
    <row r="204" spans="1:25" ht="14.25" customHeight="1" x14ac:dyDescent="0.25">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row>
    <row r="205" spans="1:25" ht="14.25" customHeight="1" x14ac:dyDescent="0.25">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row>
    <row r="206" spans="1:25" ht="14.25" customHeight="1" x14ac:dyDescent="0.25">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row>
    <row r="207" spans="1:25" ht="14.25" customHeight="1" x14ac:dyDescent="0.25">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row>
    <row r="208" spans="1:25" ht="14.25" customHeight="1" x14ac:dyDescent="0.25">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row>
    <row r="209" spans="1:25" ht="14.25" customHeight="1" x14ac:dyDescent="0.25">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row>
    <row r="210" spans="1:25" ht="14.25" customHeight="1" x14ac:dyDescent="0.25">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row>
    <row r="211" spans="1:25" ht="14.25" customHeight="1" x14ac:dyDescent="0.25">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row>
    <row r="212" spans="1:25" ht="14.25" customHeight="1" x14ac:dyDescent="0.25">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row>
    <row r="213" spans="1:25" ht="14.25" customHeight="1" x14ac:dyDescent="0.25">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row>
    <row r="214" spans="1:25" ht="14.25" customHeight="1" x14ac:dyDescent="0.25">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row>
    <row r="215" spans="1:25" ht="14.25" customHeight="1" x14ac:dyDescent="0.25">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row>
    <row r="216" spans="1:25" ht="14.25" customHeight="1" x14ac:dyDescent="0.25">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row>
    <row r="217" spans="1:25" ht="14.25" customHeight="1" x14ac:dyDescent="0.25">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row>
    <row r="218" spans="1:25" ht="14.25" customHeight="1" x14ac:dyDescent="0.25">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row>
    <row r="219" spans="1:25" ht="14.25" customHeight="1" x14ac:dyDescent="0.25">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row>
    <row r="220" spans="1:25" ht="14.25" customHeight="1" x14ac:dyDescent="0.25">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row>
    <row r="221" spans="1:25" ht="14.25" customHeight="1" x14ac:dyDescent="0.25">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row>
    <row r="222" spans="1:25" ht="14.25" customHeight="1" x14ac:dyDescent="0.25">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row>
    <row r="223" spans="1:25" ht="14.25" customHeight="1" x14ac:dyDescent="0.25">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row>
    <row r="224" spans="1:25" ht="14.25" customHeight="1" x14ac:dyDescent="0.25">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row>
    <row r="225" spans="1:25" ht="14.25" customHeight="1" x14ac:dyDescent="0.25">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row>
    <row r="226" spans="1:25" ht="14.25" customHeight="1" x14ac:dyDescent="0.25">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row>
    <row r="227" spans="1:25" ht="14.25" customHeight="1" x14ac:dyDescent="0.25">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row>
    <row r="228" spans="1:25" ht="14.25" customHeight="1" x14ac:dyDescent="0.25">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row>
    <row r="229" spans="1:25" ht="15.75" customHeight="1" x14ac:dyDescent="0.25"/>
    <row r="230" spans="1:25" ht="15.75" customHeight="1" x14ac:dyDescent="0.25"/>
    <row r="231" spans="1:25" ht="15.75" customHeight="1" x14ac:dyDescent="0.25"/>
    <row r="232" spans="1:25" ht="15.75" customHeight="1" x14ac:dyDescent="0.25"/>
    <row r="233" spans="1:25" ht="15.75" customHeight="1" x14ac:dyDescent="0.25"/>
    <row r="234" spans="1:25" ht="15.75" customHeight="1" x14ac:dyDescent="0.25"/>
    <row r="235" spans="1:25" ht="15.75" customHeight="1" x14ac:dyDescent="0.25"/>
    <row r="236" spans="1:25" ht="15.75" customHeight="1" x14ac:dyDescent="0.25"/>
    <row r="237" spans="1:25" ht="15.75" customHeight="1" x14ac:dyDescent="0.25"/>
    <row r="238" spans="1:25" ht="15.75" customHeight="1" x14ac:dyDescent="0.25"/>
    <row r="239" spans="1:25" ht="15.75" customHeight="1" x14ac:dyDescent="0.25"/>
    <row r="240" spans="1:25"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B12:B13"/>
    <mergeCell ref="A22:B22"/>
    <mergeCell ref="A28:B28"/>
  </mergeCells>
  <pageMargins left="0.7" right="0.7" top="0.75" bottom="0.75" header="0" footer="0"/>
  <pageSetup paperSize="14" scale="85"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topLeftCell="D28" workbookViewId="0">
      <selection activeCell="H40" sqref="H40"/>
    </sheetView>
  </sheetViews>
  <sheetFormatPr defaultColWidth="12.59765625" defaultRowHeight="15" customHeight="1" x14ac:dyDescent="0.25"/>
  <cols>
    <col min="1" max="1" width="3.59765625" customWidth="1"/>
    <col min="2" max="2" width="36" customWidth="1"/>
    <col min="3" max="3" width="13.3984375" customWidth="1"/>
    <col min="4" max="4" width="12.3984375" customWidth="1"/>
    <col min="5" max="5" width="13.5" customWidth="1"/>
    <col min="6" max="6" width="28.69921875" customWidth="1"/>
    <col min="7" max="7" width="20.69921875" customWidth="1"/>
    <col min="8" max="8" width="22.5" customWidth="1"/>
    <col min="9" max="9" width="11.8984375" customWidth="1"/>
    <col min="10" max="10" width="16.69921875" customWidth="1"/>
    <col min="11" max="11" width="31.59765625" customWidth="1"/>
    <col min="12" max="12" width="15.8984375" customWidth="1"/>
    <col min="13" max="13" width="21.5" customWidth="1"/>
    <col min="14" max="14" width="15.3984375" customWidth="1"/>
    <col min="15" max="15" width="14.5" customWidth="1"/>
    <col min="16" max="16" width="14" customWidth="1"/>
    <col min="17" max="17" width="25.19921875" customWidth="1"/>
    <col min="18" max="18" width="24.59765625" customWidth="1"/>
    <col min="19" max="19" width="31.3984375" customWidth="1"/>
    <col min="20" max="23" width="8.59765625" customWidth="1"/>
  </cols>
  <sheetData>
    <row r="1" spans="1:26" ht="11.25" customHeight="1" x14ac:dyDescent="0.25">
      <c r="A1" s="6" t="s">
        <v>2371</v>
      </c>
      <c r="B1" s="165"/>
      <c r="C1" s="165"/>
      <c r="D1" s="165"/>
      <c r="E1" s="165"/>
      <c r="F1" s="165"/>
      <c r="G1" s="165"/>
      <c r="H1" s="165"/>
      <c r="I1" s="165"/>
      <c r="J1" s="165"/>
      <c r="K1" s="165"/>
      <c r="L1" s="165"/>
      <c r="M1" s="165"/>
      <c r="N1" s="165"/>
      <c r="O1" s="165"/>
      <c r="P1" s="165"/>
      <c r="Q1" s="165"/>
      <c r="R1" s="165"/>
      <c r="S1" s="165"/>
      <c r="T1" s="165"/>
      <c r="U1" s="165"/>
      <c r="V1" s="165"/>
      <c r="W1" s="165"/>
    </row>
    <row r="2" spans="1:26" ht="13.5" customHeight="1" x14ac:dyDescent="0.25">
      <c r="A2" s="6" t="s">
        <v>2372</v>
      </c>
      <c r="B2" s="166"/>
      <c r="C2" s="166"/>
      <c r="D2" s="166"/>
      <c r="E2" s="166"/>
      <c r="F2" s="166"/>
      <c r="G2" s="166"/>
      <c r="H2" s="166"/>
      <c r="I2" s="166"/>
      <c r="J2" s="166"/>
      <c r="K2" s="166"/>
      <c r="L2" s="166"/>
      <c r="M2" s="166"/>
      <c r="N2" s="166"/>
      <c r="O2" s="166"/>
      <c r="P2" s="166"/>
      <c r="Q2" s="166"/>
      <c r="R2" s="166"/>
      <c r="S2" s="166"/>
      <c r="T2" s="166"/>
      <c r="U2" s="166"/>
      <c r="V2" s="166"/>
      <c r="W2" s="166"/>
    </row>
    <row r="3" spans="1:26" ht="22.5" customHeight="1" x14ac:dyDescent="0.25">
      <c r="A3" s="167" t="s">
        <v>2373</v>
      </c>
      <c r="B3" s="166"/>
      <c r="C3" s="166"/>
      <c r="D3" s="166"/>
      <c r="E3" s="166"/>
      <c r="F3" s="166"/>
      <c r="G3" s="166"/>
      <c r="H3" s="166"/>
      <c r="I3" s="166"/>
      <c r="J3" s="166"/>
      <c r="K3" s="166"/>
      <c r="L3" s="166"/>
      <c r="M3" s="166"/>
      <c r="N3" s="166"/>
      <c r="O3" s="166"/>
      <c r="P3" s="166"/>
      <c r="Q3" s="166"/>
      <c r="R3" s="166"/>
      <c r="S3" s="166"/>
      <c r="T3" s="166"/>
      <c r="U3" s="166"/>
      <c r="V3" s="166"/>
      <c r="W3" s="166"/>
    </row>
    <row r="4" spans="1:26" ht="20.25" customHeight="1" x14ac:dyDescent="0.25">
      <c r="A4" s="168" t="s">
        <v>2374</v>
      </c>
      <c r="B4" s="166"/>
      <c r="C4" s="166"/>
      <c r="D4" s="166"/>
      <c r="E4" s="166"/>
      <c r="F4" s="166"/>
      <c r="G4" s="166"/>
      <c r="H4" s="166"/>
      <c r="I4" s="166"/>
      <c r="J4" s="166"/>
      <c r="K4" s="166"/>
      <c r="L4" s="166"/>
      <c r="M4" s="166"/>
      <c r="N4" s="166"/>
      <c r="O4" s="166"/>
      <c r="P4" s="166"/>
      <c r="Q4" s="166"/>
      <c r="R4" s="166"/>
      <c r="S4" s="166"/>
      <c r="T4" s="166"/>
      <c r="U4" s="166"/>
      <c r="V4" s="166"/>
      <c r="W4" s="166"/>
    </row>
    <row r="5" spans="1:26" ht="11.25" customHeight="1" x14ac:dyDescent="0.25">
      <c r="A5" s="168"/>
      <c r="B5" s="166"/>
      <c r="C5" s="166"/>
      <c r="D5" s="166"/>
      <c r="E5" s="166"/>
      <c r="F5" s="166"/>
      <c r="G5" s="166"/>
      <c r="H5" s="166"/>
      <c r="I5" s="166"/>
      <c r="J5" s="166"/>
      <c r="K5" s="166"/>
      <c r="L5" s="166"/>
      <c r="M5" s="166"/>
      <c r="N5" s="166"/>
      <c r="O5" s="166"/>
      <c r="P5" s="166"/>
      <c r="Q5" s="166"/>
      <c r="R5" s="166"/>
      <c r="S5" s="166"/>
      <c r="T5" s="166"/>
      <c r="U5" s="166"/>
      <c r="V5" s="166"/>
      <c r="W5" s="166"/>
    </row>
    <row r="6" spans="1:26" ht="14.25" customHeight="1" x14ac:dyDescent="0.25">
      <c r="A6" s="167" t="s">
        <v>2375</v>
      </c>
      <c r="B6" s="166"/>
      <c r="C6" s="166"/>
      <c r="D6" s="166"/>
      <c r="E6" s="166"/>
      <c r="F6" s="166"/>
      <c r="G6" s="166"/>
      <c r="H6" s="166"/>
      <c r="I6" s="166"/>
      <c r="J6" s="166"/>
      <c r="K6" s="166"/>
      <c r="L6" s="166"/>
      <c r="M6" s="166"/>
      <c r="N6" s="166"/>
      <c r="O6" s="166"/>
      <c r="P6" s="166"/>
      <c r="Q6" s="166"/>
      <c r="R6" s="166"/>
      <c r="S6" s="166"/>
      <c r="T6" s="166"/>
      <c r="U6" s="166"/>
      <c r="V6" s="166"/>
      <c r="W6" s="166"/>
    </row>
    <row r="7" spans="1:26" ht="11.25" customHeight="1" x14ac:dyDescent="0.25">
      <c r="A7" s="165"/>
      <c r="B7" s="169"/>
      <c r="C7" s="165"/>
      <c r="D7" s="165"/>
      <c r="E7" s="165"/>
      <c r="F7" s="165"/>
      <c r="G7" s="165"/>
      <c r="H7" s="165"/>
      <c r="I7" s="165"/>
      <c r="J7" s="165"/>
      <c r="K7" s="165"/>
      <c r="L7" s="165"/>
      <c r="M7" s="165"/>
      <c r="N7" s="165"/>
      <c r="O7" s="165"/>
      <c r="P7" s="165"/>
      <c r="Q7" s="165"/>
      <c r="R7" s="165"/>
      <c r="S7" s="165"/>
      <c r="T7" s="165"/>
      <c r="U7" s="165"/>
      <c r="V7" s="165"/>
      <c r="W7" s="165"/>
    </row>
    <row r="8" spans="1:26" ht="12.75" customHeight="1" x14ac:dyDescent="0.25">
      <c r="A8" s="166" t="s">
        <v>2376</v>
      </c>
      <c r="B8" s="166" t="s">
        <v>2377</v>
      </c>
      <c r="C8" s="166"/>
      <c r="D8" s="166"/>
      <c r="E8" s="166"/>
      <c r="F8" s="166"/>
      <c r="G8" s="166"/>
      <c r="H8" s="166"/>
      <c r="I8" s="166"/>
      <c r="J8" s="166"/>
      <c r="K8" s="166"/>
      <c r="L8" s="166"/>
      <c r="M8" s="166"/>
      <c r="N8" s="166"/>
      <c r="O8" s="166"/>
      <c r="P8" s="166"/>
      <c r="Q8" s="166"/>
      <c r="R8" s="166"/>
      <c r="S8" s="166"/>
      <c r="T8" s="166"/>
      <c r="U8" s="166"/>
      <c r="V8" s="166"/>
      <c r="W8" s="166"/>
      <c r="X8" s="170"/>
      <c r="Y8" s="170"/>
      <c r="Z8" s="170"/>
    </row>
    <row r="9" spans="1:26" ht="12.75" customHeight="1" x14ac:dyDescent="0.25">
      <c r="A9" s="166"/>
      <c r="B9" s="166" t="s">
        <v>2378</v>
      </c>
      <c r="C9" s="166"/>
      <c r="D9" s="166"/>
      <c r="E9" s="166"/>
      <c r="F9" s="166"/>
      <c r="G9" s="166"/>
      <c r="H9" s="166"/>
      <c r="I9" s="166"/>
      <c r="J9" s="166"/>
      <c r="K9" s="166"/>
      <c r="L9" s="166"/>
      <c r="M9" s="166"/>
      <c r="N9" s="166"/>
      <c r="O9" s="166"/>
      <c r="P9" s="166"/>
      <c r="Q9" s="166"/>
      <c r="R9" s="166"/>
      <c r="S9" s="166"/>
      <c r="T9" s="166"/>
      <c r="U9" s="166"/>
      <c r="V9" s="166"/>
      <c r="W9" s="166"/>
      <c r="X9" s="170"/>
      <c r="Y9" s="170"/>
      <c r="Z9" s="170"/>
    </row>
    <row r="10" spans="1:26" ht="12.75" customHeight="1" x14ac:dyDescent="0.25">
      <c r="A10" s="166"/>
      <c r="B10" s="171" t="s">
        <v>2379</v>
      </c>
      <c r="C10" s="171"/>
      <c r="D10" s="171"/>
      <c r="E10" s="171"/>
      <c r="F10" s="166"/>
      <c r="G10" s="166"/>
      <c r="H10" s="166"/>
      <c r="I10" s="166"/>
      <c r="J10" s="166"/>
      <c r="K10" s="166"/>
      <c r="L10" s="166"/>
      <c r="M10" s="166"/>
      <c r="N10" s="166"/>
      <c r="O10" s="166"/>
      <c r="P10" s="166"/>
      <c r="Q10" s="166"/>
      <c r="R10" s="166"/>
      <c r="S10" s="166"/>
      <c r="T10" s="166"/>
      <c r="U10" s="166"/>
      <c r="V10" s="166"/>
      <c r="W10" s="166"/>
      <c r="X10" s="170"/>
      <c r="Y10" s="170"/>
      <c r="Z10" s="170"/>
    </row>
    <row r="11" spans="1:26" ht="12.75" customHeight="1" x14ac:dyDescent="0.25">
      <c r="A11" s="166"/>
      <c r="B11" s="166" t="s">
        <v>2380</v>
      </c>
      <c r="C11" s="166"/>
      <c r="D11" s="166"/>
      <c r="E11" s="166"/>
      <c r="F11" s="166"/>
      <c r="G11" s="166"/>
      <c r="H11" s="166"/>
      <c r="I11" s="166"/>
      <c r="J11" s="166"/>
      <c r="K11" s="166"/>
      <c r="L11" s="166"/>
      <c r="M11" s="166"/>
      <c r="N11" s="166"/>
      <c r="O11" s="166"/>
      <c r="P11" s="166"/>
      <c r="Q11" s="166"/>
      <c r="R11" s="166"/>
      <c r="S11" s="166"/>
      <c r="T11" s="166"/>
      <c r="U11" s="166"/>
      <c r="V11" s="166"/>
      <c r="W11" s="166"/>
      <c r="X11" s="170"/>
      <c r="Y11" s="170"/>
      <c r="Z11" s="170"/>
    </row>
    <row r="12" spans="1:26" ht="12.75" customHeight="1" x14ac:dyDescent="0.25">
      <c r="A12" s="166"/>
      <c r="B12" s="172" t="s">
        <v>2381</v>
      </c>
      <c r="C12" s="171"/>
      <c r="D12" s="166"/>
      <c r="E12" s="166"/>
      <c r="F12" s="166"/>
      <c r="G12" s="166"/>
      <c r="H12" s="166"/>
      <c r="I12" s="166"/>
      <c r="J12" s="166"/>
      <c r="K12" s="166"/>
      <c r="L12" s="166"/>
      <c r="M12" s="166"/>
      <c r="N12" s="166"/>
      <c r="O12" s="166"/>
      <c r="P12" s="166"/>
      <c r="Q12" s="166"/>
      <c r="R12" s="166"/>
      <c r="S12" s="166"/>
      <c r="T12" s="166"/>
      <c r="U12" s="166"/>
      <c r="V12" s="166"/>
      <c r="W12" s="166"/>
      <c r="X12" s="170"/>
      <c r="Y12" s="170"/>
      <c r="Z12" s="170"/>
    </row>
    <row r="13" spans="1:26" ht="12.75" customHeight="1" x14ac:dyDescent="0.25">
      <c r="A13" s="166"/>
      <c r="B13" s="166"/>
      <c r="C13" s="166"/>
      <c r="D13" s="166"/>
      <c r="E13" s="166"/>
      <c r="F13" s="166"/>
      <c r="G13" s="166"/>
      <c r="H13" s="166"/>
      <c r="I13" s="166"/>
      <c r="J13" s="166"/>
      <c r="K13" s="166"/>
      <c r="L13" s="166"/>
      <c r="M13" s="166"/>
      <c r="N13" s="166"/>
      <c r="O13" s="166"/>
      <c r="P13" s="166"/>
      <c r="Q13" s="166"/>
      <c r="R13" s="166"/>
      <c r="S13" s="166"/>
      <c r="T13" s="166"/>
      <c r="U13" s="166"/>
      <c r="V13" s="166"/>
      <c r="W13" s="166"/>
      <c r="X13" s="170"/>
      <c r="Y13" s="170"/>
      <c r="Z13" s="170"/>
    </row>
    <row r="14" spans="1:26" ht="12.75" customHeight="1" x14ac:dyDescent="0.25">
      <c r="A14" s="166"/>
      <c r="B14" s="166" t="s">
        <v>167</v>
      </c>
      <c r="C14" s="166" t="s">
        <v>2382</v>
      </c>
      <c r="D14" s="166"/>
      <c r="E14" s="166"/>
      <c r="F14" s="166"/>
      <c r="G14" s="166"/>
      <c r="H14" s="166"/>
      <c r="I14" s="166"/>
      <c r="J14" s="166"/>
      <c r="K14" s="166"/>
      <c r="L14" s="166"/>
      <c r="M14" s="166"/>
      <c r="N14" s="166"/>
      <c r="O14" s="166"/>
      <c r="P14" s="166"/>
      <c r="Q14" s="166"/>
      <c r="R14" s="166"/>
      <c r="S14" s="166"/>
      <c r="T14" s="166"/>
      <c r="U14" s="166"/>
      <c r="V14" s="166"/>
      <c r="W14" s="166"/>
      <c r="X14" s="170"/>
      <c r="Y14" s="170"/>
      <c r="Z14" s="170"/>
    </row>
    <row r="15" spans="1:26" ht="12.75" customHeight="1" x14ac:dyDescent="0.25">
      <c r="A15" s="166"/>
      <c r="B15" s="166"/>
      <c r="C15" s="166" t="s">
        <v>2383</v>
      </c>
      <c r="D15" s="166"/>
      <c r="E15" s="166"/>
      <c r="F15" s="166"/>
      <c r="G15" s="166"/>
      <c r="H15" s="166"/>
      <c r="I15" s="166"/>
      <c r="J15" s="166"/>
      <c r="K15" s="166"/>
      <c r="L15" s="166"/>
      <c r="M15" s="166"/>
      <c r="N15" s="166"/>
      <c r="O15" s="166"/>
      <c r="P15" s="166"/>
      <c r="Q15" s="166"/>
      <c r="R15" s="166"/>
      <c r="S15" s="166"/>
      <c r="T15" s="166"/>
      <c r="U15" s="166"/>
      <c r="V15" s="166"/>
      <c r="W15" s="166"/>
      <c r="X15" s="170"/>
      <c r="Y15" s="170"/>
      <c r="Z15" s="170"/>
    </row>
    <row r="16" spans="1:26" ht="12.75" customHeight="1" x14ac:dyDescent="0.25">
      <c r="A16" s="166"/>
      <c r="B16" s="166"/>
      <c r="C16" s="4"/>
      <c r="D16" s="173" t="s">
        <v>2384</v>
      </c>
      <c r="E16" s="166"/>
      <c r="F16" s="166"/>
      <c r="G16" s="166"/>
      <c r="H16" s="166"/>
      <c r="I16" s="166"/>
      <c r="J16" s="166"/>
      <c r="K16" s="166"/>
      <c r="L16" s="166"/>
      <c r="M16" s="166"/>
      <c r="N16" s="166"/>
      <c r="O16" s="166"/>
      <c r="P16" s="166"/>
      <c r="Q16" s="166"/>
      <c r="R16" s="166"/>
      <c r="S16" s="166"/>
      <c r="T16" s="166"/>
      <c r="U16" s="166"/>
      <c r="V16" s="166"/>
      <c r="W16" s="166"/>
      <c r="X16" s="170"/>
      <c r="Y16" s="170"/>
      <c r="Z16" s="170"/>
    </row>
    <row r="17" spans="1:26" ht="12.75" customHeight="1" x14ac:dyDescent="0.25">
      <c r="A17" s="166"/>
      <c r="B17" s="166"/>
      <c r="C17" s="4"/>
      <c r="D17" s="173" t="s">
        <v>2385</v>
      </c>
      <c r="E17" s="166"/>
      <c r="F17" s="166"/>
      <c r="G17" s="166"/>
      <c r="H17" s="166"/>
      <c r="I17" s="166"/>
      <c r="J17" s="166"/>
      <c r="K17" s="166"/>
      <c r="L17" s="166"/>
      <c r="M17" s="166"/>
      <c r="N17" s="166"/>
      <c r="O17" s="166"/>
      <c r="P17" s="166"/>
      <c r="Q17" s="166"/>
      <c r="R17" s="166"/>
      <c r="S17" s="166"/>
      <c r="T17" s="166"/>
      <c r="U17" s="166"/>
      <c r="V17" s="166"/>
      <c r="W17" s="166"/>
      <c r="X17" s="170"/>
      <c r="Y17" s="170"/>
      <c r="Z17" s="170"/>
    </row>
    <row r="18" spans="1:26" ht="12.75" customHeight="1" x14ac:dyDescent="0.25">
      <c r="A18" s="166"/>
      <c r="B18" s="166"/>
      <c r="C18" s="173" t="s">
        <v>2386</v>
      </c>
      <c r="D18" s="166"/>
      <c r="E18" s="166"/>
      <c r="F18" s="166"/>
      <c r="G18" s="166"/>
      <c r="H18" s="166"/>
      <c r="I18" s="166"/>
      <c r="J18" s="166"/>
      <c r="K18" s="166"/>
      <c r="L18" s="166"/>
      <c r="M18" s="166"/>
      <c r="N18" s="166"/>
      <c r="O18" s="166"/>
      <c r="P18" s="166"/>
      <c r="Q18" s="166"/>
      <c r="R18" s="166"/>
      <c r="S18" s="166"/>
      <c r="T18" s="166"/>
      <c r="U18" s="166"/>
      <c r="V18" s="166"/>
      <c r="W18" s="166"/>
      <c r="X18" s="170"/>
      <c r="Y18" s="170"/>
      <c r="Z18" s="170"/>
    </row>
    <row r="19" spans="1:26" ht="12.75" customHeight="1" x14ac:dyDescent="0.25">
      <c r="A19" s="166"/>
      <c r="B19" s="166"/>
      <c r="C19" s="4"/>
      <c r="D19" s="173" t="s">
        <v>2387</v>
      </c>
      <c r="E19" s="166"/>
      <c r="F19" s="166"/>
      <c r="G19" s="166"/>
      <c r="H19" s="166"/>
      <c r="I19" s="166"/>
      <c r="J19" s="166"/>
      <c r="K19" s="166"/>
      <c r="L19" s="166"/>
      <c r="M19" s="166"/>
      <c r="N19" s="166"/>
      <c r="O19" s="166"/>
      <c r="P19" s="166"/>
      <c r="Q19" s="166"/>
      <c r="R19" s="166"/>
      <c r="S19" s="166"/>
      <c r="T19" s="166"/>
      <c r="U19" s="166"/>
      <c r="V19" s="166"/>
      <c r="W19" s="166"/>
      <c r="X19" s="170"/>
      <c r="Y19" s="170"/>
      <c r="Z19" s="170"/>
    </row>
    <row r="20" spans="1:26" ht="12.75" customHeight="1" x14ac:dyDescent="0.25">
      <c r="A20" s="166"/>
      <c r="B20" s="166"/>
      <c r="C20" s="4"/>
      <c r="D20" s="173" t="s">
        <v>2388</v>
      </c>
      <c r="E20" s="166"/>
      <c r="F20" s="166"/>
      <c r="G20" s="166"/>
      <c r="H20" s="166"/>
      <c r="I20" s="166"/>
      <c r="J20" s="166"/>
      <c r="K20" s="166"/>
      <c r="L20" s="166"/>
      <c r="M20" s="166"/>
      <c r="N20" s="166"/>
      <c r="O20" s="166"/>
      <c r="P20" s="166"/>
      <c r="Q20" s="166"/>
      <c r="R20" s="166"/>
      <c r="S20" s="166"/>
      <c r="T20" s="166"/>
      <c r="U20" s="166"/>
      <c r="V20" s="166"/>
      <c r="W20" s="166"/>
      <c r="X20" s="170"/>
      <c r="Y20" s="170"/>
      <c r="Z20" s="170"/>
    </row>
    <row r="21" spans="1:26" ht="12.75" customHeight="1" x14ac:dyDescent="0.25">
      <c r="A21" s="166"/>
      <c r="B21" s="166"/>
      <c r="C21" s="4"/>
      <c r="D21" s="173" t="s">
        <v>2389</v>
      </c>
      <c r="E21" s="166"/>
      <c r="F21" s="166"/>
      <c r="G21" s="166"/>
      <c r="H21" s="166"/>
      <c r="I21" s="166"/>
      <c r="J21" s="166"/>
      <c r="K21" s="166"/>
      <c r="L21" s="166"/>
      <c r="M21" s="166"/>
      <c r="N21" s="166"/>
      <c r="O21" s="166"/>
      <c r="P21" s="166"/>
      <c r="Q21" s="166"/>
      <c r="R21" s="166"/>
      <c r="S21" s="166"/>
      <c r="T21" s="166"/>
      <c r="U21" s="166"/>
      <c r="V21" s="166"/>
      <c r="W21" s="166"/>
      <c r="X21" s="170"/>
      <c r="Y21" s="170"/>
      <c r="Z21" s="170"/>
    </row>
    <row r="22" spans="1:26" ht="12.75" customHeight="1" x14ac:dyDescent="0.25">
      <c r="A22" s="166"/>
      <c r="B22" s="166"/>
      <c r="C22" s="4"/>
      <c r="D22" s="172" t="s">
        <v>2390</v>
      </c>
      <c r="E22" s="171"/>
      <c r="F22" s="171"/>
      <c r="G22" s="171"/>
      <c r="H22" s="166"/>
      <c r="I22" s="166"/>
      <c r="J22" s="166"/>
      <c r="K22" s="166"/>
      <c r="L22" s="166"/>
      <c r="M22" s="166"/>
      <c r="N22" s="166"/>
      <c r="O22" s="166"/>
      <c r="P22" s="166"/>
      <c r="Q22" s="166"/>
      <c r="R22" s="166"/>
      <c r="S22" s="166"/>
      <c r="T22" s="166"/>
      <c r="U22" s="166"/>
      <c r="V22" s="166"/>
      <c r="W22" s="166"/>
      <c r="X22" s="170"/>
      <c r="Y22" s="170"/>
      <c r="Z22" s="170"/>
    </row>
    <row r="23" spans="1:26" ht="12.75" customHeight="1" x14ac:dyDescent="0.25">
      <c r="A23" s="166"/>
      <c r="B23" s="166"/>
      <c r="C23" s="173" t="s">
        <v>2391</v>
      </c>
      <c r="D23" s="166"/>
      <c r="E23" s="166"/>
      <c r="F23" s="166"/>
      <c r="G23" s="166"/>
      <c r="H23" s="166"/>
      <c r="I23" s="166"/>
      <c r="J23" s="166"/>
      <c r="K23" s="166"/>
      <c r="L23" s="166"/>
      <c r="M23" s="166"/>
      <c r="N23" s="166"/>
      <c r="O23" s="166"/>
      <c r="P23" s="166"/>
      <c r="Q23" s="166"/>
      <c r="R23" s="166"/>
      <c r="S23" s="166"/>
      <c r="T23" s="166"/>
      <c r="U23" s="166"/>
      <c r="V23" s="166"/>
      <c r="W23" s="166"/>
      <c r="X23" s="170"/>
      <c r="Y23" s="170"/>
      <c r="Z23" s="170"/>
    </row>
    <row r="24" spans="1:26" ht="12.75" customHeight="1" x14ac:dyDescent="0.25">
      <c r="A24" s="166"/>
      <c r="B24" s="166"/>
      <c r="C24" s="4"/>
      <c r="D24" s="173" t="s">
        <v>2392</v>
      </c>
      <c r="E24" s="166"/>
      <c r="F24" s="166"/>
      <c r="G24" s="166"/>
      <c r="H24" s="166"/>
      <c r="I24" s="166"/>
      <c r="J24" s="166"/>
      <c r="K24" s="166"/>
      <c r="L24" s="166"/>
      <c r="M24" s="166"/>
      <c r="N24" s="166"/>
      <c r="O24" s="166"/>
      <c r="P24" s="166"/>
      <c r="Q24" s="166"/>
      <c r="R24" s="166"/>
      <c r="S24" s="166"/>
      <c r="T24" s="166"/>
      <c r="U24" s="166"/>
      <c r="V24" s="166"/>
      <c r="W24" s="166"/>
      <c r="X24" s="170"/>
      <c r="Y24" s="170"/>
      <c r="Z24" s="170"/>
    </row>
    <row r="25" spans="1:26" ht="11.25" customHeight="1" x14ac:dyDescent="0.25">
      <c r="A25" s="165"/>
      <c r="B25" s="165"/>
      <c r="C25" s="4"/>
      <c r="D25" s="173" t="s">
        <v>2393</v>
      </c>
      <c r="E25" s="165"/>
      <c r="F25" s="165"/>
      <c r="G25" s="165"/>
      <c r="H25" s="165"/>
      <c r="I25" s="165"/>
      <c r="J25" s="165"/>
      <c r="K25" s="165"/>
      <c r="L25" s="165"/>
      <c r="M25" s="165"/>
      <c r="N25" s="165"/>
      <c r="O25" s="165"/>
      <c r="P25" s="165"/>
      <c r="Q25" s="165"/>
      <c r="R25" s="165"/>
      <c r="S25" s="165"/>
      <c r="T25" s="165"/>
      <c r="U25" s="165"/>
      <c r="V25" s="165"/>
      <c r="W25" s="165"/>
    </row>
    <row r="26" spans="1:26" ht="11.25" customHeight="1" x14ac:dyDescent="0.25">
      <c r="A26" s="174"/>
      <c r="B26" s="174"/>
      <c r="C26" s="175"/>
      <c r="D26" s="174"/>
      <c r="E26" s="174"/>
      <c r="F26" s="174"/>
      <c r="G26" s="174"/>
      <c r="H26" s="174"/>
      <c r="I26" s="174"/>
      <c r="J26" s="174"/>
      <c r="K26" s="174"/>
      <c r="L26" s="174"/>
      <c r="M26" s="174"/>
      <c r="N26" s="174"/>
      <c r="O26" s="174"/>
      <c r="P26" s="174"/>
      <c r="Q26" s="174"/>
      <c r="R26" s="174"/>
      <c r="S26" s="174"/>
      <c r="T26" s="165"/>
      <c r="U26" s="165"/>
      <c r="V26" s="165"/>
      <c r="W26" s="165"/>
    </row>
    <row r="27" spans="1:26" ht="11.25" customHeight="1" x14ac:dyDescent="0.25">
      <c r="A27" s="434">
        <v>1</v>
      </c>
      <c r="B27" s="371"/>
      <c r="C27" s="176">
        <v>2</v>
      </c>
      <c r="D27" s="435">
        <v>3</v>
      </c>
      <c r="E27" s="378"/>
      <c r="F27" s="434">
        <v>4</v>
      </c>
      <c r="G27" s="370"/>
      <c r="H27" s="370"/>
      <c r="I27" s="370"/>
      <c r="J27" s="370"/>
      <c r="K27" s="434">
        <v>5</v>
      </c>
      <c r="L27" s="370"/>
      <c r="M27" s="370"/>
      <c r="N27" s="370"/>
      <c r="O27" s="370"/>
      <c r="P27" s="370"/>
      <c r="Q27" s="435">
        <v>6</v>
      </c>
      <c r="R27" s="414"/>
      <c r="S27" s="414"/>
      <c r="T27" s="165"/>
      <c r="U27" s="165"/>
      <c r="V27" s="165"/>
      <c r="W27" s="165"/>
    </row>
    <row r="28" spans="1:26" ht="13.5" customHeight="1" x14ac:dyDescent="0.25">
      <c r="A28" s="436" t="s">
        <v>2394</v>
      </c>
      <c r="B28" s="373"/>
      <c r="C28" s="177" t="s">
        <v>71</v>
      </c>
      <c r="D28" s="446" t="s">
        <v>2395</v>
      </c>
      <c r="E28" s="371"/>
      <c r="F28" s="442" t="s">
        <v>2396</v>
      </c>
      <c r="G28" s="443"/>
      <c r="H28" s="443"/>
      <c r="I28" s="443"/>
      <c r="J28" s="444"/>
      <c r="K28" s="445" t="s">
        <v>2397</v>
      </c>
      <c r="L28" s="443"/>
      <c r="M28" s="443"/>
      <c r="N28" s="443"/>
      <c r="O28" s="443"/>
      <c r="P28" s="444"/>
      <c r="Q28" s="437" t="s">
        <v>2398</v>
      </c>
      <c r="R28" s="391"/>
      <c r="S28" s="178" t="s">
        <v>2399</v>
      </c>
      <c r="T28" s="179"/>
      <c r="U28" s="179"/>
      <c r="V28" s="179"/>
      <c r="W28" s="179"/>
    </row>
    <row r="29" spans="1:26" ht="24" customHeight="1" x14ac:dyDescent="0.25">
      <c r="A29" s="427"/>
      <c r="B29" s="373"/>
      <c r="C29" s="180" t="s">
        <v>2400</v>
      </c>
      <c r="D29" s="181" t="s">
        <v>2401</v>
      </c>
      <c r="E29" s="181" t="s">
        <v>2402</v>
      </c>
      <c r="F29" s="461" t="s">
        <v>2403</v>
      </c>
      <c r="G29" s="462" t="s">
        <v>2404</v>
      </c>
      <c r="H29" s="462" t="s">
        <v>2405</v>
      </c>
      <c r="I29" s="463" t="s">
        <v>2406</v>
      </c>
      <c r="J29" s="182" t="s">
        <v>2407</v>
      </c>
      <c r="K29" s="465" t="s">
        <v>2403</v>
      </c>
      <c r="L29" s="183" t="s">
        <v>2408</v>
      </c>
      <c r="M29" s="447" t="s">
        <v>2409</v>
      </c>
      <c r="N29" s="449" t="s">
        <v>2410</v>
      </c>
      <c r="O29" s="449" t="s">
        <v>2411</v>
      </c>
      <c r="P29" s="449" t="s">
        <v>2412</v>
      </c>
      <c r="Q29" s="451" t="s">
        <v>2413</v>
      </c>
      <c r="R29" s="453" t="s">
        <v>2414</v>
      </c>
      <c r="S29" s="457" t="s">
        <v>2415</v>
      </c>
      <c r="T29" s="184"/>
      <c r="U29" s="184"/>
      <c r="V29" s="184"/>
      <c r="W29" s="184"/>
    </row>
    <row r="30" spans="1:26" ht="25.5" customHeight="1" x14ac:dyDescent="0.25">
      <c r="A30" s="427"/>
      <c r="B30" s="373"/>
      <c r="C30" s="185" t="s">
        <v>2402</v>
      </c>
      <c r="D30" s="186" t="s">
        <v>2416</v>
      </c>
      <c r="E30" s="187" t="s">
        <v>2417</v>
      </c>
      <c r="F30" s="448"/>
      <c r="G30" s="450"/>
      <c r="H30" s="450"/>
      <c r="I30" s="464"/>
      <c r="J30" s="188" t="s">
        <v>2416</v>
      </c>
      <c r="K30" s="466"/>
      <c r="L30" s="189" t="s">
        <v>2416</v>
      </c>
      <c r="M30" s="448"/>
      <c r="N30" s="450"/>
      <c r="O30" s="450"/>
      <c r="P30" s="450"/>
      <c r="Q30" s="452"/>
      <c r="R30" s="450"/>
      <c r="S30" s="450"/>
      <c r="T30" s="184"/>
      <c r="U30" s="184"/>
      <c r="V30" s="184"/>
      <c r="W30" s="184"/>
    </row>
    <row r="31" spans="1:26" ht="19.5" customHeight="1" x14ac:dyDescent="0.25">
      <c r="A31" s="458">
        <v>2021</v>
      </c>
      <c r="B31" s="370"/>
      <c r="C31" s="370"/>
      <c r="D31" s="370"/>
      <c r="E31" s="370"/>
      <c r="F31" s="370"/>
      <c r="G31" s="370"/>
      <c r="H31" s="370"/>
      <c r="I31" s="370"/>
      <c r="J31" s="370"/>
      <c r="K31" s="370"/>
      <c r="L31" s="370"/>
      <c r="M31" s="370"/>
      <c r="N31" s="370"/>
      <c r="O31" s="370"/>
      <c r="P31" s="370"/>
      <c r="Q31" s="370"/>
      <c r="R31" s="370"/>
      <c r="S31" s="459"/>
      <c r="T31" s="184"/>
      <c r="U31" s="184"/>
      <c r="V31" s="184"/>
      <c r="W31" s="184"/>
    </row>
    <row r="32" spans="1:26" ht="12.75" customHeight="1" x14ac:dyDescent="0.25">
      <c r="A32" s="190">
        <v>1</v>
      </c>
      <c r="B32" s="191" t="s">
        <v>2418</v>
      </c>
      <c r="C32" s="192" t="s">
        <v>2402</v>
      </c>
      <c r="D32" s="193">
        <v>44109</v>
      </c>
      <c r="E32" s="194">
        <v>44201</v>
      </c>
      <c r="F32" s="191" t="s">
        <v>2418</v>
      </c>
      <c r="G32" s="195" t="s">
        <v>2419</v>
      </c>
      <c r="H32" s="195" t="s">
        <v>2420</v>
      </c>
      <c r="I32" s="196" t="s">
        <v>2421</v>
      </c>
      <c r="J32" s="197" t="s">
        <v>2422</v>
      </c>
      <c r="K32" s="198"/>
      <c r="L32" s="199"/>
      <c r="M32" s="199"/>
      <c r="N32" s="199"/>
      <c r="O32" s="200"/>
      <c r="P32" s="200"/>
      <c r="Q32" s="198"/>
      <c r="R32" s="199"/>
      <c r="S32" s="201"/>
      <c r="T32" s="165"/>
      <c r="U32" s="165"/>
      <c r="V32" s="165"/>
      <c r="W32" s="165"/>
    </row>
    <row r="33" spans="1:26" ht="12.75" customHeight="1" x14ac:dyDescent="0.25">
      <c r="A33" s="190">
        <v>2</v>
      </c>
      <c r="B33" s="191" t="s">
        <v>2423</v>
      </c>
      <c r="C33" s="192" t="s">
        <v>2402</v>
      </c>
      <c r="D33" s="193">
        <v>44089</v>
      </c>
      <c r="E33" s="194">
        <v>44545</v>
      </c>
      <c r="F33" s="191" t="s">
        <v>2423</v>
      </c>
      <c r="G33" s="195" t="s">
        <v>2419</v>
      </c>
      <c r="H33" s="195" t="s">
        <v>2420</v>
      </c>
      <c r="I33" s="196" t="s">
        <v>2421</v>
      </c>
      <c r="J33" s="197" t="s">
        <v>2422</v>
      </c>
      <c r="K33" s="202"/>
      <c r="L33" s="199"/>
      <c r="M33" s="203"/>
      <c r="N33" s="203"/>
      <c r="O33" s="204"/>
      <c r="P33" s="204"/>
      <c r="Q33" s="202"/>
      <c r="R33" s="203"/>
      <c r="S33" s="205"/>
      <c r="T33" s="165"/>
      <c r="U33" s="165"/>
      <c r="V33" s="165"/>
      <c r="W33" s="165"/>
      <c r="X33" s="206"/>
      <c r="Y33" s="206"/>
      <c r="Z33" s="206"/>
    </row>
    <row r="34" spans="1:26" ht="12.75" customHeight="1" x14ac:dyDescent="0.25">
      <c r="A34" s="190">
        <v>3</v>
      </c>
      <c r="B34" s="191" t="s">
        <v>2424</v>
      </c>
      <c r="C34" s="192" t="s">
        <v>2402</v>
      </c>
      <c r="D34" s="193">
        <v>44109</v>
      </c>
      <c r="E34" s="194">
        <v>44201</v>
      </c>
      <c r="F34" s="191" t="s">
        <v>2424</v>
      </c>
      <c r="G34" s="195" t="s">
        <v>2419</v>
      </c>
      <c r="H34" s="195" t="s">
        <v>2420</v>
      </c>
      <c r="I34" s="196" t="s">
        <v>2421</v>
      </c>
      <c r="J34" s="197" t="s">
        <v>2422</v>
      </c>
      <c r="K34" s="207"/>
      <c r="L34" s="208"/>
      <c r="M34" s="209"/>
      <c r="N34" s="209"/>
      <c r="O34" s="210"/>
      <c r="P34" s="210"/>
      <c r="Q34" s="211"/>
      <c r="R34" s="212"/>
      <c r="S34" s="212"/>
      <c r="T34" s="165"/>
      <c r="U34" s="165"/>
      <c r="V34" s="165"/>
      <c r="W34" s="165"/>
    </row>
    <row r="35" spans="1:26" ht="12.75" customHeight="1" x14ac:dyDescent="0.25">
      <c r="A35" s="190">
        <v>4</v>
      </c>
      <c r="B35" s="191" t="s">
        <v>2425</v>
      </c>
      <c r="C35" s="192" t="s">
        <v>2402</v>
      </c>
      <c r="D35" s="193">
        <v>44075</v>
      </c>
      <c r="E35" s="194">
        <v>44197</v>
      </c>
      <c r="F35" s="191" t="s">
        <v>2425</v>
      </c>
      <c r="G35" s="195" t="s">
        <v>2419</v>
      </c>
      <c r="H35" s="195" t="s">
        <v>2420</v>
      </c>
      <c r="I35" s="196" t="s">
        <v>2421</v>
      </c>
      <c r="J35" s="197" t="s">
        <v>2422</v>
      </c>
      <c r="K35" s="207"/>
      <c r="L35" s="208"/>
      <c r="M35" s="209"/>
      <c r="N35" s="209"/>
      <c r="O35" s="210"/>
      <c r="P35" s="210"/>
      <c r="Q35" s="211" t="s">
        <v>2376</v>
      </c>
      <c r="R35" s="212"/>
      <c r="S35" s="212"/>
      <c r="T35" s="165"/>
      <c r="U35" s="165"/>
      <c r="V35" s="165"/>
      <c r="W35" s="165"/>
    </row>
    <row r="36" spans="1:26" ht="12.75" customHeight="1" x14ac:dyDescent="0.25">
      <c r="A36" s="213">
        <v>5</v>
      </c>
      <c r="B36" s="191" t="s">
        <v>2426</v>
      </c>
      <c r="C36" s="192" t="s">
        <v>2402</v>
      </c>
      <c r="D36" s="193">
        <v>44089</v>
      </c>
      <c r="E36" s="194">
        <v>44211</v>
      </c>
      <c r="F36" s="191" t="s">
        <v>2426</v>
      </c>
      <c r="G36" s="195" t="s">
        <v>2427</v>
      </c>
      <c r="H36" s="195" t="s">
        <v>2428</v>
      </c>
      <c r="I36" s="196" t="s">
        <v>2421</v>
      </c>
      <c r="J36" s="197" t="s">
        <v>2429</v>
      </c>
      <c r="K36" s="214"/>
      <c r="L36" s="209"/>
      <c r="M36" s="209"/>
      <c r="N36" s="209"/>
      <c r="O36" s="210"/>
      <c r="P36" s="210"/>
      <c r="Q36" s="211"/>
      <c r="R36" s="212"/>
      <c r="S36" s="212"/>
      <c r="T36" s="165"/>
      <c r="U36" s="165"/>
      <c r="V36" s="165"/>
      <c r="W36" s="165"/>
    </row>
    <row r="37" spans="1:26" ht="12.75" customHeight="1" x14ac:dyDescent="0.25">
      <c r="A37" s="213">
        <v>6</v>
      </c>
      <c r="B37" s="191" t="s">
        <v>2430</v>
      </c>
      <c r="C37" s="192" t="s">
        <v>2402</v>
      </c>
      <c r="D37" s="193">
        <v>44027</v>
      </c>
      <c r="E37" s="194">
        <v>44180</v>
      </c>
      <c r="F37" s="191" t="s">
        <v>2430</v>
      </c>
      <c r="G37" s="195" t="s">
        <v>2427</v>
      </c>
      <c r="H37" s="195" t="s">
        <v>2428</v>
      </c>
      <c r="I37" s="196" t="s">
        <v>2421</v>
      </c>
      <c r="J37" s="197" t="s">
        <v>2429</v>
      </c>
      <c r="K37" s="215"/>
      <c r="L37" s="209"/>
      <c r="M37" s="209"/>
      <c r="N37" s="209"/>
      <c r="O37" s="210"/>
      <c r="P37" s="210"/>
      <c r="Q37" s="211"/>
      <c r="R37" s="212"/>
      <c r="S37" s="212"/>
      <c r="T37" s="165"/>
      <c r="U37" s="165"/>
      <c r="V37" s="165"/>
      <c r="W37" s="165"/>
    </row>
    <row r="38" spans="1:26" ht="12.75" customHeight="1" x14ac:dyDescent="0.25">
      <c r="A38" s="213">
        <v>7</v>
      </c>
      <c r="B38" s="191" t="s">
        <v>2431</v>
      </c>
      <c r="C38" s="192" t="s">
        <v>2402</v>
      </c>
      <c r="D38" s="193">
        <v>44089</v>
      </c>
      <c r="E38" s="194">
        <v>44545</v>
      </c>
      <c r="F38" s="191" t="s">
        <v>2431</v>
      </c>
      <c r="G38" s="195" t="s">
        <v>2432</v>
      </c>
      <c r="H38" s="195" t="s">
        <v>2433</v>
      </c>
      <c r="I38" s="196" t="s">
        <v>2421</v>
      </c>
      <c r="J38" s="197" t="s">
        <v>2434</v>
      </c>
      <c r="K38" s="215"/>
      <c r="L38" s="209"/>
      <c r="M38" s="209"/>
      <c r="N38" s="209"/>
      <c r="O38" s="210"/>
      <c r="P38" s="210"/>
      <c r="Q38" s="211"/>
      <c r="R38" s="212"/>
      <c r="S38" s="212"/>
      <c r="T38" s="165"/>
      <c r="U38" s="165"/>
      <c r="V38" s="165"/>
      <c r="W38" s="165"/>
    </row>
    <row r="39" spans="1:26" ht="12.75" customHeight="1" x14ac:dyDescent="0.25">
      <c r="A39" s="216">
        <v>8</v>
      </c>
      <c r="B39" s="217" t="s">
        <v>2435</v>
      </c>
      <c r="C39" s="192" t="s">
        <v>2402</v>
      </c>
      <c r="D39" s="193">
        <v>44166</v>
      </c>
      <c r="E39" s="194">
        <v>44228</v>
      </c>
      <c r="F39" s="217" t="s">
        <v>2435</v>
      </c>
      <c r="G39" s="195" t="s">
        <v>2432</v>
      </c>
      <c r="H39" s="195" t="s">
        <v>2433</v>
      </c>
      <c r="I39" s="196" t="s">
        <v>2421</v>
      </c>
      <c r="J39" s="197" t="s">
        <v>2434</v>
      </c>
      <c r="K39" s="218"/>
      <c r="L39" s="219"/>
      <c r="M39" s="219"/>
      <c r="N39" s="219"/>
      <c r="O39" s="220"/>
      <c r="P39" s="220"/>
      <c r="Q39" s="221"/>
      <c r="R39" s="222"/>
      <c r="S39" s="222"/>
      <c r="T39" s="165"/>
      <c r="U39" s="165"/>
      <c r="V39" s="165"/>
      <c r="W39" s="165"/>
    </row>
    <row r="40" spans="1:26" ht="12.75" customHeight="1" x14ac:dyDescent="0.25">
      <c r="A40" s="216">
        <v>9</v>
      </c>
      <c r="B40" s="217" t="s">
        <v>2436</v>
      </c>
      <c r="C40" s="192" t="s">
        <v>2402</v>
      </c>
      <c r="D40" s="193">
        <v>43845</v>
      </c>
      <c r="E40" s="194">
        <v>43997</v>
      </c>
      <c r="F40" s="217" t="s">
        <v>2436</v>
      </c>
      <c r="G40" s="195" t="s">
        <v>2432</v>
      </c>
      <c r="H40" s="195" t="s">
        <v>2433</v>
      </c>
      <c r="I40" s="196" t="s">
        <v>2421</v>
      </c>
      <c r="J40" s="197" t="s">
        <v>2434</v>
      </c>
      <c r="K40" s="219"/>
      <c r="L40" s="219"/>
      <c r="M40" s="219"/>
      <c r="N40" s="219"/>
      <c r="O40" s="220"/>
      <c r="P40" s="220"/>
      <c r="Q40" s="222"/>
      <c r="R40" s="222"/>
      <c r="S40" s="222"/>
      <c r="T40" s="165"/>
      <c r="U40" s="165"/>
      <c r="V40" s="165"/>
      <c r="W40" s="165"/>
    </row>
    <row r="41" spans="1:26" ht="12.75" customHeight="1" x14ac:dyDescent="0.25">
      <c r="A41" s="223">
        <v>10</v>
      </c>
      <c r="B41" s="217" t="s">
        <v>2437</v>
      </c>
      <c r="C41" s="192" t="s">
        <v>2402</v>
      </c>
      <c r="D41" s="193">
        <v>44105</v>
      </c>
      <c r="E41" s="194">
        <v>44211</v>
      </c>
      <c r="F41" s="217" t="s">
        <v>2437</v>
      </c>
      <c r="G41" s="195" t="s">
        <v>2432</v>
      </c>
      <c r="H41" s="195" t="s">
        <v>2433</v>
      </c>
      <c r="I41" s="196" t="s">
        <v>2421</v>
      </c>
      <c r="J41" s="197" t="s">
        <v>2434</v>
      </c>
      <c r="K41" s="220"/>
      <c r="L41" s="220"/>
      <c r="M41" s="220"/>
      <c r="N41" s="220"/>
      <c r="O41" s="220"/>
      <c r="P41" s="220"/>
      <c r="Q41" s="224"/>
      <c r="R41" s="224"/>
      <c r="S41" s="224"/>
      <c r="T41" s="165"/>
      <c r="U41" s="165"/>
      <c r="V41" s="165"/>
      <c r="W41" s="165"/>
    </row>
    <row r="42" spans="1:26" ht="19.5" customHeight="1" x14ac:dyDescent="0.25">
      <c r="A42" s="223">
        <v>11</v>
      </c>
      <c r="B42" s="217" t="s">
        <v>2438</v>
      </c>
      <c r="C42" s="192" t="s">
        <v>2402</v>
      </c>
      <c r="D42" s="193">
        <v>44119</v>
      </c>
      <c r="E42" s="194">
        <v>44242</v>
      </c>
      <c r="F42" s="217" t="s">
        <v>2438</v>
      </c>
      <c r="G42" s="195" t="s">
        <v>2432</v>
      </c>
      <c r="H42" s="195" t="s">
        <v>2433</v>
      </c>
      <c r="I42" s="196" t="s">
        <v>2421</v>
      </c>
      <c r="J42" s="197" t="s">
        <v>2434</v>
      </c>
      <c r="K42" s="220"/>
      <c r="L42" s="220"/>
      <c r="M42" s="220"/>
      <c r="N42" s="220"/>
      <c r="O42" s="220"/>
      <c r="P42" s="220"/>
      <c r="Q42" s="224"/>
      <c r="R42" s="224"/>
      <c r="S42" s="224"/>
      <c r="T42" s="165"/>
      <c r="U42" s="165"/>
      <c r="V42" s="165"/>
      <c r="W42" s="165"/>
    </row>
    <row r="43" spans="1:26" ht="12.75" customHeight="1" x14ac:dyDescent="0.25">
      <c r="A43" s="223">
        <v>12</v>
      </c>
      <c r="B43" s="217" t="s">
        <v>2439</v>
      </c>
      <c r="C43" s="225" t="s">
        <v>2440</v>
      </c>
      <c r="D43" s="193">
        <v>43831</v>
      </c>
      <c r="E43" s="194">
        <v>44926</v>
      </c>
      <c r="F43" s="217" t="s">
        <v>2441</v>
      </c>
      <c r="G43" s="195" t="s">
        <v>2442</v>
      </c>
      <c r="H43" s="195" t="s">
        <v>2443</v>
      </c>
      <c r="I43" s="196" t="s">
        <v>2421</v>
      </c>
      <c r="J43" s="197" t="s">
        <v>2444</v>
      </c>
      <c r="K43" s="220"/>
      <c r="L43" s="220"/>
      <c r="M43" s="220"/>
      <c r="N43" s="220"/>
      <c r="O43" s="220"/>
      <c r="P43" s="220"/>
      <c r="Q43" s="224"/>
      <c r="R43" s="224"/>
      <c r="S43" s="224"/>
      <c r="T43" s="165"/>
      <c r="U43" s="165"/>
      <c r="V43" s="165"/>
      <c r="W43" s="165"/>
    </row>
    <row r="44" spans="1:26" ht="12.75" customHeight="1" x14ac:dyDescent="0.25">
      <c r="A44" s="223">
        <v>13</v>
      </c>
      <c r="B44" s="217" t="s">
        <v>2445</v>
      </c>
      <c r="C44" s="192" t="s">
        <v>2402</v>
      </c>
      <c r="D44" s="193">
        <v>44180</v>
      </c>
      <c r="E44" s="194">
        <v>44270</v>
      </c>
      <c r="F44" s="217" t="s">
        <v>2445</v>
      </c>
      <c r="G44" s="195" t="s">
        <v>2446</v>
      </c>
      <c r="H44" s="195" t="s">
        <v>2447</v>
      </c>
      <c r="I44" s="196" t="s">
        <v>2421</v>
      </c>
      <c r="J44" s="197" t="s">
        <v>2448</v>
      </c>
      <c r="K44" s="220"/>
      <c r="L44" s="220"/>
      <c r="M44" s="220"/>
      <c r="N44" s="220"/>
      <c r="O44" s="220"/>
      <c r="P44" s="220"/>
      <c r="Q44" s="224"/>
      <c r="R44" s="224"/>
      <c r="S44" s="224"/>
      <c r="T44" s="165"/>
      <c r="U44" s="165"/>
      <c r="V44" s="165"/>
      <c r="W44" s="165"/>
    </row>
    <row r="45" spans="1:26" ht="12.75" customHeight="1" x14ac:dyDescent="0.25">
      <c r="A45" s="223">
        <v>14</v>
      </c>
      <c r="B45" s="217" t="s">
        <v>2449</v>
      </c>
      <c r="C45" s="192" t="s">
        <v>2402</v>
      </c>
      <c r="D45" s="193">
        <v>44206</v>
      </c>
      <c r="E45" s="194">
        <v>44265</v>
      </c>
      <c r="F45" s="217" t="s">
        <v>2449</v>
      </c>
      <c r="G45" s="195" t="s">
        <v>2450</v>
      </c>
      <c r="H45" s="226" t="s">
        <v>2451</v>
      </c>
      <c r="I45" s="196" t="s">
        <v>2421</v>
      </c>
      <c r="J45" s="227" t="s">
        <v>2452</v>
      </c>
      <c r="K45" s="220"/>
      <c r="L45" s="220"/>
      <c r="M45" s="220"/>
      <c r="N45" s="220"/>
      <c r="O45" s="220"/>
      <c r="P45" s="220"/>
      <c r="Q45" s="224"/>
      <c r="R45" s="224"/>
      <c r="S45" s="224"/>
      <c r="T45" s="165"/>
      <c r="U45" s="165"/>
      <c r="V45" s="165"/>
      <c r="W45" s="165"/>
    </row>
    <row r="46" spans="1:26" ht="12.75" customHeight="1" x14ac:dyDescent="0.25">
      <c r="A46" s="223">
        <v>15</v>
      </c>
      <c r="B46" s="217" t="s">
        <v>2453</v>
      </c>
      <c r="C46" s="192" t="s">
        <v>2402</v>
      </c>
      <c r="D46" s="193">
        <v>44201</v>
      </c>
      <c r="E46" s="194">
        <v>44291</v>
      </c>
      <c r="F46" s="217" t="s">
        <v>2453</v>
      </c>
      <c r="G46" s="226" t="s">
        <v>2454</v>
      </c>
      <c r="H46" s="195" t="s">
        <v>2455</v>
      </c>
      <c r="I46" s="196" t="s">
        <v>2421</v>
      </c>
      <c r="J46" s="197" t="s">
        <v>2456</v>
      </c>
      <c r="K46" s="220"/>
      <c r="L46" s="220"/>
      <c r="M46" s="220"/>
      <c r="N46" s="220"/>
      <c r="O46" s="220"/>
      <c r="P46" s="220"/>
      <c r="Q46" s="224"/>
      <c r="R46" s="224"/>
      <c r="S46" s="224"/>
      <c r="T46" s="165"/>
      <c r="U46" s="165"/>
      <c r="V46" s="165"/>
      <c r="W46" s="165"/>
    </row>
    <row r="47" spans="1:26" ht="12.75" customHeight="1" x14ac:dyDescent="0.25">
      <c r="A47" s="223">
        <v>16</v>
      </c>
      <c r="B47" s="217" t="s">
        <v>2457</v>
      </c>
      <c r="C47" s="192" t="s">
        <v>2402</v>
      </c>
      <c r="D47" s="193">
        <v>44180</v>
      </c>
      <c r="E47" s="194">
        <v>44301</v>
      </c>
      <c r="F47" s="217" t="s">
        <v>2457</v>
      </c>
      <c r="G47" s="195" t="s">
        <v>2458</v>
      </c>
      <c r="H47" s="195" t="s">
        <v>2459</v>
      </c>
      <c r="I47" s="196" t="s">
        <v>2421</v>
      </c>
      <c r="J47" s="197" t="s">
        <v>2460</v>
      </c>
      <c r="K47" s="220"/>
      <c r="L47" s="220"/>
      <c r="M47" s="220"/>
      <c r="N47" s="220"/>
      <c r="O47" s="220"/>
      <c r="P47" s="220"/>
      <c r="Q47" s="224"/>
      <c r="R47" s="224"/>
      <c r="S47" s="224"/>
      <c r="T47" s="165"/>
      <c r="U47" s="165"/>
      <c r="V47" s="165"/>
      <c r="W47" s="165"/>
    </row>
    <row r="48" spans="1:26" ht="12.75" customHeight="1" x14ac:dyDescent="0.25">
      <c r="A48" s="223">
        <v>17</v>
      </c>
      <c r="B48" s="217" t="s">
        <v>2461</v>
      </c>
      <c r="C48" s="192" t="s">
        <v>2402</v>
      </c>
      <c r="D48" s="193">
        <v>44150</v>
      </c>
      <c r="E48" s="194">
        <v>44301</v>
      </c>
      <c r="F48" s="217" t="s">
        <v>2461</v>
      </c>
      <c r="G48" s="195" t="s">
        <v>2462</v>
      </c>
      <c r="H48" s="195" t="s">
        <v>2463</v>
      </c>
      <c r="I48" s="196" t="s">
        <v>2421</v>
      </c>
      <c r="J48" s="197" t="s">
        <v>2464</v>
      </c>
      <c r="K48" s="220"/>
      <c r="L48" s="220"/>
      <c r="M48" s="220"/>
      <c r="N48" s="220"/>
      <c r="O48" s="220"/>
      <c r="P48" s="220"/>
      <c r="Q48" s="224"/>
      <c r="R48" s="224"/>
      <c r="S48" s="224"/>
      <c r="T48" s="165"/>
      <c r="U48" s="165"/>
      <c r="V48" s="165"/>
      <c r="W48" s="165"/>
    </row>
    <row r="49" spans="1:23" ht="12.75" customHeight="1" x14ac:dyDescent="0.25">
      <c r="A49" s="223">
        <v>18</v>
      </c>
      <c r="B49" s="217" t="s">
        <v>2465</v>
      </c>
      <c r="C49" s="192" t="s">
        <v>2402</v>
      </c>
      <c r="D49" s="193">
        <v>43845</v>
      </c>
      <c r="E49" s="194">
        <v>43997</v>
      </c>
      <c r="F49" s="217" t="s">
        <v>2465</v>
      </c>
      <c r="G49" s="195" t="s">
        <v>2466</v>
      </c>
      <c r="H49" s="195" t="s">
        <v>2467</v>
      </c>
      <c r="I49" s="196" t="s">
        <v>2468</v>
      </c>
      <c r="J49" s="197">
        <v>44376</v>
      </c>
      <c r="K49" s="220"/>
      <c r="L49" s="220"/>
      <c r="M49" s="220"/>
      <c r="N49" s="220"/>
      <c r="O49" s="220"/>
      <c r="P49" s="220"/>
      <c r="Q49" s="224"/>
      <c r="R49" s="224"/>
      <c r="S49" s="224"/>
      <c r="T49" s="165"/>
      <c r="U49" s="165"/>
      <c r="V49" s="165"/>
      <c r="W49" s="165"/>
    </row>
    <row r="50" spans="1:23" ht="12.75" customHeight="1" x14ac:dyDescent="0.25">
      <c r="A50" s="223">
        <v>19</v>
      </c>
      <c r="B50" s="217" t="s">
        <v>2469</v>
      </c>
      <c r="C50" s="192" t="s">
        <v>2402</v>
      </c>
      <c r="D50" s="193">
        <v>44211</v>
      </c>
      <c r="E50" s="194">
        <v>44331</v>
      </c>
      <c r="F50" s="217" t="s">
        <v>2469</v>
      </c>
      <c r="G50" s="195" t="s">
        <v>2466</v>
      </c>
      <c r="H50" s="195" t="s">
        <v>2467</v>
      </c>
      <c r="I50" s="196" t="s">
        <v>2468</v>
      </c>
      <c r="J50" s="197">
        <v>44376</v>
      </c>
      <c r="K50" s="220"/>
      <c r="L50" s="220"/>
      <c r="M50" s="220"/>
      <c r="N50" s="220"/>
      <c r="O50" s="220"/>
      <c r="P50" s="220"/>
      <c r="Q50" s="224"/>
      <c r="R50" s="224"/>
      <c r="S50" s="224"/>
      <c r="T50" s="165"/>
      <c r="U50" s="165"/>
      <c r="V50" s="165"/>
      <c r="W50" s="165"/>
    </row>
    <row r="51" spans="1:23" ht="19.5" customHeight="1" x14ac:dyDescent="0.25">
      <c r="A51" s="223">
        <v>20</v>
      </c>
      <c r="B51" s="217" t="s">
        <v>2470</v>
      </c>
      <c r="C51" s="192" t="s">
        <v>2402</v>
      </c>
      <c r="D51" s="193">
        <v>44211</v>
      </c>
      <c r="E51" s="194">
        <v>44331</v>
      </c>
      <c r="F51" s="217" t="s">
        <v>2470</v>
      </c>
      <c r="G51" s="195" t="s">
        <v>2466</v>
      </c>
      <c r="H51" s="195" t="s">
        <v>2467</v>
      </c>
      <c r="I51" s="196" t="s">
        <v>2468</v>
      </c>
      <c r="J51" s="197">
        <v>44376</v>
      </c>
      <c r="K51" s="220"/>
      <c r="L51" s="220"/>
      <c r="M51" s="220"/>
      <c r="N51" s="220"/>
      <c r="O51" s="220"/>
      <c r="P51" s="220"/>
      <c r="Q51" s="224"/>
      <c r="R51" s="224"/>
      <c r="S51" s="224"/>
      <c r="T51" s="165"/>
      <c r="U51" s="165"/>
      <c r="V51" s="165"/>
      <c r="W51" s="165"/>
    </row>
    <row r="52" spans="1:23" ht="12.75" customHeight="1" x14ac:dyDescent="0.25">
      <c r="A52" s="223">
        <v>21</v>
      </c>
      <c r="B52" s="217" t="s">
        <v>2471</v>
      </c>
      <c r="C52" s="192" t="s">
        <v>2402</v>
      </c>
      <c r="D52" s="193">
        <v>44256</v>
      </c>
      <c r="E52" s="194">
        <v>44348</v>
      </c>
      <c r="F52" s="217" t="s">
        <v>2471</v>
      </c>
      <c r="G52" s="195" t="s">
        <v>2466</v>
      </c>
      <c r="H52" s="195" t="s">
        <v>2467</v>
      </c>
      <c r="I52" s="196" t="s">
        <v>2468</v>
      </c>
      <c r="J52" s="197">
        <v>44376</v>
      </c>
      <c r="K52" s="220"/>
      <c r="L52" s="220"/>
      <c r="M52" s="220"/>
      <c r="N52" s="220"/>
      <c r="O52" s="220"/>
      <c r="P52" s="220"/>
      <c r="Q52" s="224"/>
      <c r="R52" s="224"/>
      <c r="S52" s="224"/>
      <c r="T52" s="165"/>
      <c r="U52" s="165"/>
      <c r="V52" s="165"/>
      <c r="W52" s="165"/>
    </row>
    <row r="53" spans="1:23" ht="12.75" customHeight="1" x14ac:dyDescent="0.25">
      <c r="A53" s="223">
        <v>22</v>
      </c>
      <c r="B53" s="217" t="s">
        <v>2472</v>
      </c>
      <c r="C53" s="192" t="s">
        <v>2402</v>
      </c>
      <c r="D53" s="193">
        <v>44180</v>
      </c>
      <c r="E53" s="194">
        <v>44362</v>
      </c>
      <c r="F53" s="217" t="s">
        <v>2472</v>
      </c>
      <c r="G53" s="195" t="s">
        <v>2466</v>
      </c>
      <c r="H53" s="195" t="s">
        <v>2467</v>
      </c>
      <c r="I53" s="196" t="s">
        <v>2468</v>
      </c>
      <c r="J53" s="197">
        <v>44376</v>
      </c>
      <c r="K53" s="220"/>
      <c r="L53" s="220"/>
      <c r="M53" s="220"/>
      <c r="N53" s="220"/>
      <c r="O53" s="220"/>
      <c r="P53" s="220"/>
      <c r="Q53" s="224"/>
      <c r="R53" s="224"/>
      <c r="S53" s="224"/>
      <c r="T53" s="165"/>
      <c r="U53" s="165"/>
      <c r="V53" s="165"/>
      <c r="W53" s="165"/>
    </row>
    <row r="54" spans="1:23" ht="12.75" customHeight="1" x14ac:dyDescent="0.25">
      <c r="A54" s="223">
        <v>23</v>
      </c>
      <c r="B54" s="228" t="s">
        <v>2473</v>
      </c>
      <c r="C54" s="225" t="s">
        <v>2440</v>
      </c>
      <c r="D54" s="229">
        <v>2017</v>
      </c>
      <c r="E54" s="230">
        <v>2021</v>
      </c>
      <c r="F54" s="228" t="s">
        <v>2474</v>
      </c>
      <c r="G54" s="195" t="s">
        <v>2466</v>
      </c>
      <c r="H54" s="195" t="s">
        <v>2467</v>
      </c>
      <c r="I54" s="196" t="s">
        <v>2468</v>
      </c>
      <c r="J54" s="197">
        <v>44376</v>
      </c>
      <c r="K54" s="220"/>
      <c r="L54" s="220"/>
      <c r="M54" s="220"/>
      <c r="N54" s="220"/>
      <c r="O54" s="220"/>
      <c r="P54" s="220"/>
      <c r="Q54" s="231"/>
      <c r="R54" s="232"/>
      <c r="S54" s="231"/>
      <c r="T54" s="165"/>
      <c r="U54" s="165"/>
      <c r="V54" s="165"/>
      <c r="W54" s="165"/>
    </row>
    <row r="55" spans="1:23" ht="12.75" customHeight="1" x14ac:dyDescent="0.25">
      <c r="A55" s="223">
        <v>24</v>
      </c>
      <c r="B55" s="228" t="s">
        <v>2475</v>
      </c>
      <c r="C55" s="192" t="s">
        <v>2402</v>
      </c>
      <c r="D55" s="193">
        <v>44211</v>
      </c>
      <c r="E55" s="194">
        <v>44362</v>
      </c>
      <c r="F55" s="228" t="s">
        <v>2475</v>
      </c>
      <c r="G55" s="195" t="s">
        <v>2466</v>
      </c>
      <c r="H55" s="195" t="s">
        <v>2467</v>
      </c>
      <c r="I55" s="196" t="s">
        <v>2468</v>
      </c>
      <c r="J55" s="197">
        <v>44376</v>
      </c>
      <c r="K55" s="220"/>
      <c r="L55" s="220"/>
      <c r="M55" s="220"/>
      <c r="N55" s="220"/>
      <c r="O55" s="220"/>
      <c r="P55" s="220"/>
      <c r="Q55" s="224"/>
      <c r="R55" s="224"/>
      <c r="S55" s="224"/>
      <c r="T55" s="165"/>
      <c r="U55" s="165"/>
      <c r="V55" s="165"/>
      <c r="W55" s="165"/>
    </row>
    <row r="56" spans="1:23" ht="12.75" customHeight="1" x14ac:dyDescent="0.25">
      <c r="A56" s="223">
        <v>25</v>
      </c>
      <c r="B56" s="228" t="s">
        <v>2476</v>
      </c>
      <c r="C56" s="192" t="s">
        <v>2402</v>
      </c>
      <c r="D56" s="193">
        <v>44216</v>
      </c>
      <c r="E56" s="194">
        <v>44336</v>
      </c>
      <c r="F56" s="228" t="s">
        <v>2476</v>
      </c>
      <c r="G56" s="195" t="s">
        <v>2466</v>
      </c>
      <c r="H56" s="195" t="s">
        <v>2467</v>
      </c>
      <c r="I56" s="196" t="s">
        <v>2468</v>
      </c>
      <c r="J56" s="197">
        <v>44376</v>
      </c>
      <c r="K56" s="220"/>
      <c r="L56" s="220"/>
      <c r="M56" s="220"/>
      <c r="N56" s="220"/>
      <c r="O56" s="220"/>
      <c r="P56" s="220"/>
      <c r="Q56" s="224"/>
      <c r="R56" s="224"/>
      <c r="S56" s="224"/>
      <c r="T56" s="165"/>
      <c r="U56" s="165"/>
      <c r="V56" s="165"/>
      <c r="W56" s="165"/>
    </row>
    <row r="57" spans="1:23" ht="11.25" customHeight="1" x14ac:dyDescent="0.25">
      <c r="A57" s="223">
        <v>26</v>
      </c>
      <c r="B57" s="228" t="s">
        <v>2477</v>
      </c>
      <c r="C57" s="192" t="s">
        <v>2402</v>
      </c>
      <c r="D57" s="193">
        <v>44211</v>
      </c>
      <c r="E57" s="194">
        <v>44331</v>
      </c>
      <c r="F57" s="228" t="s">
        <v>2477</v>
      </c>
      <c r="G57" s="195" t="s">
        <v>2466</v>
      </c>
      <c r="H57" s="195" t="s">
        <v>2467</v>
      </c>
      <c r="I57" s="196" t="s">
        <v>2468</v>
      </c>
      <c r="J57" s="197">
        <v>44376</v>
      </c>
      <c r="K57" s="220"/>
      <c r="L57" s="220"/>
      <c r="M57" s="220"/>
      <c r="N57" s="220"/>
      <c r="O57" s="220"/>
      <c r="P57" s="220"/>
      <c r="Q57" s="224"/>
      <c r="R57" s="224"/>
      <c r="S57" s="224"/>
      <c r="T57" s="165"/>
      <c r="U57" s="165"/>
      <c r="V57" s="165"/>
      <c r="W57" s="165"/>
    </row>
    <row r="58" spans="1:23" ht="11.25" customHeight="1" x14ac:dyDescent="0.25">
      <c r="A58" s="223">
        <v>27</v>
      </c>
      <c r="B58" s="228" t="s">
        <v>2478</v>
      </c>
      <c r="C58" s="192" t="s">
        <v>2402</v>
      </c>
      <c r="D58" s="193">
        <v>44211</v>
      </c>
      <c r="E58" s="194">
        <v>44362</v>
      </c>
      <c r="F58" s="228" t="s">
        <v>2478</v>
      </c>
      <c r="G58" s="195" t="s">
        <v>2466</v>
      </c>
      <c r="H58" s="195" t="s">
        <v>2467</v>
      </c>
      <c r="I58" s="196" t="s">
        <v>2468</v>
      </c>
      <c r="J58" s="197">
        <v>44376</v>
      </c>
      <c r="K58" s="220"/>
      <c r="L58" s="220"/>
      <c r="M58" s="220"/>
      <c r="N58" s="220"/>
      <c r="O58" s="220"/>
      <c r="P58" s="220"/>
      <c r="Q58" s="224"/>
      <c r="R58" s="224"/>
      <c r="S58" s="224"/>
      <c r="T58" s="5"/>
      <c r="U58" s="5"/>
      <c r="V58" s="5"/>
      <c r="W58" s="5"/>
    </row>
    <row r="59" spans="1:23" ht="11.25" customHeight="1" x14ac:dyDescent="0.25">
      <c r="A59" s="223">
        <v>28</v>
      </c>
      <c r="B59" s="228" t="s">
        <v>2479</v>
      </c>
      <c r="C59" s="192" t="s">
        <v>2402</v>
      </c>
      <c r="D59" s="193">
        <v>44180</v>
      </c>
      <c r="E59" s="194">
        <v>44362</v>
      </c>
      <c r="F59" s="228" t="s">
        <v>2479</v>
      </c>
      <c r="G59" s="195" t="s">
        <v>2466</v>
      </c>
      <c r="H59" s="195" t="s">
        <v>2467</v>
      </c>
      <c r="I59" s="196" t="s">
        <v>2468</v>
      </c>
      <c r="J59" s="197">
        <v>44376</v>
      </c>
      <c r="K59" s="220"/>
      <c r="L59" s="220"/>
      <c r="M59" s="220"/>
      <c r="N59" s="220"/>
      <c r="O59" s="220"/>
      <c r="P59" s="220"/>
      <c r="Q59" s="224"/>
      <c r="R59" s="224"/>
      <c r="S59" s="224"/>
      <c r="T59" s="5"/>
      <c r="U59" s="5"/>
      <c r="V59" s="5"/>
      <c r="W59" s="5"/>
    </row>
    <row r="60" spans="1:23" ht="11.25" customHeight="1" x14ac:dyDescent="0.25">
      <c r="A60" s="223">
        <v>29</v>
      </c>
      <c r="B60" s="228" t="s">
        <v>2480</v>
      </c>
      <c r="C60" s="192" t="s">
        <v>2402</v>
      </c>
      <c r="D60" s="193">
        <v>44216</v>
      </c>
      <c r="E60" s="194">
        <v>44336</v>
      </c>
      <c r="F60" s="228" t="s">
        <v>2480</v>
      </c>
      <c r="G60" s="195" t="s">
        <v>2466</v>
      </c>
      <c r="H60" s="195" t="s">
        <v>2467</v>
      </c>
      <c r="I60" s="196" t="s">
        <v>2468</v>
      </c>
      <c r="J60" s="197">
        <v>44376</v>
      </c>
      <c r="K60" s="220"/>
      <c r="L60" s="220"/>
      <c r="M60" s="220"/>
      <c r="N60" s="220"/>
      <c r="O60" s="220"/>
      <c r="P60" s="220"/>
      <c r="Q60" s="224"/>
      <c r="R60" s="224"/>
      <c r="S60" s="224"/>
      <c r="T60" s="5"/>
      <c r="U60" s="5"/>
      <c r="V60" s="5"/>
      <c r="W60" s="5"/>
    </row>
    <row r="61" spans="1:23" ht="11.25" customHeight="1" x14ac:dyDescent="0.25">
      <c r="A61" s="223">
        <v>30</v>
      </c>
      <c r="B61" s="228" t="s">
        <v>2481</v>
      </c>
      <c r="C61" s="192" t="s">
        <v>2402</v>
      </c>
      <c r="D61" s="193">
        <v>44153</v>
      </c>
      <c r="E61" s="194">
        <v>44273</v>
      </c>
      <c r="F61" s="228" t="s">
        <v>2482</v>
      </c>
      <c r="G61" s="195" t="s">
        <v>2466</v>
      </c>
      <c r="H61" s="195" t="s">
        <v>2467</v>
      </c>
      <c r="I61" s="196" t="s">
        <v>2468</v>
      </c>
      <c r="J61" s="197">
        <v>44376</v>
      </c>
      <c r="K61" s="220"/>
      <c r="L61" s="220"/>
      <c r="M61" s="220"/>
      <c r="N61" s="220"/>
      <c r="O61" s="220"/>
      <c r="P61" s="220"/>
      <c r="Q61" s="224"/>
      <c r="R61" s="224"/>
      <c r="S61" s="224"/>
      <c r="T61" s="5"/>
      <c r="U61" s="5"/>
      <c r="V61" s="5"/>
      <c r="W61" s="5"/>
    </row>
    <row r="62" spans="1:23" ht="24.75" customHeight="1" x14ac:dyDescent="0.25">
      <c r="A62" s="223">
        <v>31</v>
      </c>
      <c r="B62" s="228" t="s">
        <v>2483</v>
      </c>
      <c r="C62" s="192" t="s">
        <v>2402</v>
      </c>
      <c r="D62" s="193">
        <v>44211</v>
      </c>
      <c r="E62" s="194">
        <v>44362</v>
      </c>
      <c r="F62" s="228" t="s">
        <v>2483</v>
      </c>
      <c r="G62" s="195" t="s">
        <v>2484</v>
      </c>
      <c r="H62" s="195" t="s">
        <v>2485</v>
      </c>
      <c r="I62" s="196" t="s">
        <v>2421</v>
      </c>
      <c r="J62" s="197" t="s">
        <v>2486</v>
      </c>
      <c r="K62" s="220"/>
      <c r="L62" s="220"/>
      <c r="M62" s="220"/>
      <c r="N62" s="220"/>
      <c r="O62" s="220"/>
      <c r="P62" s="220"/>
      <c r="Q62" s="224"/>
      <c r="R62" s="224"/>
      <c r="S62" s="224"/>
      <c r="T62" s="5"/>
      <c r="U62" s="5"/>
      <c r="V62" s="5"/>
      <c r="W62" s="5"/>
    </row>
    <row r="63" spans="1:23" ht="24.75" customHeight="1" x14ac:dyDescent="0.25">
      <c r="A63" s="223">
        <v>32</v>
      </c>
      <c r="B63" s="228" t="s">
        <v>2487</v>
      </c>
      <c r="C63" s="192" t="s">
        <v>2402</v>
      </c>
      <c r="D63" s="193">
        <v>44211</v>
      </c>
      <c r="E63" s="194">
        <v>44362</v>
      </c>
      <c r="F63" s="228" t="s">
        <v>2487</v>
      </c>
      <c r="G63" s="195" t="s">
        <v>2484</v>
      </c>
      <c r="H63" s="195" t="s">
        <v>2485</v>
      </c>
      <c r="I63" s="196" t="s">
        <v>2421</v>
      </c>
      <c r="J63" s="197" t="s">
        <v>2486</v>
      </c>
      <c r="K63" s="220"/>
      <c r="L63" s="220"/>
      <c r="M63" s="220"/>
      <c r="N63" s="220"/>
      <c r="O63" s="220"/>
      <c r="P63" s="220"/>
      <c r="Q63" s="224"/>
      <c r="R63" s="224"/>
      <c r="S63" s="224"/>
      <c r="T63" s="5"/>
      <c r="U63" s="5"/>
      <c r="V63" s="5"/>
      <c r="W63" s="5"/>
    </row>
    <row r="64" spans="1:23" ht="39" customHeight="1" x14ac:dyDescent="0.25">
      <c r="A64" s="223">
        <v>33</v>
      </c>
      <c r="B64" s="228" t="s">
        <v>2488</v>
      </c>
      <c r="C64" s="192" t="s">
        <v>2402</v>
      </c>
      <c r="D64" s="193">
        <v>44211</v>
      </c>
      <c r="E64" s="194">
        <v>44362</v>
      </c>
      <c r="F64" s="228" t="s">
        <v>2488</v>
      </c>
      <c r="G64" s="195" t="s">
        <v>2484</v>
      </c>
      <c r="H64" s="195" t="s">
        <v>2485</v>
      </c>
      <c r="I64" s="196" t="s">
        <v>2421</v>
      </c>
      <c r="J64" s="197" t="s">
        <v>2486</v>
      </c>
      <c r="K64" s="220"/>
      <c r="L64" s="220"/>
      <c r="M64" s="220"/>
      <c r="N64" s="220"/>
      <c r="O64" s="220"/>
      <c r="P64" s="220"/>
      <c r="Q64" s="224"/>
      <c r="R64" s="224"/>
      <c r="S64" s="224"/>
      <c r="T64" s="5"/>
      <c r="U64" s="5"/>
      <c r="V64" s="5"/>
      <c r="W64" s="5"/>
    </row>
    <row r="65" spans="1:23" ht="39" customHeight="1" x14ac:dyDescent="0.25">
      <c r="A65" s="223">
        <v>34</v>
      </c>
      <c r="B65" s="228" t="s">
        <v>2489</v>
      </c>
      <c r="C65" s="192" t="s">
        <v>2402</v>
      </c>
      <c r="D65" s="193">
        <v>44201</v>
      </c>
      <c r="E65" s="194">
        <v>44321</v>
      </c>
      <c r="F65" s="228" t="s">
        <v>2489</v>
      </c>
      <c r="G65" s="195" t="s">
        <v>2484</v>
      </c>
      <c r="H65" s="195" t="s">
        <v>2485</v>
      </c>
      <c r="I65" s="196" t="s">
        <v>2421</v>
      </c>
      <c r="J65" s="197" t="s">
        <v>2486</v>
      </c>
      <c r="K65" s="220"/>
      <c r="L65" s="220"/>
      <c r="M65" s="220"/>
      <c r="N65" s="220"/>
      <c r="O65" s="220"/>
      <c r="P65" s="220"/>
      <c r="Q65" s="224"/>
      <c r="R65" s="224"/>
      <c r="S65" s="224"/>
      <c r="T65" s="5"/>
      <c r="U65" s="5"/>
      <c r="V65" s="5"/>
      <c r="W65" s="5"/>
    </row>
    <row r="66" spans="1:23" ht="39" customHeight="1" x14ac:dyDescent="0.25">
      <c r="A66" s="223">
        <v>35</v>
      </c>
      <c r="B66" s="228" t="s">
        <v>2490</v>
      </c>
      <c r="C66" s="192" t="s">
        <v>2402</v>
      </c>
      <c r="D66" s="193">
        <v>44150</v>
      </c>
      <c r="E66" s="194">
        <v>44301</v>
      </c>
      <c r="F66" s="228" t="s">
        <v>2490</v>
      </c>
      <c r="G66" s="226" t="s">
        <v>2491</v>
      </c>
      <c r="H66" s="226" t="s">
        <v>2492</v>
      </c>
      <c r="I66" s="196" t="s">
        <v>2421</v>
      </c>
      <c r="J66" s="197" t="s">
        <v>2493</v>
      </c>
      <c r="K66" s="220"/>
      <c r="L66" s="220"/>
      <c r="M66" s="220"/>
      <c r="N66" s="220"/>
      <c r="O66" s="220"/>
      <c r="P66" s="220"/>
      <c r="Q66" s="224"/>
      <c r="R66" s="224"/>
      <c r="S66" s="224"/>
      <c r="T66" s="5"/>
      <c r="U66" s="5"/>
      <c r="V66" s="5"/>
      <c r="W66" s="5"/>
    </row>
    <row r="67" spans="1:23" ht="11.25" customHeight="1" x14ac:dyDescent="0.25">
      <c r="A67" s="223">
        <v>36</v>
      </c>
      <c r="B67" s="228" t="s">
        <v>2494</v>
      </c>
      <c r="C67" s="192" t="s">
        <v>2402</v>
      </c>
      <c r="D67" s="193">
        <v>44216</v>
      </c>
      <c r="E67" s="194">
        <v>44367</v>
      </c>
      <c r="F67" s="228" t="s">
        <v>2494</v>
      </c>
      <c r="G67" s="195" t="s">
        <v>2495</v>
      </c>
      <c r="H67" s="195" t="s">
        <v>2496</v>
      </c>
      <c r="I67" s="196" t="s">
        <v>2421</v>
      </c>
      <c r="J67" s="197" t="s">
        <v>2497</v>
      </c>
      <c r="K67" s="220"/>
      <c r="L67" s="220"/>
      <c r="M67" s="220"/>
      <c r="N67" s="220"/>
      <c r="O67" s="220"/>
      <c r="P67" s="220"/>
      <c r="Q67" s="224"/>
      <c r="R67" s="224"/>
      <c r="S67" s="224"/>
      <c r="T67" s="5"/>
      <c r="U67" s="5"/>
      <c r="V67" s="5"/>
      <c r="W67" s="5"/>
    </row>
    <row r="68" spans="1:23" ht="11.25" customHeight="1" x14ac:dyDescent="0.25">
      <c r="A68" s="223">
        <v>37</v>
      </c>
      <c r="B68" s="228" t="s">
        <v>2498</v>
      </c>
      <c r="C68" s="192" t="s">
        <v>2402</v>
      </c>
      <c r="D68" s="193">
        <v>44242</v>
      </c>
      <c r="E68" s="194">
        <v>44392</v>
      </c>
      <c r="F68" s="228" t="s">
        <v>2498</v>
      </c>
      <c r="G68" s="195" t="s">
        <v>2499</v>
      </c>
      <c r="H68" s="195" t="s">
        <v>2485</v>
      </c>
      <c r="I68" s="196" t="s">
        <v>2468</v>
      </c>
      <c r="J68" s="197" t="s">
        <v>2500</v>
      </c>
      <c r="K68" s="220"/>
      <c r="L68" s="220"/>
      <c r="M68" s="220"/>
      <c r="N68" s="220"/>
      <c r="O68" s="220"/>
      <c r="P68" s="220"/>
      <c r="Q68" s="224"/>
      <c r="R68" s="224"/>
      <c r="S68" s="224"/>
      <c r="T68" s="5"/>
      <c r="U68" s="5"/>
      <c r="V68" s="5"/>
      <c r="W68" s="5"/>
    </row>
    <row r="69" spans="1:23" ht="11.25" customHeight="1" x14ac:dyDescent="0.25">
      <c r="A69" s="223">
        <v>38</v>
      </c>
      <c r="B69" s="228" t="s">
        <v>2501</v>
      </c>
      <c r="C69" s="225" t="s">
        <v>2440</v>
      </c>
      <c r="D69" s="193">
        <v>43831</v>
      </c>
      <c r="E69" s="194">
        <v>44926</v>
      </c>
      <c r="F69" s="228" t="s">
        <v>2501</v>
      </c>
      <c r="G69" s="195" t="s">
        <v>2502</v>
      </c>
      <c r="H69" s="195" t="s">
        <v>2485</v>
      </c>
      <c r="I69" s="196" t="s">
        <v>2421</v>
      </c>
      <c r="J69" s="197" t="s">
        <v>2503</v>
      </c>
      <c r="K69" s="220"/>
      <c r="L69" s="220"/>
      <c r="M69" s="220"/>
      <c r="N69" s="220"/>
      <c r="O69" s="220"/>
      <c r="P69" s="220"/>
      <c r="Q69" s="224"/>
      <c r="R69" s="224"/>
      <c r="S69" s="224"/>
      <c r="T69" s="5"/>
      <c r="U69" s="5"/>
      <c r="V69" s="5"/>
      <c r="W69" s="5"/>
    </row>
    <row r="70" spans="1:23" ht="11.25" customHeight="1" x14ac:dyDescent="0.25">
      <c r="A70" s="223">
        <v>39</v>
      </c>
      <c r="B70" s="228" t="s">
        <v>2504</v>
      </c>
      <c r="C70" s="192" t="s">
        <v>2402</v>
      </c>
      <c r="D70" s="193">
        <v>44362</v>
      </c>
      <c r="E70" s="194">
        <v>44484</v>
      </c>
      <c r="F70" s="228" t="s">
        <v>2504</v>
      </c>
      <c r="G70" s="195" t="s">
        <v>2505</v>
      </c>
      <c r="H70" s="195" t="s">
        <v>2506</v>
      </c>
      <c r="I70" s="196" t="s">
        <v>2468</v>
      </c>
      <c r="J70" s="233" t="s">
        <v>2507</v>
      </c>
      <c r="K70" s="220"/>
      <c r="L70" s="220"/>
      <c r="M70" s="220"/>
      <c r="N70" s="220"/>
      <c r="O70" s="220"/>
      <c r="P70" s="220"/>
      <c r="Q70" s="224"/>
      <c r="R70" s="224"/>
      <c r="S70" s="224"/>
      <c r="T70" s="165"/>
      <c r="U70" s="165"/>
      <c r="V70" s="165"/>
      <c r="W70" s="165"/>
    </row>
    <row r="71" spans="1:23" ht="11.25" customHeight="1" x14ac:dyDescent="0.25">
      <c r="A71" s="223">
        <v>40</v>
      </c>
      <c r="B71" s="228" t="s">
        <v>2508</v>
      </c>
      <c r="C71" s="192" t="s">
        <v>2402</v>
      </c>
      <c r="D71" s="193">
        <v>44440</v>
      </c>
      <c r="E71" s="194">
        <v>44501</v>
      </c>
      <c r="F71" s="228" t="s">
        <v>2508</v>
      </c>
      <c r="G71" s="195" t="s">
        <v>2505</v>
      </c>
      <c r="H71" s="195" t="s">
        <v>2506</v>
      </c>
      <c r="I71" s="196" t="s">
        <v>2468</v>
      </c>
      <c r="J71" s="233" t="s">
        <v>2507</v>
      </c>
      <c r="K71" s="220"/>
      <c r="L71" s="220"/>
      <c r="M71" s="220"/>
      <c r="N71" s="220"/>
      <c r="O71" s="220"/>
      <c r="P71" s="220"/>
      <c r="Q71" s="224"/>
      <c r="R71" s="224"/>
      <c r="S71" s="224"/>
      <c r="T71" s="165"/>
      <c r="U71" s="165"/>
      <c r="V71" s="165"/>
      <c r="W71" s="165"/>
    </row>
    <row r="72" spans="1:23" ht="11.25" customHeight="1" x14ac:dyDescent="0.25">
      <c r="A72" s="223">
        <v>41</v>
      </c>
      <c r="B72" s="228" t="s">
        <v>2509</v>
      </c>
      <c r="C72" s="192" t="s">
        <v>2402</v>
      </c>
      <c r="D72" s="193">
        <v>44211</v>
      </c>
      <c r="E72" s="194">
        <v>44331</v>
      </c>
      <c r="F72" s="228" t="s">
        <v>2509</v>
      </c>
      <c r="G72" s="195" t="s">
        <v>2505</v>
      </c>
      <c r="H72" s="195" t="s">
        <v>2506</v>
      </c>
      <c r="I72" s="196" t="s">
        <v>2468</v>
      </c>
      <c r="J72" s="233" t="s">
        <v>2507</v>
      </c>
      <c r="K72" s="220"/>
      <c r="L72" s="220"/>
      <c r="M72" s="220"/>
      <c r="N72" s="220"/>
      <c r="O72" s="220"/>
      <c r="P72" s="220"/>
      <c r="Q72" s="232" t="s">
        <v>2510</v>
      </c>
      <c r="R72" s="232" t="s">
        <v>2511</v>
      </c>
      <c r="S72" s="232" t="s">
        <v>2512</v>
      </c>
      <c r="T72" s="165"/>
      <c r="U72" s="165"/>
      <c r="V72" s="165"/>
      <c r="W72" s="165"/>
    </row>
    <row r="73" spans="1:23" ht="11.25" customHeight="1" x14ac:dyDescent="0.25">
      <c r="A73" s="223">
        <v>42</v>
      </c>
      <c r="B73" s="228" t="s">
        <v>2513</v>
      </c>
      <c r="C73" s="192" t="s">
        <v>2402</v>
      </c>
      <c r="D73" s="193">
        <v>44153</v>
      </c>
      <c r="E73" s="194">
        <v>44273</v>
      </c>
      <c r="F73" s="228" t="s">
        <v>2513</v>
      </c>
      <c r="G73" s="195" t="s">
        <v>2505</v>
      </c>
      <c r="H73" s="195" t="s">
        <v>2506</v>
      </c>
      <c r="I73" s="196" t="s">
        <v>2468</v>
      </c>
      <c r="J73" s="233" t="s">
        <v>2507</v>
      </c>
      <c r="K73" s="220"/>
      <c r="L73" s="220"/>
      <c r="M73" s="220"/>
      <c r="N73" s="220"/>
      <c r="O73" s="220"/>
      <c r="P73" s="220"/>
      <c r="Q73" s="224"/>
      <c r="R73" s="224"/>
      <c r="S73" s="224"/>
      <c r="T73" s="165"/>
      <c r="U73" s="165"/>
      <c r="V73" s="165"/>
      <c r="W73" s="165"/>
    </row>
    <row r="74" spans="1:23" ht="11.25" customHeight="1" x14ac:dyDescent="0.25">
      <c r="A74" s="223">
        <v>43</v>
      </c>
      <c r="B74" s="228" t="s">
        <v>2514</v>
      </c>
      <c r="C74" s="192" t="s">
        <v>2402</v>
      </c>
      <c r="D74" s="193">
        <v>44275</v>
      </c>
      <c r="E74" s="194">
        <v>44428</v>
      </c>
      <c r="F74" s="228" t="s">
        <v>2514</v>
      </c>
      <c r="G74" s="195" t="s">
        <v>2515</v>
      </c>
      <c r="H74" s="195" t="s">
        <v>2506</v>
      </c>
      <c r="I74" s="196" t="s">
        <v>2421</v>
      </c>
      <c r="J74" s="233" t="s">
        <v>2516</v>
      </c>
      <c r="K74" s="220"/>
      <c r="L74" s="220"/>
      <c r="M74" s="220"/>
      <c r="N74" s="220"/>
      <c r="O74" s="220"/>
      <c r="P74" s="220"/>
      <c r="Q74" s="224"/>
      <c r="R74" s="224"/>
      <c r="S74" s="224"/>
      <c r="T74" s="165"/>
      <c r="U74" s="165"/>
      <c r="V74" s="165"/>
      <c r="W74" s="165"/>
    </row>
    <row r="75" spans="1:23" ht="11.25" customHeight="1" x14ac:dyDescent="0.25">
      <c r="A75" s="223">
        <v>44</v>
      </c>
      <c r="B75" s="228" t="s">
        <v>2517</v>
      </c>
      <c r="C75" s="192" t="s">
        <v>2402</v>
      </c>
      <c r="D75" s="193">
        <v>44211</v>
      </c>
      <c r="E75" s="194">
        <v>44392</v>
      </c>
      <c r="F75" s="228" t="s">
        <v>2517</v>
      </c>
      <c r="G75" s="195" t="s">
        <v>2518</v>
      </c>
      <c r="H75" s="195" t="s">
        <v>2506</v>
      </c>
      <c r="I75" s="195" t="s">
        <v>2519</v>
      </c>
      <c r="J75" s="197">
        <v>44520</v>
      </c>
      <c r="K75" s="220"/>
      <c r="L75" s="220"/>
      <c r="M75" s="220"/>
      <c r="N75" s="220"/>
      <c r="O75" s="220"/>
      <c r="P75" s="220"/>
      <c r="Q75" s="224"/>
      <c r="R75" s="224"/>
      <c r="S75" s="224"/>
      <c r="T75" s="165"/>
      <c r="U75" s="165"/>
      <c r="V75" s="165"/>
      <c r="W75" s="165"/>
    </row>
    <row r="76" spans="1:23" ht="11.25" customHeight="1" x14ac:dyDescent="0.25">
      <c r="A76" s="223">
        <v>45</v>
      </c>
      <c r="B76" s="228" t="s">
        <v>2520</v>
      </c>
      <c r="C76" s="192" t="s">
        <v>2402</v>
      </c>
      <c r="D76" s="193">
        <v>43936</v>
      </c>
      <c r="E76" s="194">
        <v>44454</v>
      </c>
      <c r="F76" s="228" t="s">
        <v>2520</v>
      </c>
      <c r="G76" s="226" t="s">
        <v>2521</v>
      </c>
      <c r="H76" s="195" t="s">
        <v>2506</v>
      </c>
      <c r="I76" s="196" t="s">
        <v>2421</v>
      </c>
      <c r="J76" s="197" t="s">
        <v>2522</v>
      </c>
      <c r="K76" s="220"/>
      <c r="L76" s="220"/>
      <c r="M76" s="220"/>
      <c r="N76" s="220"/>
      <c r="O76" s="220"/>
      <c r="P76" s="220"/>
      <c r="Q76" s="224"/>
      <c r="R76" s="224"/>
      <c r="S76" s="224"/>
      <c r="T76" s="165"/>
      <c r="U76" s="165"/>
      <c r="V76" s="165"/>
      <c r="W76" s="165"/>
    </row>
    <row r="77" spans="1:23" ht="11.25" customHeight="1" x14ac:dyDescent="0.25">
      <c r="A77" s="223">
        <v>46</v>
      </c>
      <c r="B77" s="228" t="s">
        <v>2523</v>
      </c>
      <c r="C77" s="225" t="s">
        <v>2524</v>
      </c>
      <c r="D77" s="229">
        <v>2018</v>
      </c>
      <c r="E77" s="234">
        <v>2022</v>
      </c>
      <c r="F77" s="228" t="s">
        <v>2525</v>
      </c>
      <c r="G77" s="195" t="s">
        <v>2526</v>
      </c>
      <c r="H77" s="195" t="s">
        <v>2506</v>
      </c>
      <c r="I77" s="196" t="s">
        <v>2421</v>
      </c>
      <c r="J77" s="197">
        <v>44540</v>
      </c>
      <c r="K77" s="220"/>
      <c r="L77" s="220"/>
      <c r="M77" s="220"/>
      <c r="N77" s="220"/>
      <c r="O77" s="220"/>
      <c r="P77" s="220"/>
      <c r="Q77" s="224"/>
      <c r="R77" s="224"/>
      <c r="S77" s="224"/>
      <c r="T77" s="165"/>
      <c r="U77" s="165"/>
      <c r="V77" s="165"/>
      <c r="W77" s="165"/>
    </row>
    <row r="78" spans="1:23" ht="11.25" customHeight="1" x14ac:dyDescent="0.25">
      <c r="A78" s="223">
        <v>47</v>
      </c>
      <c r="B78" s="228" t="s">
        <v>2523</v>
      </c>
      <c r="C78" s="225" t="s">
        <v>2524</v>
      </c>
      <c r="D78" s="229">
        <v>2018</v>
      </c>
      <c r="E78" s="234">
        <v>2022</v>
      </c>
      <c r="F78" s="228" t="s">
        <v>2527</v>
      </c>
      <c r="G78" s="195" t="s">
        <v>2528</v>
      </c>
      <c r="H78" s="195" t="s">
        <v>2485</v>
      </c>
      <c r="I78" s="196" t="s">
        <v>2421</v>
      </c>
      <c r="J78" s="233" t="s">
        <v>2529</v>
      </c>
      <c r="K78" s="220"/>
      <c r="L78" s="220"/>
      <c r="M78" s="220"/>
      <c r="N78" s="220"/>
      <c r="O78" s="220"/>
      <c r="P78" s="220"/>
      <c r="Q78" s="224"/>
      <c r="R78" s="224"/>
      <c r="S78" s="224"/>
      <c r="T78" s="165"/>
      <c r="U78" s="165"/>
      <c r="V78" s="165"/>
      <c r="W78" s="165"/>
    </row>
    <row r="79" spans="1:23" ht="11.25" customHeight="1" x14ac:dyDescent="0.25">
      <c r="A79" s="223">
        <v>48</v>
      </c>
      <c r="B79" s="228" t="s">
        <v>2530</v>
      </c>
      <c r="C79" s="192" t="s">
        <v>2402</v>
      </c>
      <c r="D79" s="193">
        <v>44044</v>
      </c>
      <c r="E79" s="194">
        <v>44378</v>
      </c>
      <c r="F79" s="228" t="s">
        <v>2531</v>
      </c>
      <c r="G79" s="195" t="s">
        <v>2532</v>
      </c>
      <c r="H79" s="195" t="s">
        <v>2485</v>
      </c>
      <c r="I79" s="196" t="s">
        <v>2421</v>
      </c>
      <c r="J79" s="197" t="s">
        <v>2533</v>
      </c>
      <c r="K79" s="220"/>
      <c r="L79" s="220"/>
      <c r="M79" s="220"/>
      <c r="N79" s="220"/>
      <c r="O79" s="220"/>
      <c r="P79" s="220"/>
      <c r="Q79" s="224"/>
      <c r="R79" s="224"/>
      <c r="S79" s="224"/>
      <c r="T79" s="165"/>
      <c r="U79" s="165"/>
      <c r="V79" s="165"/>
      <c r="W79" s="165"/>
    </row>
    <row r="80" spans="1:23" ht="11.25" customHeight="1" x14ac:dyDescent="0.25">
      <c r="A80" s="223">
        <v>49</v>
      </c>
      <c r="B80" s="228" t="s">
        <v>2534</v>
      </c>
      <c r="C80" s="192" t="s">
        <v>2402</v>
      </c>
      <c r="D80" s="193">
        <v>44306</v>
      </c>
      <c r="E80" s="194">
        <v>44459</v>
      </c>
      <c r="F80" s="228" t="s">
        <v>2534</v>
      </c>
      <c r="G80" s="195" t="s">
        <v>2532</v>
      </c>
      <c r="H80" s="195" t="s">
        <v>2485</v>
      </c>
      <c r="I80" s="196" t="s">
        <v>2421</v>
      </c>
      <c r="J80" s="197" t="s">
        <v>2533</v>
      </c>
      <c r="K80" s="220"/>
      <c r="L80" s="220"/>
      <c r="M80" s="220"/>
      <c r="N80" s="220"/>
      <c r="O80" s="220"/>
      <c r="P80" s="220"/>
      <c r="Q80" s="232" t="s">
        <v>2535</v>
      </c>
      <c r="R80" s="232" t="s">
        <v>2536</v>
      </c>
      <c r="S80" s="232" t="s">
        <v>2537</v>
      </c>
      <c r="T80" s="165"/>
      <c r="U80" s="165"/>
      <c r="V80" s="165"/>
      <c r="W80" s="165"/>
    </row>
    <row r="81" spans="1:23" ht="11.25" customHeight="1" x14ac:dyDescent="0.25">
      <c r="A81" s="223">
        <v>50</v>
      </c>
      <c r="B81" s="228" t="s">
        <v>2538</v>
      </c>
      <c r="C81" s="192" t="s">
        <v>2402</v>
      </c>
      <c r="D81" s="193">
        <v>44211</v>
      </c>
      <c r="E81" s="194">
        <v>44454</v>
      </c>
      <c r="F81" s="228" t="s">
        <v>2538</v>
      </c>
      <c r="G81" s="195" t="s">
        <v>2539</v>
      </c>
      <c r="H81" s="195" t="s">
        <v>2467</v>
      </c>
      <c r="I81" s="196" t="s">
        <v>2468</v>
      </c>
      <c r="J81" s="197" t="s">
        <v>2540</v>
      </c>
      <c r="K81" s="220"/>
      <c r="L81" s="220"/>
      <c r="M81" s="220"/>
      <c r="N81" s="220"/>
      <c r="O81" s="220"/>
      <c r="P81" s="220"/>
      <c r="Q81" s="224"/>
      <c r="R81" s="224"/>
      <c r="S81" s="224"/>
      <c r="T81" s="165"/>
      <c r="U81" s="165"/>
      <c r="V81" s="165"/>
      <c r="W81" s="165"/>
    </row>
    <row r="82" spans="1:23" ht="11.25" customHeight="1" x14ac:dyDescent="0.25">
      <c r="A82" s="223">
        <v>51</v>
      </c>
      <c r="B82" s="228" t="s">
        <v>2541</v>
      </c>
      <c r="C82" s="192" t="s">
        <v>2402</v>
      </c>
      <c r="D82" s="193">
        <v>44256</v>
      </c>
      <c r="E82" s="235">
        <v>44378</v>
      </c>
      <c r="F82" s="228" t="s">
        <v>2541</v>
      </c>
      <c r="G82" s="195" t="s">
        <v>2539</v>
      </c>
      <c r="H82" s="195" t="s">
        <v>2467</v>
      </c>
      <c r="I82" s="196" t="s">
        <v>2468</v>
      </c>
      <c r="J82" s="197" t="s">
        <v>2540</v>
      </c>
      <c r="K82" s="220"/>
      <c r="L82" s="220"/>
      <c r="M82" s="220"/>
      <c r="N82" s="220"/>
      <c r="O82" s="220"/>
      <c r="P82" s="220"/>
      <c r="Q82" s="224"/>
      <c r="R82" s="224"/>
      <c r="S82" s="224"/>
      <c r="T82" s="165"/>
      <c r="U82" s="165"/>
      <c r="V82" s="165"/>
      <c r="W82" s="165"/>
    </row>
    <row r="83" spans="1:23" ht="11.25" customHeight="1" x14ac:dyDescent="0.25">
      <c r="A83" s="223">
        <v>52</v>
      </c>
      <c r="B83" s="228" t="s">
        <v>2542</v>
      </c>
      <c r="C83" s="192" t="s">
        <v>2402</v>
      </c>
      <c r="D83" s="193">
        <v>44256</v>
      </c>
      <c r="E83" s="235">
        <v>44378</v>
      </c>
      <c r="F83" s="228" t="s">
        <v>2542</v>
      </c>
      <c r="G83" s="195" t="s">
        <v>2539</v>
      </c>
      <c r="H83" s="195" t="s">
        <v>2467</v>
      </c>
      <c r="I83" s="196" t="s">
        <v>2468</v>
      </c>
      <c r="J83" s="197" t="s">
        <v>2540</v>
      </c>
      <c r="K83" s="220"/>
      <c r="L83" s="220"/>
      <c r="M83" s="220"/>
      <c r="N83" s="220"/>
      <c r="O83" s="220"/>
      <c r="P83" s="220"/>
      <c r="Q83" s="224"/>
      <c r="R83" s="224"/>
      <c r="S83" s="224"/>
      <c r="T83" s="165"/>
      <c r="U83" s="165"/>
      <c r="V83" s="165"/>
      <c r="W83" s="165"/>
    </row>
    <row r="84" spans="1:23" ht="11.25" customHeight="1" x14ac:dyDescent="0.25">
      <c r="A84" s="223">
        <v>53</v>
      </c>
      <c r="B84" s="228" t="s">
        <v>2543</v>
      </c>
      <c r="C84" s="192" t="s">
        <v>2402</v>
      </c>
      <c r="D84" s="193">
        <v>44287</v>
      </c>
      <c r="E84" s="235">
        <v>44378</v>
      </c>
      <c r="F84" s="228" t="s">
        <v>2543</v>
      </c>
      <c r="G84" s="195" t="s">
        <v>2539</v>
      </c>
      <c r="H84" s="195" t="s">
        <v>2467</v>
      </c>
      <c r="I84" s="196" t="s">
        <v>2468</v>
      </c>
      <c r="J84" s="197" t="s">
        <v>2540</v>
      </c>
      <c r="K84" s="220"/>
      <c r="L84" s="220"/>
      <c r="M84" s="220"/>
      <c r="N84" s="220"/>
      <c r="O84" s="220"/>
      <c r="P84" s="220"/>
      <c r="Q84" s="224"/>
      <c r="R84" s="224"/>
      <c r="S84" s="224"/>
      <c r="T84" s="165"/>
      <c r="U84" s="165"/>
      <c r="V84" s="165"/>
      <c r="W84" s="165"/>
    </row>
    <row r="85" spans="1:23" ht="11.25" customHeight="1" x14ac:dyDescent="0.25">
      <c r="A85" s="223">
        <v>54</v>
      </c>
      <c r="B85" s="228" t="s">
        <v>2544</v>
      </c>
      <c r="C85" s="192" t="s">
        <v>2402</v>
      </c>
      <c r="D85" s="193">
        <v>44256</v>
      </c>
      <c r="E85" s="194">
        <v>44409</v>
      </c>
      <c r="F85" s="228" t="s">
        <v>2544</v>
      </c>
      <c r="G85" s="195" t="s">
        <v>2539</v>
      </c>
      <c r="H85" s="195" t="s">
        <v>2467</v>
      </c>
      <c r="I85" s="196" t="s">
        <v>2468</v>
      </c>
      <c r="J85" s="197" t="s">
        <v>2540</v>
      </c>
      <c r="K85" s="220"/>
      <c r="L85" s="220"/>
      <c r="M85" s="220"/>
      <c r="N85" s="220"/>
      <c r="O85" s="220"/>
      <c r="P85" s="220"/>
      <c r="Q85" s="224"/>
      <c r="R85" s="224"/>
      <c r="S85" s="224"/>
      <c r="T85" s="165"/>
      <c r="U85" s="165"/>
      <c r="V85" s="165"/>
      <c r="W85" s="165"/>
    </row>
    <row r="86" spans="1:23" ht="11.25" customHeight="1" x14ac:dyDescent="0.25">
      <c r="A86" s="223">
        <v>55</v>
      </c>
      <c r="B86" s="228" t="s">
        <v>2545</v>
      </c>
      <c r="C86" s="192" t="s">
        <v>2402</v>
      </c>
      <c r="D86" s="193">
        <v>44105</v>
      </c>
      <c r="E86" s="194">
        <v>44470</v>
      </c>
      <c r="F86" s="228" t="s">
        <v>2545</v>
      </c>
      <c r="G86" s="195" t="s">
        <v>2539</v>
      </c>
      <c r="H86" s="195" t="s">
        <v>2467</v>
      </c>
      <c r="I86" s="196" t="s">
        <v>2468</v>
      </c>
      <c r="J86" s="197" t="s">
        <v>2540</v>
      </c>
      <c r="K86" s="220"/>
      <c r="L86" s="220"/>
      <c r="M86" s="220"/>
      <c r="N86" s="220"/>
      <c r="O86" s="220"/>
      <c r="P86" s="220"/>
      <c r="Q86" s="224"/>
      <c r="R86" s="224"/>
      <c r="S86" s="224"/>
      <c r="T86" s="165"/>
      <c r="U86" s="165"/>
      <c r="V86" s="165"/>
      <c r="W86" s="165"/>
    </row>
    <row r="87" spans="1:23" ht="11.25" customHeight="1" x14ac:dyDescent="0.25">
      <c r="A87" s="223">
        <v>56</v>
      </c>
      <c r="B87" s="228" t="s">
        <v>2546</v>
      </c>
      <c r="C87" s="192" t="s">
        <v>2402</v>
      </c>
      <c r="D87" s="193">
        <v>44197</v>
      </c>
      <c r="E87" s="194">
        <v>44440</v>
      </c>
      <c r="F87" s="228" t="s">
        <v>2546</v>
      </c>
      <c r="G87" s="195" t="s">
        <v>2539</v>
      </c>
      <c r="H87" s="195" t="s">
        <v>2467</v>
      </c>
      <c r="I87" s="196" t="s">
        <v>2468</v>
      </c>
      <c r="J87" s="197" t="s">
        <v>2540</v>
      </c>
      <c r="K87" s="220"/>
      <c r="L87" s="220"/>
      <c r="M87" s="220"/>
      <c r="N87" s="220"/>
      <c r="O87" s="220"/>
      <c r="P87" s="220"/>
      <c r="Q87" s="224"/>
      <c r="R87" s="224"/>
      <c r="S87" s="224"/>
      <c r="T87" s="165"/>
      <c r="U87" s="165"/>
      <c r="V87" s="165"/>
      <c r="W87" s="165"/>
    </row>
    <row r="88" spans="1:23" ht="11.25" customHeight="1" x14ac:dyDescent="0.25">
      <c r="A88" s="223">
        <v>57</v>
      </c>
      <c r="B88" s="228" t="s">
        <v>2547</v>
      </c>
      <c r="C88" s="192" t="s">
        <v>2402</v>
      </c>
      <c r="D88" s="193">
        <v>44317</v>
      </c>
      <c r="E88" s="194">
        <v>44470</v>
      </c>
      <c r="F88" s="228" t="s">
        <v>2547</v>
      </c>
      <c r="G88" s="195" t="s">
        <v>2539</v>
      </c>
      <c r="H88" s="195" t="s">
        <v>2467</v>
      </c>
      <c r="I88" s="196" t="s">
        <v>2468</v>
      </c>
      <c r="J88" s="197" t="s">
        <v>2540</v>
      </c>
      <c r="K88" s="220"/>
      <c r="L88" s="220"/>
      <c r="M88" s="220"/>
      <c r="N88" s="220"/>
      <c r="O88" s="220"/>
      <c r="P88" s="220"/>
      <c r="Q88" s="224"/>
      <c r="R88" s="224"/>
      <c r="S88" s="224"/>
      <c r="T88" s="165"/>
      <c r="U88" s="165"/>
      <c r="V88" s="165"/>
      <c r="W88" s="165"/>
    </row>
    <row r="89" spans="1:23" ht="11.25" customHeight="1" x14ac:dyDescent="0.25">
      <c r="A89" s="223">
        <v>58</v>
      </c>
      <c r="B89" s="228" t="s">
        <v>2548</v>
      </c>
      <c r="C89" s="192" t="s">
        <v>2402</v>
      </c>
      <c r="D89" s="193">
        <v>44256</v>
      </c>
      <c r="E89" s="194">
        <v>44378</v>
      </c>
      <c r="F89" s="228" t="s">
        <v>2548</v>
      </c>
      <c r="G89" s="195" t="s">
        <v>2539</v>
      </c>
      <c r="H89" s="195" t="s">
        <v>2467</v>
      </c>
      <c r="I89" s="196" t="s">
        <v>2468</v>
      </c>
      <c r="J89" s="197" t="s">
        <v>2540</v>
      </c>
      <c r="K89" s="220"/>
      <c r="L89" s="220"/>
      <c r="M89" s="220"/>
      <c r="N89" s="220"/>
      <c r="O89" s="220"/>
      <c r="P89" s="220"/>
      <c r="Q89" s="224"/>
      <c r="R89" s="224"/>
      <c r="S89" s="224"/>
      <c r="T89" s="165"/>
      <c r="U89" s="165"/>
      <c r="V89" s="165"/>
      <c r="W89" s="165"/>
    </row>
    <row r="90" spans="1:23" ht="11.25" customHeight="1" x14ac:dyDescent="0.25">
      <c r="A90" s="223">
        <v>59</v>
      </c>
      <c r="B90" s="228" t="s">
        <v>2549</v>
      </c>
      <c r="C90" s="192" t="s">
        <v>2402</v>
      </c>
      <c r="D90" s="193">
        <v>44228</v>
      </c>
      <c r="E90" s="194">
        <v>44378</v>
      </c>
      <c r="F90" s="228" t="s">
        <v>2549</v>
      </c>
      <c r="G90" s="195" t="s">
        <v>2539</v>
      </c>
      <c r="H90" s="195" t="s">
        <v>2467</v>
      </c>
      <c r="I90" s="196" t="s">
        <v>2468</v>
      </c>
      <c r="J90" s="197" t="s">
        <v>2540</v>
      </c>
      <c r="K90" s="220"/>
      <c r="L90" s="220"/>
      <c r="M90" s="220"/>
      <c r="N90" s="220"/>
      <c r="O90" s="220"/>
      <c r="P90" s="220"/>
      <c r="Q90" s="224"/>
      <c r="R90" s="224"/>
      <c r="S90" s="224"/>
      <c r="T90" s="165"/>
      <c r="U90" s="165"/>
      <c r="V90" s="165"/>
      <c r="W90" s="165"/>
    </row>
    <row r="91" spans="1:23" ht="11.25" customHeight="1" x14ac:dyDescent="0.25">
      <c r="A91" s="223">
        <v>60</v>
      </c>
      <c r="B91" s="228" t="s">
        <v>2550</v>
      </c>
      <c r="C91" s="192" t="s">
        <v>2402</v>
      </c>
      <c r="D91" s="193">
        <v>44197</v>
      </c>
      <c r="E91" s="194">
        <v>44378</v>
      </c>
      <c r="F91" s="228" t="s">
        <v>2550</v>
      </c>
      <c r="G91" s="195" t="s">
        <v>2539</v>
      </c>
      <c r="H91" s="195" t="s">
        <v>2467</v>
      </c>
      <c r="I91" s="196" t="s">
        <v>2468</v>
      </c>
      <c r="J91" s="197" t="s">
        <v>2540</v>
      </c>
      <c r="K91" s="220"/>
      <c r="L91" s="220"/>
      <c r="M91" s="220"/>
      <c r="N91" s="220"/>
      <c r="O91" s="220"/>
      <c r="P91" s="220"/>
      <c r="Q91" s="224"/>
      <c r="R91" s="224"/>
      <c r="S91" s="224"/>
      <c r="T91" s="165"/>
      <c r="U91" s="165"/>
      <c r="V91" s="165"/>
      <c r="W91" s="165"/>
    </row>
    <row r="92" spans="1:23" ht="11.25" customHeight="1" x14ac:dyDescent="0.25">
      <c r="A92" s="223">
        <v>61</v>
      </c>
      <c r="B92" s="228" t="s">
        <v>2551</v>
      </c>
      <c r="C92" s="192" t="s">
        <v>2402</v>
      </c>
      <c r="D92" s="193">
        <v>44228</v>
      </c>
      <c r="E92" s="194">
        <v>44409</v>
      </c>
      <c r="F92" s="228" t="s">
        <v>2551</v>
      </c>
      <c r="G92" s="195" t="s">
        <v>2539</v>
      </c>
      <c r="H92" s="195" t="s">
        <v>2467</v>
      </c>
      <c r="I92" s="196" t="s">
        <v>2468</v>
      </c>
      <c r="J92" s="197" t="s">
        <v>2540</v>
      </c>
      <c r="K92" s="220"/>
      <c r="L92" s="220"/>
      <c r="M92" s="220"/>
      <c r="N92" s="220"/>
      <c r="O92" s="220"/>
      <c r="P92" s="220"/>
      <c r="Q92" s="224"/>
      <c r="R92" s="224"/>
      <c r="S92" s="224"/>
      <c r="T92" s="165"/>
      <c r="U92" s="165"/>
      <c r="V92" s="165"/>
      <c r="W92" s="165"/>
    </row>
    <row r="93" spans="1:23" ht="11.25" customHeight="1" x14ac:dyDescent="0.25">
      <c r="A93" s="223">
        <v>62</v>
      </c>
      <c r="B93" s="191" t="s">
        <v>2552</v>
      </c>
      <c r="C93" s="192" t="s">
        <v>2402</v>
      </c>
      <c r="D93" s="193">
        <v>44287</v>
      </c>
      <c r="E93" s="194">
        <v>44409</v>
      </c>
      <c r="F93" s="191" t="s">
        <v>2552</v>
      </c>
      <c r="G93" s="195" t="s">
        <v>2539</v>
      </c>
      <c r="H93" s="195" t="s">
        <v>2467</v>
      </c>
      <c r="I93" s="196" t="s">
        <v>2468</v>
      </c>
      <c r="J93" s="197" t="s">
        <v>2540</v>
      </c>
      <c r="K93" s="220"/>
      <c r="L93" s="220"/>
      <c r="M93" s="220"/>
      <c r="N93" s="220"/>
      <c r="O93" s="220"/>
      <c r="P93" s="220"/>
      <c r="Q93" s="224"/>
      <c r="R93" s="224"/>
      <c r="S93" s="224"/>
      <c r="T93" s="165"/>
      <c r="U93" s="165"/>
      <c r="V93" s="165"/>
      <c r="W93" s="165"/>
    </row>
    <row r="94" spans="1:23" ht="11.25" customHeight="1" x14ac:dyDescent="0.25">
      <c r="A94" s="223"/>
      <c r="B94" s="236"/>
      <c r="C94" s="223"/>
      <c r="D94" s="236"/>
      <c r="E94" s="204"/>
      <c r="F94" s="237"/>
      <c r="G94" s="238"/>
      <c r="H94" s="239"/>
      <c r="I94" s="239"/>
      <c r="J94" s="240"/>
      <c r="K94" s="220"/>
      <c r="L94" s="220"/>
      <c r="M94" s="220"/>
      <c r="N94" s="220"/>
      <c r="O94" s="220"/>
      <c r="P94" s="220"/>
      <c r="Q94" s="224"/>
      <c r="R94" s="224"/>
      <c r="S94" s="224"/>
      <c r="T94" s="165"/>
      <c r="U94" s="165"/>
      <c r="V94" s="165"/>
      <c r="W94" s="165"/>
    </row>
    <row r="95" spans="1:23" ht="11.25" customHeight="1" x14ac:dyDescent="0.25">
      <c r="A95" s="458">
        <v>2020</v>
      </c>
      <c r="B95" s="370"/>
      <c r="C95" s="370"/>
      <c r="D95" s="370"/>
      <c r="E95" s="370"/>
      <c r="F95" s="370"/>
      <c r="G95" s="370"/>
      <c r="H95" s="370"/>
      <c r="I95" s="370"/>
      <c r="J95" s="370"/>
      <c r="K95" s="370"/>
      <c r="L95" s="370"/>
      <c r="M95" s="370"/>
      <c r="N95" s="370"/>
      <c r="O95" s="370"/>
      <c r="P95" s="370"/>
      <c r="Q95" s="370"/>
      <c r="R95" s="370"/>
      <c r="S95" s="459"/>
      <c r="T95" s="165"/>
      <c r="U95" s="165"/>
      <c r="V95" s="165"/>
      <c r="W95" s="165"/>
    </row>
    <row r="96" spans="1:23" ht="11.25" customHeight="1" x14ac:dyDescent="0.25">
      <c r="A96" s="190">
        <v>1</v>
      </c>
      <c r="B96" s="191" t="s">
        <v>2553</v>
      </c>
      <c r="C96" s="192" t="s">
        <v>2402</v>
      </c>
      <c r="D96" s="193">
        <v>43983</v>
      </c>
      <c r="E96" s="194" t="s">
        <v>2554</v>
      </c>
      <c r="F96" s="191" t="s">
        <v>2553</v>
      </c>
      <c r="G96" s="195" t="s">
        <v>2555</v>
      </c>
      <c r="H96" s="195" t="s">
        <v>2556</v>
      </c>
      <c r="I96" s="196" t="s">
        <v>2468</v>
      </c>
      <c r="J96" s="197" t="s">
        <v>2557</v>
      </c>
      <c r="K96" s="198"/>
      <c r="L96" s="199"/>
      <c r="M96" s="199"/>
      <c r="N96" s="199"/>
      <c r="O96" s="200"/>
      <c r="P96" s="200"/>
      <c r="Q96" s="198"/>
      <c r="R96" s="199" t="s">
        <v>2558</v>
      </c>
      <c r="S96" s="201"/>
      <c r="T96" s="165"/>
      <c r="U96" s="165"/>
      <c r="V96" s="165"/>
      <c r="W96" s="165"/>
    </row>
    <row r="97" spans="1:23" ht="11.25" customHeight="1" x14ac:dyDescent="0.25">
      <c r="A97" s="190">
        <v>2</v>
      </c>
      <c r="B97" s="191" t="s">
        <v>2559</v>
      </c>
      <c r="C97" s="192" t="s">
        <v>2402</v>
      </c>
      <c r="D97" s="193">
        <v>43983</v>
      </c>
      <c r="E97" s="194" t="s">
        <v>2554</v>
      </c>
      <c r="F97" s="191" t="s">
        <v>2559</v>
      </c>
      <c r="G97" s="195" t="s">
        <v>2555</v>
      </c>
      <c r="H97" s="195" t="s">
        <v>2556</v>
      </c>
      <c r="I97" s="196" t="s">
        <v>2468</v>
      </c>
      <c r="J97" s="197" t="s">
        <v>2557</v>
      </c>
      <c r="K97" s="202"/>
      <c r="L97" s="199"/>
      <c r="M97" s="203"/>
      <c r="N97" s="203"/>
      <c r="O97" s="204"/>
      <c r="P97" s="204"/>
      <c r="Q97" s="202"/>
      <c r="R97" s="203"/>
      <c r="S97" s="205"/>
      <c r="T97" s="165"/>
      <c r="U97" s="165"/>
      <c r="V97" s="165"/>
      <c r="W97" s="165"/>
    </row>
    <row r="98" spans="1:23" ht="11.25" customHeight="1" x14ac:dyDescent="0.25">
      <c r="A98" s="190">
        <v>3</v>
      </c>
      <c r="B98" s="191" t="s">
        <v>2560</v>
      </c>
      <c r="C98" s="192" t="s">
        <v>2402</v>
      </c>
      <c r="D98" s="193">
        <v>43983</v>
      </c>
      <c r="E98" s="194" t="s">
        <v>2554</v>
      </c>
      <c r="F98" s="191" t="s">
        <v>2560</v>
      </c>
      <c r="G98" s="195" t="s">
        <v>2555</v>
      </c>
      <c r="H98" s="195" t="s">
        <v>2556</v>
      </c>
      <c r="I98" s="196" t="s">
        <v>2468</v>
      </c>
      <c r="J98" s="197" t="s">
        <v>2557</v>
      </c>
      <c r="K98" s="207"/>
      <c r="L98" s="208"/>
      <c r="M98" s="209"/>
      <c r="N98" s="209"/>
      <c r="O98" s="210"/>
      <c r="P98" s="210"/>
      <c r="Q98" s="211"/>
      <c r="R98" s="212"/>
      <c r="S98" s="212"/>
      <c r="T98" s="165"/>
      <c r="U98" s="165"/>
      <c r="V98" s="165"/>
      <c r="W98" s="165"/>
    </row>
    <row r="99" spans="1:23" ht="11.25" customHeight="1" x14ac:dyDescent="0.25">
      <c r="A99" s="190">
        <v>4</v>
      </c>
      <c r="B99" s="191" t="s">
        <v>2561</v>
      </c>
      <c r="C99" s="192" t="s">
        <v>2402</v>
      </c>
      <c r="D99" s="193">
        <v>43983</v>
      </c>
      <c r="E99" s="194" t="s">
        <v>2554</v>
      </c>
      <c r="F99" s="191" t="s">
        <v>2561</v>
      </c>
      <c r="G99" s="195" t="s">
        <v>2555</v>
      </c>
      <c r="H99" s="195" t="s">
        <v>2556</v>
      </c>
      <c r="I99" s="196" t="s">
        <v>2468</v>
      </c>
      <c r="J99" s="197" t="s">
        <v>2557</v>
      </c>
      <c r="K99" s="207" t="s">
        <v>2562</v>
      </c>
      <c r="L99" s="208"/>
      <c r="M99" s="209"/>
      <c r="N99" s="209"/>
      <c r="O99" s="210"/>
      <c r="P99" s="210"/>
      <c r="Q99" s="211"/>
      <c r="R99" s="212"/>
      <c r="S99" s="212"/>
      <c r="T99" s="165"/>
      <c r="U99" s="165"/>
      <c r="V99" s="165"/>
      <c r="W99" s="165"/>
    </row>
    <row r="100" spans="1:23" ht="11.25" customHeight="1" x14ac:dyDescent="0.25">
      <c r="A100" s="213">
        <v>5</v>
      </c>
      <c r="B100" s="191" t="s">
        <v>2563</v>
      </c>
      <c r="C100" s="192" t="s">
        <v>2402</v>
      </c>
      <c r="D100" s="193">
        <v>43983</v>
      </c>
      <c r="E100" s="194" t="s">
        <v>2554</v>
      </c>
      <c r="F100" s="191" t="s">
        <v>2563</v>
      </c>
      <c r="G100" s="195" t="s">
        <v>2555</v>
      </c>
      <c r="H100" s="195" t="s">
        <v>2556</v>
      </c>
      <c r="I100" s="196" t="s">
        <v>2468</v>
      </c>
      <c r="J100" s="197" t="s">
        <v>2557</v>
      </c>
      <c r="K100" s="214"/>
      <c r="L100" s="209"/>
      <c r="M100" s="209"/>
      <c r="N100" s="209"/>
      <c r="O100" s="210"/>
      <c r="P100" s="210"/>
      <c r="Q100" s="211"/>
      <c r="R100" s="212"/>
      <c r="S100" s="212"/>
      <c r="T100" s="165"/>
      <c r="U100" s="165"/>
      <c r="V100" s="165"/>
      <c r="W100" s="165"/>
    </row>
    <row r="101" spans="1:23" ht="11.25" customHeight="1" x14ac:dyDescent="0.25">
      <c r="A101" s="213">
        <v>6</v>
      </c>
      <c r="B101" s="191" t="s">
        <v>2564</v>
      </c>
      <c r="C101" s="192" t="s">
        <v>2402</v>
      </c>
      <c r="D101" s="193">
        <v>43983</v>
      </c>
      <c r="E101" s="194" t="s">
        <v>2554</v>
      </c>
      <c r="F101" s="191" t="s">
        <v>2564</v>
      </c>
      <c r="G101" s="195" t="s">
        <v>2555</v>
      </c>
      <c r="H101" s="195" t="s">
        <v>2556</v>
      </c>
      <c r="I101" s="196" t="s">
        <v>2468</v>
      </c>
      <c r="J101" s="197" t="s">
        <v>2557</v>
      </c>
      <c r="K101" s="215"/>
      <c r="L101" s="209"/>
      <c r="M101" s="209"/>
      <c r="N101" s="209"/>
      <c r="O101" s="210"/>
      <c r="P101" s="210"/>
      <c r="Q101" s="211"/>
      <c r="R101" s="212"/>
      <c r="S101" s="212"/>
      <c r="T101" s="165"/>
      <c r="U101" s="165"/>
      <c r="V101" s="165"/>
      <c r="W101" s="165"/>
    </row>
    <row r="102" spans="1:23" ht="11.25" customHeight="1" x14ac:dyDescent="0.25">
      <c r="A102" s="213">
        <v>7</v>
      </c>
      <c r="B102" s="191" t="s">
        <v>2565</v>
      </c>
      <c r="C102" s="192" t="s">
        <v>2402</v>
      </c>
      <c r="D102" s="193">
        <v>43472</v>
      </c>
      <c r="E102" s="194">
        <v>43832</v>
      </c>
      <c r="F102" s="191" t="s">
        <v>2566</v>
      </c>
      <c r="G102" s="195" t="s">
        <v>2567</v>
      </c>
      <c r="H102" s="195" t="s">
        <v>2568</v>
      </c>
      <c r="I102" s="196" t="s">
        <v>2421</v>
      </c>
      <c r="J102" s="197" t="s">
        <v>2569</v>
      </c>
      <c r="K102" s="215"/>
      <c r="L102" s="209"/>
      <c r="M102" s="209"/>
      <c r="N102" s="209"/>
      <c r="O102" s="210"/>
      <c r="P102" s="210"/>
      <c r="Q102" s="211"/>
      <c r="R102" s="212"/>
      <c r="S102" s="212"/>
      <c r="T102" s="165"/>
      <c r="U102" s="165"/>
      <c r="V102" s="165"/>
      <c r="W102" s="165"/>
    </row>
    <row r="103" spans="1:23" ht="11.25" customHeight="1" x14ac:dyDescent="0.25">
      <c r="A103" s="216">
        <v>8</v>
      </c>
      <c r="B103" s="217" t="s">
        <v>2570</v>
      </c>
      <c r="C103" s="192" t="s">
        <v>2402</v>
      </c>
      <c r="D103" s="193">
        <v>43477</v>
      </c>
      <c r="E103" s="194">
        <v>43835</v>
      </c>
      <c r="F103" s="217" t="s">
        <v>2570</v>
      </c>
      <c r="G103" s="195" t="s">
        <v>2571</v>
      </c>
      <c r="H103" s="195" t="s">
        <v>2572</v>
      </c>
      <c r="I103" s="196" t="s">
        <v>2421</v>
      </c>
      <c r="J103" s="197" t="s">
        <v>2573</v>
      </c>
      <c r="K103" s="218"/>
      <c r="L103" s="219"/>
      <c r="M103" s="219"/>
      <c r="N103" s="219"/>
      <c r="O103" s="220"/>
      <c r="P103" s="220"/>
      <c r="Q103" s="221"/>
      <c r="R103" s="222"/>
      <c r="S103" s="222"/>
      <c r="T103" s="165"/>
      <c r="U103" s="165"/>
      <c r="V103" s="165"/>
      <c r="W103" s="165"/>
    </row>
    <row r="104" spans="1:23" ht="11.25" customHeight="1" x14ac:dyDescent="0.25">
      <c r="A104" s="216">
        <v>9</v>
      </c>
      <c r="B104" s="217" t="s">
        <v>2574</v>
      </c>
      <c r="C104" s="192" t="s">
        <v>2402</v>
      </c>
      <c r="D104" s="193">
        <v>43477</v>
      </c>
      <c r="E104" s="194">
        <v>43835</v>
      </c>
      <c r="F104" s="217" t="s">
        <v>2574</v>
      </c>
      <c r="G104" s="195" t="s">
        <v>2575</v>
      </c>
      <c r="H104" s="195" t="s">
        <v>2572</v>
      </c>
      <c r="I104" s="196" t="s">
        <v>2421</v>
      </c>
      <c r="J104" s="197" t="s">
        <v>2576</v>
      </c>
      <c r="K104" s="219"/>
      <c r="L104" s="219"/>
      <c r="M104" s="219"/>
      <c r="N104" s="219"/>
      <c r="O104" s="220"/>
      <c r="P104" s="220"/>
      <c r="Q104" s="222"/>
      <c r="R104" s="222"/>
      <c r="S104" s="222"/>
      <c r="T104" s="165"/>
      <c r="U104" s="165"/>
      <c r="V104" s="165"/>
      <c r="W104" s="165"/>
    </row>
    <row r="105" spans="1:23" ht="11.25" customHeight="1" x14ac:dyDescent="0.25">
      <c r="A105" s="223">
        <v>10</v>
      </c>
      <c r="B105" s="217" t="s">
        <v>2577</v>
      </c>
      <c r="C105" s="192" t="s">
        <v>2402</v>
      </c>
      <c r="D105" s="193">
        <v>43892</v>
      </c>
      <c r="E105" s="194">
        <v>43897</v>
      </c>
      <c r="F105" s="217" t="s">
        <v>2577</v>
      </c>
      <c r="G105" s="195" t="s">
        <v>2578</v>
      </c>
      <c r="H105" s="195" t="s">
        <v>2579</v>
      </c>
      <c r="I105" s="196" t="s">
        <v>2421</v>
      </c>
      <c r="J105" s="197" t="s">
        <v>2580</v>
      </c>
      <c r="K105" s="220"/>
      <c r="L105" s="220"/>
      <c r="M105" s="220"/>
      <c r="N105" s="220"/>
      <c r="O105" s="220"/>
      <c r="P105" s="220"/>
      <c r="Q105" s="224"/>
      <c r="R105" s="224"/>
      <c r="S105" s="224"/>
      <c r="T105" s="165"/>
      <c r="U105" s="165"/>
      <c r="V105" s="165"/>
      <c r="W105" s="165"/>
    </row>
    <row r="106" spans="1:23" ht="11.25" customHeight="1" x14ac:dyDescent="0.25">
      <c r="A106" s="223">
        <v>11</v>
      </c>
      <c r="B106" s="217" t="s">
        <v>2581</v>
      </c>
      <c r="C106" s="192" t="s">
        <v>2402</v>
      </c>
      <c r="D106" s="193" t="s">
        <v>2582</v>
      </c>
      <c r="E106" s="194" t="s">
        <v>2583</v>
      </c>
      <c r="F106" s="217" t="s">
        <v>2581</v>
      </c>
      <c r="G106" s="195" t="s">
        <v>2584</v>
      </c>
      <c r="H106" s="195" t="s">
        <v>2585</v>
      </c>
      <c r="I106" s="196" t="s">
        <v>2421</v>
      </c>
      <c r="J106" s="197" t="s">
        <v>2586</v>
      </c>
      <c r="K106" s="220"/>
      <c r="L106" s="220"/>
      <c r="M106" s="220"/>
      <c r="N106" s="220"/>
      <c r="O106" s="220"/>
      <c r="P106" s="220"/>
      <c r="Q106" s="224"/>
      <c r="R106" s="224"/>
      <c r="S106" s="224"/>
      <c r="T106" s="165"/>
      <c r="U106" s="165"/>
      <c r="V106" s="165"/>
      <c r="W106" s="165"/>
    </row>
    <row r="107" spans="1:23" ht="11.25" customHeight="1" x14ac:dyDescent="0.25">
      <c r="A107" s="223">
        <v>12</v>
      </c>
      <c r="B107" s="241" t="s">
        <v>2587</v>
      </c>
      <c r="C107" s="192" t="s">
        <v>2402</v>
      </c>
      <c r="D107" s="193" t="s">
        <v>2582</v>
      </c>
      <c r="E107" s="194" t="s">
        <v>2588</v>
      </c>
      <c r="F107" s="241" t="s">
        <v>2587</v>
      </c>
      <c r="G107" s="195" t="s">
        <v>2589</v>
      </c>
      <c r="H107" s="195" t="s">
        <v>2590</v>
      </c>
      <c r="I107" s="196" t="s">
        <v>2519</v>
      </c>
      <c r="J107" s="197" t="s">
        <v>2591</v>
      </c>
      <c r="K107" s="220"/>
      <c r="L107" s="220"/>
      <c r="M107" s="220"/>
      <c r="N107" s="220"/>
      <c r="O107" s="220"/>
      <c r="P107" s="220"/>
      <c r="Q107" s="224"/>
      <c r="R107" s="224"/>
      <c r="S107" s="224"/>
      <c r="T107" s="165"/>
      <c r="U107" s="165"/>
      <c r="V107" s="165"/>
      <c r="W107" s="165"/>
    </row>
    <row r="108" spans="1:23" ht="11.25" customHeight="1" x14ac:dyDescent="0.25">
      <c r="A108" s="223">
        <v>13</v>
      </c>
      <c r="B108" s="241" t="s">
        <v>2592</v>
      </c>
      <c r="C108" s="192" t="s">
        <v>2402</v>
      </c>
      <c r="D108" s="193" t="s">
        <v>2582</v>
      </c>
      <c r="E108" s="194" t="s">
        <v>2588</v>
      </c>
      <c r="F108" s="241" t="s">
        <v>2593</v>
      </c>
      <c r="G108" s="195" t="s">
        <v>2589</v>
      </c>
      <c r="H108" s="195" t="s">
        <v>2590</v>
      </c>
      <c r="I108" s="196" t="s">
        <v>2519</v>
      </c>
      <c r="J108" s="197" t="s">
        <v>2591</v>
      </c>
      <c r="K108" s="220"/>
      <c r="L108" s="220"/>
      <c r="M108" s="220"/>
      <c r="N108" s="220"/>
      <c r="O108" s="220"/>
      <c r="P108" s="220"/>
      <c r="Q108" s="224"/>
      <c r="R108" s="224"/>
      <c r="S108" s="224"/>
      <c r="T108" s="165"/>
      <c r="U108" s="165"/>
      <c r="V108" s="165"/>
      <c r="W108" s="165"/>
    </row>
    <row r="109" spans="1:23" ht="11.25" customHeight="1" x14ac:dyDescent="0.25">
      <c r="A109" s="223">
        <v>14</v>
      </c>
      <c r="B109" s="217" t="s">
        <v>2594</v>
      </c>
      <c r="C109" s="192" t="s">
        <v>2402</v>
      </c>
      <c r="D109" s="193" t="s">
        <v>2588</v>
      </c>
      <c r="E109" s="194" t="s">
        <v>2583</v>
      </c>
      <c r="F109" s="217" t="s">
        <v>2594</v>
      </c>
      <c r="G109" s="195" t="s">
        <v>2589</v>
      </c>
      <c r="H109" s="195" t="s">
        <v>2590</v>
      </c>
      <c r="I109" s="196" t="s">
        <v>2519</v>
      </c>
      <c r="J109" s="197" t="s">
        <v>2591</v>
      </c>
      <c r="K109" s="220"/>
      <c r="L109" s="220"/>
      <c r="M109" s="220"/>
      <c r="N109" s="220"/>
      <c r="O109" s="220"/>
      <c r="P109" s="220"/>
      <c r="Q109" s="224"/>
      <c r="R109" s="224"/>
      <c r="S109" s="224"/>
      <c r="T109" s="165"/>
      <c r="U109" s="165"/>
      <c r="V109" s="165"/>
      <c r="W109" s="165"/>
    </row>
    <row r="110" spans="1:23" ht="11.25" customHeight="1" x14ac:dyDescent="0.25">
      <c r="A110" s="223">
        <v>15</v>
      </c>
      <c r="B110" s="217" t="s">
        <v>2595</v>
      </c>
      <c r="C110" s="192" t="s">
        <v>2402</v>
      </c>
      <c r="D110" s="193" t="s">
        <v>2588</v>
      </c>
      <c r="E110" s="194" t="s">
        <v>2583</v>
      </c>
      <c r="F110" s="217" t="s">
        <v>2595</v>
      </c>
      <c r="G110" s="195" t="s">
        <v>2589</v>
      </c>
      <c r="H110" s="195" t="s">
        <v>2590</v>
      </c>
      <c r="I110" s="196" t="s">
        <v>2519</v>
      </c>
      <c r="J110" s="197" t="s">
        <v>2591</v>
      </c>
      <c r="K110" s="220"/>
      <c r="L110" s="220"/>
      <c r="M110" s="220"/>
      <c r="N110" s="220"/>
      <c r="O110" s="220"/>
      <c r="P110" s="220"/>
      <c r="Q110" s="224"/>
      <c r="R110" s="224"/>
      <c r="S110" s="224"/>
      <c r="T110" s="165"/>
      <c r="U110" s="165"/>
      <c r="V110" s="165"/>
      <c r="W110" s="165"/>
    </row>
    <row r="111" spans="1:23" ht="11.25" customHeight="1" x14ac:dyDescent="0.25">
      <c r="A111" s="223">
        <v>16</v>
      </c>
      <c r="B111" s="217" t="s">
        <v>2596</v>
      </c>
      <c r="C111" s="192" t="s">
        <v>2402</v>
      </c>
      <c r="D111" s="193" t="s">
        <v>2582</v>
      </c>
      <c r="E111" s="194" t="s">
        <v>2583</v>
      </c>
      <c r="F111" s="217" t="s">
        <v>2596</v>
      </c>
      <c r="G111" s="195" t="s">
        <v>2597</v>
      </c>
      <c r="H111" s="195" t="s">
        <v>2590</v>
      </c>
      <c r="I111" s="196" t="s">
        <v>2421</v>
      </c>
      <c r="J111" s="197" t="s">
        <v>2598</v>
      </c>
      <c r="K111" s="220"/>
      <c r="L111" s="220"/>
      <c r="M111" s="220"/>
      <c r="N111" s="220"/>
      <c r="O111" s="220"/>
      <c r="P111" s="220"/>
      <c r="Q111" s="224"/>
      <c r="R111" s="224"/>
      <c r="S111" s="224"/>
      <c r="T111" s="165"/>
      <c r="U111" s="165"/>
      <c r="V111" s="165"/>
      <c r="W111" s="165"/>
    </row>
    <row r="112" spans="1:23" ht="11.25" customHeight="1" x14ac:dyDescent="0.25">
      <c r="A112" s="223">
        <v>17</v>
      </c>
      <c r="B112" s="217" t="s">
        <v>2599</v>
      </c>
      <c r="C112" s="192" t="s">
        <v>2402</v>
      </c>
      <c r="D112" s="193" t="s">
        <v>2600</v>
      </c>
      <c r="E112" s="194" t="s">
        <v>2601</v>
      </c>
      <c r="F112" s="217" t="s">
        <v>2599</v>
      </c>
      <c r="G112" s="195" t="s">
        <v>2602</v>
      </c>
      <c r="H112" s="195" t="s">
        <v>2603</v>
      </c>
      <c r="I112" s="196" t="s">
        <v>2468</v>
      </c>
      <c r="J112" s="197" t="s">
        <v>2604</v>
      </c>
      <c r="K112" s="220"/>
      <c r="L112" s="220"/>
      <c r="M112" s="220"/>
      <c r="N112" s="220"/>
      <c r="O112" s="220"/>
      <c r="P112" s="220"/>
      <c r="Q112" s="224"/>
      <c r="R112" s="224"/>
      <c r="S112" s="224"/>
      <c r="T112" s="165"/>
      <c r="U112" s="165"/>
      <c r="V112" s="165"/>
      <c r="W112" s="165"/>
    </row>
    <row r="113" spans="1:23" ht="11.25" customHeight="1" x14ac:dyDescent="0.25">
      <c r="A113" s="223">
        <v>18</v>
      </c>
      <c r="B113" s="217" t="s">
        <v>2605</v>
      </c>
      <c r="C113" s="192" t="s">
        <v>2402</v>
      </c>
      <c r="D113" s="193">
        <v>43833</v>
      </c>
      <c r="E113" s="194">
        <v>43835</v>
      </c>
      <c r="F113" s="217" t="s">
        <v>2605</v>
      </c>
      <c r="G113" s="195" t="s">
        <v>2602</v>
      </c>
      <c r="H113" s="195" t="s">
        <v>2603</v>
      </c>
      <c r="I113" s="196" t="s">
        <v>2468</v>
      </c>
      <c r="J113" s="197" t="s">
        <v>2604</v>
      </c>
      <c r="K113" s="220"/>
      <c r="L113" s="220"/>
      <c r="M113" s="220"/>
      <c r="N113" s="220"/>
      <c r="O113" s="220"/>
      <c r="P113" s="220"/>
      <c r="Q113" s="224"/>
      <c r="R113" s="224"/>
      <c r="S113" s="224"/>
      <c r="T113" s="165"/>
      <c r="U113" s="165"/>
      <c r="V113" s="165"/>
      <c r="W113" s="165"/>
    </row>
    <row r="114" spans="1:23" ht="11.25" customHeight="1" x14ac:dyDescent="0.25">
      <c r="A114" s="223">
        <v>19</v>
      </c>
      <c r="B114" s="217" t="s">
        <v>2606</v>
      </c>
      <c r="C114" s="242" t="s">
        <v>2402</v>
      </c>
      <c r="D114" s="193" t="s">
        <v>2607</v>
      </c>
      <c r="E114" s="243" t="s">
        <v>2588</v>
      </c>
      <c r="F114" s="191" t="s">
        <v>2608</v>
      </c>
      <c r="G114" s="195" t="s">
        <v>2602</v>
      </c>
      <c r="H114" s="195" t="s">
        <v>2603</v>
      </c>
      <c r="I114" s="196" t="s">
        <v>2468</v>
      </c>
      <c r="J114" s="197" t="s">
        <v>2604</v>
      </c>
      <c r="K114" s="220"/>
      <c r="L114" s="244"/>
      <c r="M114" s="220"/>
      <c r="N114" s="220"/>
      <c r="O114" s="220"/>
      <c r="P114" s="220"/>
      <c r="Q114" s="232" t="s">
        <v>2609</v>
      </c>
      <c r="R114" s="232" t="s">
        <v>2610</v>
      </c>
      <c r="S114" s="232" t="s">
        <v>2611</v>
      </c>
      <c r="T114" s="165"/>
      <c r="U114" s="165"/>
      <c r="V114" s="165"/>
      <c r="W114" s="165"/>
    </row>
    <row r="115" spans="1:23" ht="11.25" customHeight="1" x14ac:dyDescent="0.25">
      <c r="A115" s="223">
        <v>20</v>
      </c>
      <c r="B115" s="217" t="s">
        <v>2612</v>
      </c>
      <c r="C115" s="192" t="s">
        <v>2402</v>
      </c>
      <c r="D115" s="193" t="s">
        <v>2613</v>
      </c>
      <c r="E115" s="194" t="s">
        <v>2583</v>
      </c>
      <c r="F115" s="217" t="s">
        <v>2612</v>
      </c>
      <c r="G115" s="195" t="s">
        <v>2602</v>
      </c>
      <c r="H115" s="195" t="s">
        <v>2603</v>
      </c>
      <c r="I115" s="196" t="s">
        <v>2468</v>
      </c>
      <c r="J115" s="197" t="s">
        <v>2604</v>
      </c>
      <c r="K115" s="220"/>
      <c r="L115" s="220"/>
      <c r="M115" s="220"/>
      <c r="N115" s="220"/>
      <c r="O115" s="220"/>
      <c r="P115" s="220"/>
      <c r="Q115" s="245"/>
      <c r="R115" s="245"/>
      <c r="S115" s="224"/>
      <c r="T115" s="165"/>
      <c r="U115" s="165"/>
      <c r="V115" s="165"/>
      <c r="W115" s="165"/>
    </row>
    <row r="116" spans="1:23" ht="11.25" customHeight="1" x14ac:dyDescent="0.25">
      <c r="A116" s="223">
        <v>21</v>
      </c>
      <c r="B116" s="217" t="s">
        <v>2614</v>
      </c>
      <c r="C116" s="192" t="s">
        <v>2402</v>
      </c>
      <c r="D116" s="193">
        <v>43959</v>
      </c>
      <c r="E116" s="194">
        <v>43961</v>
      </c>
      <c r="F116" s="217" t="s">
        <v>2614</v>
      </c>
      <c r="G116" s="195" t="s">
        <v>2602</v>
      </c>
      <c r="H116" s="195" t="s">
        <v>2603</v>
      </c>
      <c r="I116" s="196" t="s">
        <v>2468</v>
      </c>
      <c r="J116" s="197" t="s">
        <v>2604</v>
      </c>
      <c r="K116" s="220"/>
      <c r="L116" s="220"/>
      <c r="M116" s="220"/>
      <c r="N116" s="220"/>
      <c r="O116" s="220"/>
      <c r="P116" s="220"/>
      <c r="Q116" s="224"/>
      <c r="R116" s="224"/>
      <c r="S116" s="224"/>
      <c r="T116" s="165"/>
      <c r="U116" s="165"/>
      <c r="V116" s="165"/>
      <c r="W116" s="165"/>
    </row>
    <row r="117" spans="1:23" ht="11.25" customHeight="1" x14ac:dyDescent="0.25">
      <c r="A117" s="223">
        <v>22</v>
      </c>
      <c r="B117" s="217" t="s">
        <v>2615</v>
      </c>
      <c r="C117" s="192" t="s">
        <v>2402</v>
      </c>
      <c r="D117" s="193">
        <v>43959</v>
      </c>
      <c r="E117" s="194">
        <v>43961</v>
      </c>
      <c r="F117" s="217" t="s">
        <v>2615</v>
      </c>
      <c r="G117" s="195" t="s">
        <v>2602</v>
      </c>
      <c r="H117" s="195" t="s">
        <v>2603</v>
      </c>
      <c r="I117" s="196" t="s">
        <v>2468</v>
      </c>
      <c r="J117" s="197" t="s">
        <v>2604</v>
      </c>
      <c r="K117" s="220"/>
      <c r="L117" s="220"/>
      <c r="M117" s="220"/>
      <c r="N117" s="220"/>
      <c r="O117" s="220"/>
      <c r="P117" s="220"/>
      <c r="Q117" s="224"/>
      <c r="R117" s="224"/>
      <c r="S117" s="224"/>
      <c r="T117" s="165"/>
      <c r="U117" s="165"/>
      <c r="V117" s="165"/>
      <c r="W117" s="165"/>
    </row>
    <row r="118" spans="1:23" ht="11.25" customHeight="1" x14ac:dyDescent="0.25">
      <c r="A118" s="223">
        <v>23</v>
      </c>
      <c r="B118" s="228" t="s">
        <v>2616</v>
      </c>
      <c r="C118" s="192" t="s">
        <v>2402</v>
      </c>
      <c r="D118" s="193" t="s">
        <v>2617</v>
      </c>
      <c r="E118" s="194" t="s">
        <v>2618</v>
      </c>
      <c r="F118" s="228" t="s">
        <v>2616</v>
      </c>
      <c r="G118" s="195" t="s">
        <v>2602</v>
      </c>
      <c r="H118" s="195" t="s">
        <v>2603</v>
      </c>
      <c r="I118" s="196" t="s">
        <v>2468</v>
      </c>
      <c r="J118" s="197" t="s">
        <v>2604</v>
      </c>
      <c r="K118" s="220"/>
      <c r="L118" s="220"/>
      <c r="M118" s="220"/>
      <c r="N118" s="220"/>
      <c r="O118" s="220"/>
      <c r="P118" s="220"/>
      <c r="Q118" s="224"/>
      <c r="R118" s="224"/>
      <c r="S118" s="224"/>
      <c r="T118" s="165"/>
      <c r="U118" s="165"/>
      <c r="V118" s="165"/>
      <c r="W118" s="165"/>
    </row>
    <row r="119" spans="1:23" ht="11.25" customHeight="1" x14ac:dyDescent="0.25">
      <c r="A119" s="223">
        <v>24</v>
      </c>
      <c r="B119" s="228" t="s">
        <v>2619</v>
      </c>
      <c r="C119" s="192" t="s">
        <v>2402</v>
      </c>
      <c r="D119" s="193" t="s">
        <v>2582</v>
      </c>
      <c r="E119" s="194" t="s">
        <v>2600</v>
      </c>
      <c r="F119" s="228" t="s">
        <v>2620</v>
      </c>
      <c r="G119" s="195" t="s">
        <v>2602</v>
      </c>
      <c r="H119" s="195" t="s">
        <v>2603</v>
      </c>
      <c r="I119" s="196" t="s">
        <v>2468</v>
      </c>
      <c r="J119" s="197" t="s">
        <v>2604</v>
      </c>
      <c r="K119" s="220"/>
      <c r="L119" s="220"/>
      <c r="M119" s="220"/>
      <c r="N119" s="220"/>
      <c r="O119" s="220"/>
      <c r="P119" s="220"/>
      <c r="Q119" s="224"/>
      <c r="R119" s="224"/>
      <c r="S119" s="224"/>
      <c r="T119" s="165"/>
      <c r="U119" s="165"/>
      <c r="V119" s="165"/>
      <c r="W119" s="165"/>
    </row>
    <row r="120" spans="1:23" ht="11.25" customHeight="1" x14ac:dyDescent="0.25">
      <c r="A120" s="223">
        <v>25</v>
      </c>
      <c r="B120" s="228" t="s">
        <v>2621</v>
      </c>
      <c r="C120" s="192" t="s">
        <v>2402</v>
      </c>
      <c r="D120" s="193">
        <v>43835</v>
      </c>
      <c r="E120" s="194">
        <v>43837</v>
      </c>
      <c r="F120" s="228" t="s">
        <v>2621</v>
      </c>
      <c r="G120" s="195" t="s">
        <v>2602</v>
      </c>
      <c r="H120" s="195" t="s">
        <v>2603</v>
      </c>
      <c r="I120" s="196" t="s">
        <v>2468</v>
      </c>
      <c r="J120" s="197" t="s">
        <v>2604</v>
      </c>
      <c r="K120" s="220"/>
      <c r="L120" s="220"/>
      <c r="M120" s="220"/>
      <c r="N120" s="220"/>
      <c r="O120" s="220"/>
      <c r="P120" s="220"/>
      <c r="Q120" s="224"/>
      <c r="R120" s="224"/>
      <c r="S120" s="224"/>
      <c r="T120" s="165"/>
      <c r="U120" s="165"/>
      <c r="V120" s="165"/>
      <c r="W120" s="165"/>
    </row>
    <row r="121" spans="1:23" ht="11.25" customHeight="1" x14ac:dyDescent="0.25">
      <c r="A121" s="223">
        <v>26</v>
      </c>
      <c r="B121" s="228" t="s">
        <v>2622</v>
      </c>
      <c r="C121" s="192" t="s">
        <v>2402</v>
      </c>
      <c r="D121" s="193">
        <v>43472</v>
      </c>
      <c r="E121" s="194">
        <v>43840</v>
      </c>
      <c r="F121" s="228" t="s">
        <v>2622</v>
      </c>
      <c r="G121" s="195" t="s">
        <v>2602</v>
      </c>
      <c r="H121" s="195" t="s">
        <v>2603</v>
      </c>
      <c r="I121" s="196" t="s">
        <v>2468</v>
      </c>
      <c r="J121" s="197" t="s">
        <v>2604</v>
      </c>
      <c r="K121" s="220"/>
      <c r="L121" s="220"/>
      <c r="M121" s="220"/>
      <c r="N121" s="220"/>
      <c r="O121" s="220"/>
      <c r="P121" s="220"/>
      <c r="Q121" s="224"/>
      <c r="R121" s="224"/>
      <c r="S121" s="224"/>
      <c r="T121" s="165"/>
      <c r="U121" s="165"/>
      <c r="V121" s="165"/>
      <c r="W121" s="165"/>
    </row>
    <row r="122" spans="1:23" ht="11.25" customHeight="1" x14ac:dyDescent="0.25">
      <c r="A122" s="223">
        <v>27</v>
      </c>
      <c r="B122" s="228" t="s">
        <v>2623</v>
      </c>
      <c r="C122" s="192" t="s">
        <v>2402</v>
      </c>
      <c r="D122" s="193" t="s">
        <v>2624</v>
      </c>
      <c r="E122" s="194" t="s">
        <v>2625</v>
      </c>
      <c r="F122" s="228" t="s">
        <v>2623</v>
      </c>
      <c r="G122" s="195" t="s">
        <v>2602</v>
      </c>
      <c r="H122" s="195" t="s">
        <v>2603</v>
      </c>
      <c r="I122" s="196" t="s">
        <v>2468</v>
      </c>
      <c r="J122" s="197" t="s">
        <v>2604</v>
      </c>
      <c r="K122" s="220"/>
      <c r="L122" s="220"/>
      <c r="M122" s="220"/>
      <c r="N122" s="220"/>
      <c r="O122" s="220"/>
      <c r="P122" s="220"/>
      <c r="Q122" s="224"/>
      <c r="R122" s="224"/>
      <c r="S122" s="224"/>
      <c r="T122" s="165"/>
      <c r="U122" s="165"/>
      <c r="V122" s="165"/>
      <c r="W122" s="165"/>
    </row>
    <row r="123" spans="1:23" ht="11.25" customHeight="1" x14ac:dyDescent="0.25">
      <c r="A123" s="223">
        <v>28</v>
      </c>
      <c r="B123" s="228" t="s">
        <v>2626</v>
      </c>
      <c r="C123" s="192" t="s">
        <v>2402</v>
      </c>
      <c r="D123" s="193">
        <v>43831</v>
      </c>
      <c r="E123" s="194">
        <v>43840</v>
      </c>
      <c r="F123" s="228" t="s">
        <v>2626</v>
      </c>
      <c r="G123" s="195" t="s">
        <v>2602</v>
      </c>
      <c r="H123" s="195" t="s">
        <v>2603</v>
      </c>
      <c r="I123" s="196" t="s">
        <v>2468</v>
      </c>
      <c r="J123" s="197" t="s">
        <v>2604</v>
      </c>
      <c r="K123" s="220"/>
      <c r="L123" s="220"/>
      <c r="M123" s="220"/>
      <c r="N123" s="220"/>
      <c r="O123" s="220"/>
      <c r="P123" s="220"/>
      <c r="Q123" s="224"/>
      <c r="R123" s="224"/>
      <c r="S123" s="224"/>
      <c r="T123" s="165"/>
      <c r="U123" s="165"/>
      <c r="V123" s="165"/>
      <c r="W123" s="165"/>
    </row>
    <row r="124" spans="1:23" ht="11.25" customHeight="1" x14ac:dyDescent="0.25">
      <c r="A124" s="223">
        <v>29</v>
      </c>
      <c r="B124" s="228" t="s">
        <v>2627</v>
      </c>
      <c r="C124" s="192" t="s">
        <v>2402</v>
      </c>
      <c r="D124" s="193">
        <v>43834</v>
      </c>
      <c r="E124" s="194">
        <v>43840</v>
      </c>
      <c r="F124" s="228" t="s">
        <v>2627</v>
      </c>
      <c r="G124" s="195" t="s">
        <v>2628</v>
      </c>
      <c r="H124" s="195" t="s">
        <v>2629</v>
      </c>
      <c r="I124" s="196" t="s">
        <v>2519</v>
      </c>
      <c r="J124" s="197" t="s">
        <v>2630</v>
      </c>
      <c r="K124" s="220"/>
      <c r="L124" s="220"/>
      <c r="M124" s="220"/>
      <c r="N124" s="220"/>
      <c r="O124" s="220"/>
      <c r="P124" s="220"/>
      <c r="Q124" s="224"/>
      <c r="R124" s="224"/>
      <c r="S124" s="224"/>
      <c r="T124" s="165"/>
      <c r="U124" s="165"/>
      <c r="V124" s="165"/>
      <c r="W124" s="165"/>
    </row>
    <row r="125" spans="1:23" ht="11.25" customHeight="1" x14ac:dyDescent="0.25">
      <c r="A125" s="223">
        <v>30</v>
      </c>
      <c r="B125" s="228" t="s">
        <v>2631</v>
      </c>
      <c r="C125" s="192" t="s">
        <v>2402</v>
      </c>
      <c r="D125" s="193">
        <v>44106</v>
      </c>
      <c r="E125" s="194">
        <v>44111</v>
      </c>
      <c r="F125" s="228" t="s">
        <v>2631</v>
      </c>
      <c r="G125" s="195" t="s">
        <v>2632</v>
      </c>
      <c r="H125" s="195" t="s">
        <v>2428</v>
      </c>
      <c r="I125" s="196" t="s">
        <v>2421</v>
      </c>
      <c r="J125" s="197" t="s">
        <v>2633</v>
      </c>
      <c r="K125" s="220"/>
      <c r="L125" s="220"/>
      <c r="M125" s="220"/>
      <c r="N125" s="220"/>
      <c r="O125" s="220"/>
      <c r="P125" s="220"/>
      <c r="Q125" s="224"/>
      <c r="R125" s="224"/>
      <c r="S125" s="224"/>
      <c r="T125" s="165"/>
      <c r="U125" s="165"/>
      <c r="V125" s="165"/>
      <c r="W125" s="165"/>
    </row>
    <row r="126" spans="1:23" ht="11.25" customHeight="1" x14ac:dyDescent="0.25">
      <c r="A126" s="223">
        <v>31</v>
      </c>
      <c r="B126" s="228" t="s">
        <v>2634</v>
      </c>
      <c r="C126" s="192" t="s">
        <v>2402</v>
      </c>
      <c r="D126" s="193">
        <v>43838</v>
      </c>
      <c r="E126" s="194">
        <v>43840</v>
      </c>
      <c r="F126" s="228" t="s">
        <v>2634</v>
      </c>
      <c r="G126" s="195" t="s">
        <v>2635</v>
      </c>
      <c r="H126" s="195" t="s">
        <v>2428</v>
      </c>
      <c r="I126" s="196" t="s">
        <v>2421</v>
      </c>
      <c r="J126" s="197" t="s">
        <v>2636</v>
      </c>
      <c r="K126" s="220"/>
      <c r="L126" s="220"/>
      <c r="M126" s="220"/>
      <c r="N126" s="220"/>
      <c r="O126" s="220"/>
      <c r="P126" s="220"/>
      <c r="Q126" s="224"/>
      <c r="R126" s="224"/>
      <c r="S126" s="224"/>
      <c r="T126" s="165"/>
      <c r="U126" s="165"/>
      <c r="V126" s="165"/>
      <c r="W126" s="165"/>
    </row>
    <row r="127" spans="1:23" ht="11.25" customHeight="1" x14ac:dyDescent="0.25">
      <c r="A127" s="223">
        <v>32</v>
      </c>
      <c r="B127" s="228" t="s">
        <v>2637</v>
      </c>
      <c r="C127" s="192" t="s">
        <v>2402</v>
      </c>
      <c r="D127" s="193" t="s">
        <v>2582</v>
      </c>
      <c r="E127" s="194" t="s">
        <v>2583</v>
      </c>
      <c r="F127" s="228" t="s">
        <v>2637</v>
      </c>
      <c r="G127" s="195" t="s">
        <v>2638</v>
      </c>
      <c r="H127" s="195" t="s">
        <v>2639</v>
      </c>
      <c r="I127" s="196" t="s">
        <v>2421</v>
      </c>
      <c r="J127" s="197" t="s">
        <v>2640</v>
      </c>
      <c r="K127" s="220"/>
      <c r="L127" s="220"/>
      <c r="M127" s="220"/>
      <c r="N127" s="220"/>
      <c r="O127" s="220"/>
      <c r="P127" s="220"/>
      <c r="Q127" s="224"/>
      <c r="R127" s="224"/>
      <c r="S127" s="224"/>
      <c r="T127" s="165"/>
      <c r="U127" s="165"/>
      <c r="V127" s="165"/>
      <c r="W127" s="165"/>
    </row>
    <row r="128" spans="1:23" ht="11.25" customHeight="1" x14ac:dyDescent="0.25">
      <c r="A128" s="223">
        <v>33</v>
      </c>
      <c r="B128" s="228" t="s">
        <v>2641</v>
      </c>
      <c r="C128" s="192" t="s">
        <v>2402</v>
      </c>
      <c r="D128" s="193" t="s">
        <v>2582</v>
      </c>
      <c r="E128" s="194" t="s">
        <v>2583</v>
      </c>
      <c r="F128" s="228" t="s">
        <v>2641</v>
      </c>
      <c r="G128" s="195" t="s">
        <v>2638</v>
      </c>
      <c r="H128" s="195" t="s">
        <v>2639</v>
      </c>
      <c r="I128" s="196" t="s">
        <v>2421</v>
      </c>
      <c r="J128" s="197" t="s">
        <v>2640</v>
      </c>
      <c r="K128" s="220"/>
      <c r="L128" s="220"/>
      <c r="M128" s="220"/>
      <c r="N128" s="220"/>
      <c r="O128" s="220"/>
      <c r="P128" s="220"/>
      <c r="Q128" s="224"/>
      <c r="R128" s="224"/>
      <c r="S128" s="224"/>
      <c r="T128" s="165"/>
      <c r="U128" s="165"/>
      <c r="V128" s="165"/>
      <c r="W128" s="165"/>
    </row>
    <row r="129" spans="1:23" ht="11.25" customHeight="1" x14ac:dyDescent="0.25">
      <c r="A129" s="223">
        <v>34</v>
      </c>
      <c r="B129" s="228" t="s">
        <v>2642</v>
      </c>
      <c r="C129" s="192" t="s">
        <v>2402</v>
      </c>
      <c r="D129" s="193">
        <v>43833</v>
      </c>
      <c r="E129" s="194">
        <v>43836</v>
      </c>
      <c r="F129" s="228" t="s">
        <v>2642</v>
      </c>
      <c r="G129" s="195" t="s">
        <v>2643</v>
      </c>
      <c r="H129" s="195" t="s">
        <v>2428</v>
      </c>
      <c r="I129" s="196" t="s">
        <v>2421</v>
      </c>
      <c r="J129" s="197" t="s">
        <v>2644</v>
      </c>
      <c r="K129" s="220"/>
      <c r="L129" s="220"/>
      <c r="M129" s="220"/>
      <c r="N129" s="220"/>
      <c r="O129" s="220"/>
      <c r="P129" s="220"/>
      <c r="Q129" s="224"/>
      <c r="R129" s="224"/>
      <c r="S129" s="224"/>
      <c r="T129" s="165"/>
      <c r="U129" s="165"/>
      <c r="V129" s="165"/>
      <c r="W129" s="165"/>
    </row>
    <row r="130" spans="1:23" ht="11.25" customHeight="1" x14ac:dyDescent="0.25">
      <c r="A130" s="223">
        <v>35</v>
      </c>
      <c r="B130" s="228" t="s">
        <v>2645</v>
      </c>
      <c r="C130" s="192" t="s">
        <v>2402</v>
      </c>
      <c r="D130" s="193">
        <v>43837</v>
      </c>
      <c r="E130" s="194">
        <v>43840</v>
      </c>
      <c r="F130" s="228" t="s">
        <v>2645</v>
      </c>
      <c r="G130" s="195" t="s">
        <v>2646</v>
      </c>
      <c r="H130" s="195" t="s">
        <v>2428</v>
      </c>
      <c r="I130" s="196" t="s">
        <v>2421</v>
      </c>
      <c r="J130" s="197" t="s">
        <v>2647</v>
      </c>
      <c r="K130" s="220"/>
      <c r="L130" s="220"/>
      <c r="M130" s="220"/>
      <c r="N130" s="220"/>
      <c r="O130" s="220"/>
      <c r="P130" s="220"/>
      <c r="Q130" s="224"/>
      <c r="R130" s="224"/>
      <c r="S130" s="224"/>
      <c r="T130" s="165"/>
      <c r="U130" s="165"/>
      <c r="V130" s="165"/>
      <c r="W130" s="165"/>
    </row>
    <row r="131" spans="1:23" ht="11.25" customHeight="1" x14ac:dyDescent="0.25">
      <c r="A131" s="223">
        <v>36</v>
      </c>
      <c r="B131" s="228" t="s">
        <v>2648</v>
      </c>
      <c r="C131" s="192" t="s">
        <v>2402</v>
      </c>
      <c r="D131" s="193">
        <v>44113</v>
      </c>
      <c r="E131" s="194">
        <v>44115</v>
      </c>
      <c r="F131" s="228" t="s">
        <v>2648</v>
      </c>
      <c r="G131" s="195" t="s">
        <v>2649</v>
      </c>
      <c r="H131" s="195" t="s">
        <v>2428</v>
      </c>
      <c r="I131" s="196" t="s">
        <v>2421</v>
      </c>
      <c r="J131" s="197" t="s">
        <v>2650</v>
      </c>
      <c r="K131" s="220"/>
      <c r="L131" s="220"/>
      <c r="M131" s="220"/>
      <c r="N131" s="220"/>
      <c r="O131" s="220"/>
      <c r="P131" s="220"/>
      <c r="Q131" s="224"/>
      <c r="R131" s="224"/>
      <c r="S131" s="224"/>
      <c r="T131" s="165"/>
      <c r="U131" s="165"/>
      <c r="V131" s="165"/>
      <c r="W131" s="165"/>
    </row>
    <row r="132" spans="1:23" ht="11.25" customHeight="1" x14ac:dyDescent="0.25">
      <c r="A132" s="223">
        <v>37</v>
      </c>
      <c r="B132" s="228" t="s">
        <v>2651</v>
      </c>
      <c r="C132" s="192" t="s">
        <v>2402</v>
      </c>
      <c r="D132" s="193">
        <v>44113</v>
      </c>
      <c r="E132" s="194">
        <v>44115</v>
      </c>
      <c r="F132" s="228" t="s">
        <v>2651</v>
      </c>
      <c r="G132" s="195" t="s">
        <v>2649</v>
      </c>
      <c r="H132" s="195" t="s">
        <v>2428</v>
      </c>
      <c r="I132" s="196" t="s">
        <v>2421</v>
      </c>
      <c r="J132" s="197" t="s">
        <v>2650</v>
      </c>
      <c r="K132" s="220"/>
      <c r="L132" s="220"/>
      <c r="M132" s="220"/>
      <c r="N132" s="220"/>
      <c r="O132" s="220"/>
      <c r="P132" s="220"/>
      <c r="Q132" s="224"/>
      <c r="R132" s="224"/>
      <c r="S132" s="224"/>
      <c r="T132" s="165"/>
      <c r="U132" s="165"/>
      <c r="V132" s="165"/>
      <c r="W132" s="165"/>
    </row>
    <row r="133" spans="1:23" ht="11.25" customHeight="1" x14ac:dyDescent="0.25">
      <c r="A133" s="223">
        <v>38</v>
      </c>
      <c r="B133" s="228" t="s">
        <v>2652</v>
      </c>
      <c r="C133" s="192" t="s">
        <v>2402</v>
      </c>
      <c r="D133" s="193">
        <v>43834</v>
      </c>
      <c r="E133" s="194">
        <v>43839</v>
      </c>
      <c r="F133" s="228" t="s">
        <v>2652</v>
      </c>
      <c r="G133" s="195" t="s">
        <v>2649</v>
      </c>
      <c r="H133" s="195" t="s">
        <v>2428</v>
      </c>
      <c r="I133" s="196" t="s">
        <v>2421</v>
      </c>
      <c r="J133" s="197" t="s">
        <v>2650</v>
      </c>
      <c r="K133" s="220"/>
      <c r="L133" s="220"/>
      <c r="M133" s="220"/>
      <c r="N133" s="220"/>
      <c r="O133" s="220"/>
      <c r="P133" s="220"/>
      <c r="Q133" s="224"/>
      <c r="R133" s="224"/>
      <c r="S133" s="224"/>
      <c r="T133" s="165"/>
      <c r="U133" s="165"/>
      <c r="V133" s="165"/>
      <c r="W133" s="165"/>
    </row>
    <row r="134" spans="1:23" ht="11.25" customHeight="1" x14ac:dyDescent="0.25">
      <c r="A134" s="223">
        <v>39</v>
      </c>
      <c r="B134" s="228" t="s">
        <v>2653</v>
      </c>
      <c r="C134" s="192" t="s">
        <v>2402</v>
      </c>
      <c r="D134" s="193">
        <v>43834</v>
      </c>
      <c r="E134" s="194">
        <v>43839</v>
      </c>
      <c r="F134" s="228" t="s">
        <v>2653</v>
      </c>
      <c r="G134" s="195" t="s">
        <v>2649</v>
      </c>
      <c r="H134" s="195" t="s">
        <v>2428</v>
      </c>
      <c r="I134" s="196" t="s">
        <v>2421</v>
      </c>
      <c r="J134" s="197" t="s">
        <v>2650</v>
      </c>
      <c r="K134" s="220"/>
      <c r="L134" s="220"/>
      <c r="M134" s="220"/>
      <c r="N134" s="220"/>
      <c r="O134" s="220"/>
      <c r="P134" s="220"/>
      <c r="Q134" s="224"/>
      <c r="R134" s="224"/>
      <c r="S134" s="224"/>
      <c r="T134" s="165"/>
      <c r="U134" s="165"/>
      <c r="V134" s="165"/>
      <c r="W134" s="165"/>
    </row>
    <row r="135" spans="1:23" ht="11.25" customHeight="1" x14ac:dyDescent="0.25">
      <c r="A135" s="223">
        <v>40</v>
      </c>
      <c r="B135" s="228" t="s">
        <v>2654</v>
      </c>
      <c r="C135" s="192" t="s">
        <v>2402</v>
      </c>
      <c r="D135" s="193" t="s">
        <v>2582</v>
      </c>
      <c r="E135" s="194" t="s">
        <v>2600</v>
      </c>
      <c r="F135" s="228" t="s">
        <v>2654</v>
      </c>
      <c r="G135" s="195" t="s">
        <v>2649</v>
      </c>
      <c r="H135" s="195" t="s">
        <v>2428</v>
      </c>
      <c r="I135" s="196" t="s">
        <v>2421</v>
      </c>
      <c r="J135" s="197" t="s">
        <v>2650</v>
      </c>
      <c r="K135" s="220"/>
      <c r="L135" s="220"/>
      <c r="M135" s="220"/>
      <c r="N135" s="220"/>
      <c r="O135" s="220"/>
      <c r="P135" s="220"/>
      <c r="Q135" s="224"/>
      <c r="R135" s="224"/>
      <c r="S135" s="224"/>
      <c r="T135" s="165"/>
      <c r="U135" s="165"/>
      <c r="V135" s="165"/>
      <c r="W135" s="165"/>
    </row>
    <row r="136" spans="1:23" ht="11.25" customHeight="1" x14ac:dyDescent="0.25">
      <c r="A136" s="223">
        <v>41</v>
      </c>
      <c r="B136" s="228" t="s">
        <v>2655</v>
      </c>
      <c r="C136" s="192" t="s">
        <v>2402</v>
      </c>
      <c r="D136" s="193">
        <v>43983</v>
      </c>
      <c r="E136" s="194">
        <v>43987</v>
      </c>
      <c r="F136" s="228" t="s">
        <v>2655</v>
      </c>
      <c r="G136" s="195" t="s">
        <v>2656</v>
      </c>
      <c r="H136" s="195" t="s">
        <v>2428</v>
      </c>
      <c r="I136" s="196" t="s">
        <v>2468</v>
      </c>
      <c r="J136" s="197" t="s">
        <v>2657</v>
      </c>
      <c r="K136" s="220"/>
      <c r="L136" s="220"/>
      <c r="M136" s="220"/>
      <c r="N136" s="220"/>
      <c r="O136" s="220"/>
      <c r="P136" s="220"/>
      <c r="Q136" s="224"/>
      <c r="R136" s="224"/>
      <c r="S136" s="224"/>
      <c r="T136" s="165"/>
      <c r="U136" s="165"/>
      <c r="V136" s="165"/>
      <c r="W136" s="165"/>
    </row>
    <row r="137" spans="1:23" ht="11.25" customHeight="1" x14ac:dyDescent="0.25">
      <c r="A137" s="223">
        <v>42</v>
      </c>
      <c r="B137" s="228" t="s">
        <v>2658</v>
      </c>
      <c r="C137" s="192" t="s">
        <v>2402</v>
      </c>
      <c r="D137" s="193">
        <v>43838</v>
      </c>
      <c r="E137" s="194">
        <v>43840</v>
      </c>
      <c r="F137" s="228" t="s">
        <v>2658</v>
      </c>
      <c r="G137" s="195" t="s">
        <v>2659</v>
      </c>
      <c r="H137" s="195" t="s">
        <v>2660</v>
      </c>
      <c r="I137" s="196" t="s">
        <v>2468</v>
      </c>
      <c r="J137" s="197" t="s">
        <v>2661</v>
      </c>
      <c r="K137" s="220"/>
      <c r="L137" s="220"/>
      <c r="M137" s="220"/>
      <c r="N137" s="220"/>
      <c r="O137" s="220"/>
      <c r="P137" s="220"/>
      <c r="Q137" s="224"/>
      <c r="R137" s="224"/>
      <c r="S137" s="224"/>
      <c r="T137" s="165"/>
      <c r="U137" s="165"/>
      <c r="V137" s="165"/>
      <c r="W137" s="165"/>
    </row>
    <row r="138" spans="1:23" ht="11.25" customHeight="1" x14ac:dyDescent="0.25">
      <c r="A138" s="223">
        <v>43</v>
      </c>
      <c r="B138" s="228" t="s">
        <v>2662</v>
      </c>
      <c r="C138" s="242" t="s">
        <v>2402</v>
      </c>
      <c r="D138" s="193">
        <v>43831</v>
      </c>
      <c r="E138" s="194">
        <v>43842</v>
      </c>
      <c r="F138" s="191" t="s">
        <v>2663</v>
      </c>
      <c r="G138" s="195" t="s">
        <v>2659</v>
      </c>
      <c r="H138" s="195" t="s">
        <v>2660</v>
      </c>
      <c r="I138" s="196" t="s">
        <v>2468</v>
      </c>
      <c r="J138" s="197" t="s">
        <v>2661</v>
      </c>
      <c r="K138" s="220"/>
      <c r="L138" s="220"/>
      <c r="M138" s="220"/>
      <c r="N138" s="220"/>
      <c r="O138" s="220"/>
      <c r="P138" s="220"/>
      <c r="Q138" s="231" t="s">
        <v>2664</v>
      </c>
      <c r="R138" s="232" t="s">
        <v>2665</v>
      </c>
      <c r="S138" s="232" t="s">
        <v>2666</v>
      </c>
      <c r="T138" s="165"/>
      <c r="U138" s="165"/>
      <c r="V138" s="165"/>
      <c r="W138" s="165"/>
    </row>
    <row r="139" spans="1:23" ht="11.25" customHeight="1" x14ac:dyDescent="0.25">
      <c r="A139" s="223">
        <v>44</v>
      </c>
      <c r="B139" s="228" t="s">
        <v>2667</v>
      </c>
      <c r="C139" s="192" t="s">
        <v>2402</v>
      </c>
      <c r="D139" s="193">
        <v>43833</v>
      </c>
      <c r="E139" s="194">
        <v>43842</v>
      </c>
      <c r="F139" s="228" t="s">
        <v>2667</v>
      </c>
      <c r="G139" s="195" t="s">
        <v>2659</v>
      </c>
      <c r="H139" s="195" t="s">
        <v>2660</v>
      </c>
      <c r="I139" s="196" t="s">
        <v>2468</v>
      </c>
      <c r="J139" s="197" t="s">
        <v>2661</v>
      </c>
      <c r="K139" s="220"/>
      <c r="L139" s="220"/>
      <c r="M139" s="220"/>
      <c r="N139" s="220"/>
      <c r="O139" s="220"/>
      <c r="P139" s="220"/>
      <c r="Q139" s="224"/>
      <c r="R139" s="224"/>
      <c r="S139" s="224"/>
      <c r="T139" s="165"/>
      <c r="U139" s="165"/>
      <c r="V139" s="165"/>
      <c r="W139" s="165"/>
    </row>
    <row r="140" spans="1:23" ht="11.25" customHeight="1" x14ac:dyDescent="0.25">
      <c r="A140" s="223">
        <v>45</v>
      </c>
      <c r="B140" s="228" t="s">
        <v>2668</v>
      </c>
      <c r="C140" s="192" t="s">
        <v>2402</v>
      </c>
      <c r="D140" s="193">
        <v>43836</v>
      </c>
      <c r="E140" s="194">
        <v>43841</v>
      </c>
      <c r="F140" s="228" t="s">
        <v>2668</v>
      </c>
      <c r="G140" s="195" t="s">
        <v>2659</v>
      </c>
      <c r="H140" s="195" t="s">
        <v>2660</v>
      </c>
      <c r="I140" s="196" t="s">
        <v>2468</v>
      </c>
      <c r="J140" s="197" t="s">
        <v>2661</v>
      </c>
      <c r="K140" s="220"/>
      <c r="L140" s="220"/>
      <c r="M140" s="220"/>
      <c r="N140" s="220"/>
      <c r="O140" s="220"/>
      <c r="P140" s="220"/>
      <c r="Q140" s="224"/>
      <c r="R140" s="224"/>
      <c r="S140" s="224"/>
      <c r="T140" s="165"/>
      <c r="U140" s="165"/>
      <c r="V140" s="165"/>
      <c r="W140" s="165"/>
    </row>
    <row r="141" spans="1:23" ht="11.25" customHeight="1" x14ac:dyDescent="0.25">
      <c r="A141" s="223">
        <v>46</v>
      </c>
      <c r="B141" s="228" t="s">
        <v>2669</v>
      </c>
      <c r="C141" s="192" t="s">
        <v>2402</v>
      </c>
      <c r="D141" s="193">
        <v>43961</v>
      </c>
      <c r="E141" s="194">
        <v>43962</v>
      </c>
      <c r="F141" s="228" t="s">
        <v>2669</v>
      </c>
      <c r="G141" s="195" t="s">
        <v>2659</v>
      </c>
      <c r="H141" s="195" t="s">
        <v>2660</v>
      </c>
      <c r="I141" s="196" t="s">
        <v>2468</v>
      </c>
      <c r="J141" s="197" t="s">
        <v>2661</v>
      </c>
      <c r="K141" s="220"/>
      <c r="L141" s="220"/>
      <c r="M141" s="220"/>
      <c r="N141" s="220"/>
      <c r="O141" s="220"/>
      <c r="P141" s="220"/>
      <c r="Q141" s="224"/>
      <c r="R141" s="224"/>
      <c r="S141" s="224"/>
      <c r="T141" s="165"/>
      <c r="U141" s="165"/>
      <c r="V141" s="165"/>
      <c r="W141" s="165"/>
    </row>
    <row r="142" spans="1:23" ht="11.25" customHeight="1" x14ac:dyDescent="0.25">
      <c r="A142" s="223">
        <v>47</v>
      </c>
      <c r="B142" s="228" t="s">
        <v>2670</v>
      </c>
      <c r="C142" s="192" t="s">
        <v>2402</v>
      </c>
      <c r="D142" s="193">
        <v>43961</v>
      </c>
      <c r="E142" s="194">
        <v>43962</v>
      </c>
      <c r="F142" s="228" t="s">
        <v>2670</v>
      </c>
      <c r="G142" s="195" t="s">
        <v>2659</v>
      </c>
      <c r="H142" s="195" t="s">
        <v>2660</v>
      </c>
      <c r="I142" s="196" t="s">
        <v>2468</v>
      </c>
      <c r="J142" s="197" t="s">
        <v>2661</v>
      </c>
      <c r="K142" s="220"/>
      <c r="L142" s="220"/>
      <c r="M142" s="220"/>
      <c r="N142" s="220"/>
      <c r="O142" s="220"/>
      <c r="P142" s="220"/>
      <c r="Q142" s="224"/>
      <c r="R142" s="224"/>
      <c r="S142" s="224"/>
      <c r="T142" s="165"/>
      <c r="U142" s="165"/>
      <c r="V142" s="165"/>
      <c r="W142" s="165"/>
    </row>
    <row r="143" spans="1:23" ht="11.25" customHeight="1" x14ac:dyDescent="0.25">
      <c r="A143" s="223">
        <v>48</v>
      </c>
      <c r="B143" s="228" t="s">
        <v>2671</v>
      </c>
      <c r="C143" s="192" t="s">
        <v>2402</v>
      </c>
      <c r="D143" s="193">
        <v>43836</v>
      </c>
      <c r="E143" s="194">
        <v>43842</v>
      </c>
      <c r="F143" s="228" t="s">
        <v>2671</v>
      </c>
      <c r="G143" s="195" t="s">
        <v>2659</v>
      </c>
      <c r="H143" s="195" t="s">
        <v>2660</v>
      </c>
      <c r="I143" s="196" t="s">
        <v>2468</v>
      </c>
      <c r="J143" s="197" t="s">
        <v>2661</v>
      </c>
      <c r="K143" s="220"/>
      <c r="L143" s="220"/>
      <c r="M143" s="220"/>
      <c r="N143" s="220"/>
      <c r="O143" s="220"/>
      <c r="P143" s="220"/>
      <c r="Q143" s="224"/>
      <c r="R143" s="224"/>
      <c r="S143" s="224"/>
      <c r="T143" s="165"/>
      <c r="U143" s="165"/>
      <c r="V143" s="165"/>
      <c r="W143" s="165"/>
    </row>
    <row r="144" spans="1:23" ht="11.25" customHeight="1" x14ac:dyDescent="0.25">
      <c r="A144" s="223">
        <v>49</v>
      </c>
      <c r="B144" s="228" t="s">
        <v>2672</v>
      </c>
      <c r="C144" s="192" t="s">
        <v>2402</v>
      </c>
      <c r="D144" s="193" t="s">
        <v>2613</v>
      </c>
      <c r="E144" s="194" t="s">
        <v>2583</v>
      </c>
      <c r="F144" s="228" t="s">
        <v>2672</v>
      </c>
      <c r="G144" s="195" t="s">
        <v>2659</v>
      </c>
      <c r="H144" s="195" t="s">
        <v>2660</v>
      </c>
      <c r="I144" s="196" t="s">
        <v>2468</v>
      </c>
      <c r="J144" s="197" t="s">
        <v>2661</v>
      </c>
      <c r="K144" s="220"/>
      <c r="L144" s="220"/>
      <c r="M144" s="220"/>
      <c r="N144" s="220"/>
      <c r="O144" s="220"/>
      <c r="P144" s="220"/>
      <c r="Q144" s="224"/>
      <c r="R144" s="224"/>
      <c r="S144" s="224"/>
      <c r="T144" s="165"/>
      <c r="U144" s="165"/>
      <c r="V144" s="165"/>
      <c r="W144" s="165"/>
    </row>
    <row r="145" spans="1:23" ht="11.25" customHeight="1" x14ac:dyDescent="0.25">
      <c r="A145" s="223">
        <v>50</v>
      </c>
      <c r="B145" s="228" t="s">
        <v>2498</v>
      </c>
      <c r="C145" s="192" t="s">
        <v>2402</v>
      </c>
      <c r="D145" s="193" t="s">
        <v>2624</v>
      </c>
      <c r="E145" s="194" t="s">
        <v>2588</v>
      </c>
      <c r="F145" s="228" t="s">
        <v>2498</v>
      </c>
      <c r="G145" s="195" t="s">
        <v>2659</v>
      </c>
      <c r="H145" s="195" t="s">
        <v>2660</v>
      </c>
      <c r="I145" s="196" t="s">
        <v>2468</v>
      </c>
      <c r="J145" s="197" t="s">
        <v>2661</v>
      </c>
      <c r="K145" s="220"/>
      <c r="L145" s="220"/>
      <c r="M145" s="220"/>
      <c r="N145" s="220"/>
      <c r="O145" s="220"/>
      <c r="P145" s="220"/>
      <c r="Q145" s="224"/>
      <c r="R145" s="224"/>
      <c r="S145" s="224"/>
      <c r="T145" s="165"/>
      <c r="U145" s="165"/>
      <c r="V145" s="165"/>
      <c r="W145" s="165"/>
    </row>
    <row r="146" spans="1:23" ht="11.25" customHeight="1" x14ac:dyDescent="0.25">
      <c r="A146" s="223">
        <v>51</v>
      </c>
      <c r="B146" s="228" t="s">
        <v>2673</v>
      </c>
      <c r="C146" s="242" t="s">
        <v>2402</v>
      </c>
      <c r="D146" s="193">
        <v>43836</v>
      </c>
      <c r="E146" s="235">
        <v>43842</v>
      </c>
      <c r="F146" s="191" t="s">
        <v>2674</v>
      </c>
      <c r="G146" s="195" t="s">
        <v>2659</v>
      </c>
      <c r="H146" s="195" t="s">
        <v>2660</v>
      </c>
      <c r="I146" s="196" t="s">
        <v>2468</v>
      </c>
      <c r="J146" s="197" t="s">
        <v>2661</v>
      </c>
      <c r="K146" s="220"/>
      <c r="L146" s="220"/>
      <c r="M146" s="220"/>
      <c r="N146" s="220"/>
      <c r="O146" s="220"/>
      <c r="P146" s="220"/>
      <c r="Q146" s="232" t="s">
        <v>2675</v>
      </c>
      <c r="R146" s="232" t="s">
        <v>2676</v>
      </c>
      <c r="S146" s="232" t="s">
        <v>2677</v>
      </c>
      <c r="T146" s="165"/>
      <c r="U146" s="165"/>
      <c r="V146" s="165"/>
      <c r="W146" s="165"/>
    </row>
    <row r="147" spans="1:23" ht="11.25" customHeight="1" x14ac:dyDescent="0.25">
      <c r="A147" s="223">
        <v>52</v>
      </c>
      <c r="B147" s="228" t="s">
        <v>2678</v>
      </c>
      <c r="C147" s="192" t="s">
        <v>2402</v>
      </c>
      <c r="D147" s="193">
        <v>43831</v>
      </c>
      <c r="E147" s="194">
        <v>43836</v>
      </c>
      <c r="F147" s="228" t="s">
        <v>2678</v>
      </c>
      <c r="G147" s="195" t="s">
        <v>2659</v>
      </c>
      <c r="H147" s="195" t="s">
        <v>2660</v>
      </c>
      <c r="I147" s="196" t="s">
        <v>2468</v>
      </c>
      <c r="J147" s="197" t="s">
        <v>2661</v>
      </c>
      <c r="K147" s="220"/>
      <c r="L147" s="220"/>
      <c r="M147" s="220"/>
      <c r="N147" s="220"/>
      <c r="O147" s="220"/>
      <c r="P147" s="220"/>
      <c r="Q147" s="224"/>
      <c r="R147" s="224"/>
      <c r="S147" s="224"/>
      <c r="T147" s="165"/>
      <c r="U147" s="165"/>
      <c r="V147" s="165"/>
      <c r="W147" s="165"/>
    </row>
    <row r="148" spans="1:23" ht="11.25" customHeight="1" x14ac:dyDescent="0.25">
      <c r="A148" s="223">
        <v>53</v>
      </c>
      <c r="B148" s="228" t="s">
        <v>2679</v>
      </c>
      <c r="C148" s="192" t="s">
        <v>2402</v>
      </c>
      <c r="D148" s="193">
        <v>43833</v>
      </c>
      <c r="E148" s="194">
        <v>43838</v>
      </c>
      <c r="F148" s="228" t="s">
        <v>2679</v>
      </c>
      <c r="G148" s="195" t="s">
        <v>2659</v>
      </c>
      <c r="H148" s="195" t="s">
        <v>2660</v>
      </c>
      <c r="I148" s="196" t="s">
        <v>2468</v>
      </c>
      <c r="J148" s="197" t="s">
        <v>2661</v>
      </c>
      <c r="K148" s="220"/>
      <c r="L148" s="220"/>
      <c r="M148" s="220"/>
      <c r="N148" s="220"/>
      <c r="O148" s="220"/>
      <c r="P148" s="220"/>
      <c r="Q148" s="224"/>
      <c r="R148" s="224"/>
      <c r="S148" s="224"/>
      <c r="T148" s="165"/>
      <c r="U148" s="165"/>
      <c r="V148" s="165"/>
      <c r="W148" s="165"/>
    </row>
    <row r="149" spans="1:23" ht="11.25" customHeight="1" x14ac:dyDescent="0.25">
      <c r="A149" s="223">
        <v>54</v>
      </c>
      <c r="B149" s="228" t="s">
        <v>2680</v>
      </c>
      <c r="C149" s="192" t="s">
        <v>2402</v>
      </c>
      <c r="D149" s="193">
        <v>43833</v>
      </c>
      <c r="E149" s="194">
        <v>43842</v>
      </c>
      <c r="F149" s="228" t="s">
        <v>2680</v>
      </c>
      <c r="G149" s="195" t="s">
        <v>2659</v>
      </c>
      <c r="H149" s="195" t="s">
        <v>2660</v>
      </c>
      <c r="I149" s="196" t="s">
        <v>2468</v>
      </c>
      <c r="J149" s="197" t="s">
        <v>2661</v>
      </c>
      <c r="K149" s="220"/>
      <c r="L149" s="220"/>
      <c r="M149" s="220"/>
      <c r="N149" s="220"/>
      <c r="O149" s="220"/>
      <c r="P149" s="220"/>
      <c r="Q149" s="224"/>
      <c r="R149" s="224"/>
      <c r="S149" s="224"/>
      <c r="T149" s="165"/>
      <c r="U149" s="165"/>
      <c r="V149" s="165"/>
      <c r="W149" s="165"/>
    </row>
    <row r="150" spans="1:23" ht="11.25" customHeight="1" x14ac:dyDescent="0.25">
      <c r="A150" s="223">
        <v>55</v>
      </c>
      <c r="B150" s="228" t="s">
        <v>2681</v>
      </c>
      <c r="C150" s="192" t="s">
        <v>2402</v>
      </c>
      <c r="D150" s="193">
        <v>43831</v>
      </c>
      <c r="E150" s="194">
        <v>43836</v>
      </c>
      <c r="F150" s="228" t="s">
        <v>2681</v>
      </c>
      <c r="G150" s="195" t="s">
        <v>2659</v>
      </c>
      <c r="H150" s="195" t="s">
        <v>2660</v>
      </c>
      <c r="I150" s="196" t="s">
        <v>2468</v>
      </c>
      <c r="J150" s="197" t="s">
        <v>2661</v>
      </c>
      <c r="K150" s="220"/>
      <c r="L150" s="220"/>
      <c r="M150" s="220"/>
      <c r="N150" s="220"/>
      <c r="O150" s="220"/>
      <c r="P150" s="220"/>
      <c r="Q150" s="224"/>
      <c r="R150" s="224"/>
      <c r="S150" s="224"/>
      <c r="T150" s="165"/>
      <c r="U150" s="165"/>
      <c r="V150" s="165"/>
      <c r="W150" s="165"/>
    </row>
    <row r="151" spans="1:23" ht="11.25" customHeight="1" x14ac:dyDescent="0.25">
      <c r="A151" s="223">
        <v>56</v>
      </c>
      <c r="B151" s="228" t="s">
        <v>2682</v>
      </c>
      <c r="C151" s="192" t="s">
        <v>2402</v>
      </c>
      <c r="D151" s="193">
        <v>43833</v>
      </c>
      <c r="E151" s="194">
        <v>43842</v>
      </c>
      <c r="F151" s="228" t="s">
        <v>2682</v>
      </c>
      <c r="G151" s="195" t="s">
        <v>2659</v>
      </c>
      <c r="H151" s="195" t="s">
        <v>2660</v>
      </c>
      <c r="I151" s="196" t="s">
        <v>2468</v>
      </c>
      <c r="J151" s="197" t="s">
        <v>2661</v>
      </c>
      <c r="K151" s="220"/>
      <c r="L151" s="220"/>
      <c r="M151" s="220"/>
      <c r="N151" s="220"/>
      <c r="O151" s="220"/>
      <c r="P151" s="220"/>
      <c r="Q151" s="224"/>
      <c r="R151" s="224"/>
      <c r="S151" s="224"/>
      <c r="T151" s="165"/>
      <c r="U151" s="165"/>
      <c r="V151" s="165"/>
      <c r="W151" s="165"/>
    </row>
    <row r="152" spans="1:23" ht="11.25" customHeight="1" x14ac:dyDescent="0.25">
      <c r="A152" s="223">
        <v>57</v>
      </c>
      <c r="B152" s="228" t="s">
        <v>2683</v>
      </c>
      <c r="C152" s="192" t="s">
        <v>2402</v>
      </c>
      <c r="D152" s="193">
        <v>43835</v>
      </c>
      <c r="E152" s="194">
        <v>43840</v>
      </c>
      <c r="F152" s="228" t="s">
        <v>2683</v>
      </c>
      <c r="G152" s="195" t="s">
        <v>2659</v>
      </c>
      <c r="H152" s="195" t="s">
        <v>2660</v>
      </c>
      <c r="I152" s="196" t="s">
        <v>2468</v>
      </c>
      <c r="J152" s="197" t="s">
        <v>2661</v>
      </c>
      <c r="K152" s="220"/>
      <c r="L152" s="220"/>
      <c r="M152" s="220"/>
      <c r="N152" s="220"/>
      <c r="O152" s="220"/>
      <c r="P152" s="220"/>
      <c r="Q152" s="224"/>
      <c r="R152" s="224"/>
      <c r="S152" s="224"/>
      <c r="T152" s="165"/>
      <c r="U152" s="165"/>
      <c r="V152" s="165"/>
      <c r="W152" s="165"/>
    </row>
    <row r="153" spans="1:23" ht="11.25" customHeight="1" x14ac:dyDescent="0.25">
      <c r="A153" s="223">
        <v>58</v>
      </c>
      <c r="B153" s="228" t="s">
        <v>2684</v>
      </c>
      <c r="C153" s="192" t="s">
        <v>2402</v>
      </c>
      <c r="D153" s="193">
        <v>43833</v>
      </c>
      <c r="E153" s="194">
        <v>43842</v>
      </c>
      <c r="F153" s="228" t="s">
        <v>2684</v>
      </c>
      <c r="G153" s="195" t="s">
        <v>2659</v>
      </c>
      <c r="H153" s="195" t="s">
        <v>2660</v>
      </c>
      <c r="I153" s="196" t="s">
        <v>2468</v>
      </c>
      <c r="J153" s="197" t="s">
        <v>2661</v>
      </c>
      <c r="K153" s="220"/>
      <c r="L153" s="220"/>
      <c r="M153" s="220"/>
      <c r="N153" s="220"/>
      <c r="O153" s="220"/>
      <c r="P153" s="220"/>
      <c r="Q153" s="224"/>
      <c r="R153" s="224"/>
      <c r="S153" s="224"/>
      <c r="T153" s="165"/>
      <c r="U153" s="165"/>
      <c r="V153" s="165"/>
      <c r="W153" s="165"/>
    </row>
    <row r="154" spans="1:23" ht="11.25" customHeight="1" x14ac:dyDescent="0.25">
      <c r="A154" s="223">
        <v>59</v>
      </c>
      <c r="B154" s="228" t="s">
        <v>2685</v>
      </c>
      <c r="C154" s="192" t="s">
        <v>2402</v>
      </c>
      <c r="D154" s="193">
        <v>43473</v>
      </c>
      <c r="E154" s="194">
        <v>43863</v>
      </c>
      <c r="F154" s="228" t="s">
        <v>2685</v>
      </c>
      <c r="G154" s="195" t="s">
        <v>2659</v>
      </c>
      <c r="H154" s="195" t="s">
        <v>2660</v>
      </c>
      <c r="I154" s="196" t="s">
        <v>2468</v>
      </c>
      <c r="J154" s="197" t="s">
        <v>2661</v>
      </c>
      <c r="K154" s="220"/>
      <c r="L154" s="220"/>
      <c r="M154" s="220"/>
      <c r="N154" s="220"/>
      <c r="O154" s="220"/>
      <c r="P154" s="220"/>
      <c r="Q154" s="224"/>
      <c r="R154" s="224"/>
      <c r="S154" s="224"/>
      <c r="T154" s="165"/>
      <c r="U154" s="165"/>
      <c r="V154" s="165"/>
      <c r="W154" s="165"/>
    </row>
    <row r="155" spans="1:23" ht="11.25" customHeight="1" x14ac:dyDescent="0.25">
      <c r="A155" s="223">
        <v>60</v>
      </c>
      <c r="B155" s="228" t="s">
        <v>2686</v>
      </c>
      <c r="C155" s="192" t="s">
        <v>2402</v>
      </c>
      <c r="D155" s="193">
        <v>43831</v>
      </c>
      <c r="E155" s="194">
        <v>43842</v>
      </c>
      <c r="F155" s="228" t="s">
        <v>2686</v>
      </c>
      <c r="G155" s="195" t="s">
        <v>2659</v>
      </c>
      <c r="H155" s="195" t="s">
        <v>2660</v>
      </c>
      <c r="I155" s="196" t="s">
        <v>2468</v>
      </c>
      <c r="J155" s="197" t="s">
        <v>2661</v>
      </c>
      <c r="K155" s="220"/>
      <c r="L155" s="220"/>
      <c r="M155" s="220"/>
      <c r="N155" s="220"/>
      <c r="O155" s="220"/>
      <c r="P155" s="220"/>
      <c r="Q155" s="224"/>
      <c r="R155" s="224"/>
      <c r="S155" s="224"/>
      <c r="T155" s="165"/>
      <c r="U155" s="165"/>
      <c r="V155" s="165"/>
      <c r="W155" s="165"/>
    </row>
    <row r="156" spans="1:23" ht="11.25" customHeight="1" x14ac:dyDescent="0.25">
      <c r="A156" s="223">
        <v>61</v>
      </c>
      <c r="B156" s="228" t="s">
        <v>2687</v>
      </c>
      <c r="C156" s="192" t="s">
        <v>2402</v>
      </c>
      <c r="D156" s="193">
        <v>44112</v>
      </c>
      <c r="E156" s="194">
        <v>44116</v>
      </c>
      <c r="F156" s="228" t="s">
        <v>2687</v>
      </c>
      <c r="G156" s="195" t="s">
        <v>2659</v>
      </c>
      <c r="H156" s="195" t="s">
        <v>2660</v>
      </c>
      <c r="I156" s="196" t="s">
        <v>2468</v>
      </c>
      <c r="J156" s="197" t="s">
        <v>2661</v>
      </c>
      <c r="K156" s="246"/>
      <c r="L156" s="220"/>
      <c r="M156" s="220"/>
      <c r="N156" s="220"/>
      <c r="O156" s="220"/>
      <c r="P156" s="220"/>
      <c r="Q156" s="247"/>
      <c r="R156" s="224"/>
      <c r="S156" s="224"/>
      <c r="T156" s="165"/>
      <c r="U156" s="165"/>
      <c r="V156" s="165"/>
      <c r="W156" s="165"/>
    </row>
    <row r="157" spans="1:23" ht="11.25" customHeight="1" x14ac:dyDescent="0.25">
      <c r="A157" s="248"/>
      <c r="B157" s="204"/>
      <c r="C157" s="213"/>
      <c r="D157" s="249"/>
      <c r="E157" s="204"/>
      <c r="F157" s="237"/>
      <c r="G157" s="250"/>
      <c r="H157" s="251"/>
      <c r="I157" s="251"/>
      <c r="J157" s="252"/>
      <c r="K157" s="253"/>
      <c r="L157" s="210"/>
      <c r="M157" s="210"/>
      <c r="N157" s="210"/>
      <c r="O157" s="210"/>
      <c r="P157" s="210"/>
      <c r="Q157" s="254"/>
      <c r="R157" s="255"/>
      <c r="S157" s="255"/>
      <c r="T157" s="165"/>
      <c r="U157" s="165"/>
      <c r="V157" s="165"/>
      <c r="W157" s="165"/>
    </row>
    <row r="158" spans="1:23" ht="11.25" customHeight="1" x14ac:dyDescent="0.25">
      <c r="A158" s="458">
        <v>2019</v>
      </c>
      <c r="B158" s="370"/>
      <c r="C158" s="370"/>
      <c r="D158" s="370"/>
      <c r="E158" s="370"/>
      <c r="F158" s="370"/>
      <c r="G158" s="370"/>
      <c r="H158" s="370"/>
      <c r="I158" s="370"/>
      <c r="J158" s="370"/>
      <c r="K158" s="370"/>
      <c r="L158" s="370"/>
      <c r="M158" s="370"/>
      <c r="N158" s="370"/>
      <c r="O158" s="370"/>
      <c r="P158" s="370"/>
      <c r="Q158" s="370"/>
      <c r="R158" s="370"/>
      <c r="S158" s="459"/>
      <c r="T158" s="165"/>
      <c r="U158" s="165"/>
      <c r="V158" s="165"/>
      <c r="W158" s="165"/>
    </row>
    <row r="159" spans="1:23" ht="11.25" customHeight="1" x14ac:dyDescent="0.25">
      <c r="A159" s="213">
        <v>1</v>
      </c>
      <c r="B159" s="256" t="s">
        <v>2688</v>
      </c>
      <c r="C159" s="192" t="s">
        <v>2402</v>
      </c>
      <c r="D159" s="257">
        <v>43262</v>
      </c>
      <c r="E159" s="194">
        <v>43477</v>
      </c>
      <c r="F159" s="191" t="s">
        <v>2688</v>
      </c>
      <c r="G159" s="195" t="s">
        <v>2689</v>
      </c>
      <c r="H159" s="195" t="s">
        <v>2690</v>
      </c>
      <c r="I159" s="196" t="s">
        <v>2421</v>
      </c>
      <c r="J159" s="258" t="s">
        <v>2691</v>
      </c>
      <c r="K159" s="215"/>
      <c r="L159" s="209"/>
      <c r="M159" s="209"/>
      <c r="N159" s="209"/>
      <c r="O159" s="210"/>
      <c r="P159" s="210"/>
      <c r="Q159" s="211"/>
      <c r="R159" s="212"/>
      <c r="S159" s="212"/>
      <c r="T159" s="165"/>
      <c r="U159" s="165"/>
      <c r="V159" s="165"/>
      <c r="W159" s="165"/>
    </row>
    <row r="160" spans="1:23" ht="11.25" customHeight="1" x14ac:dyDescent="0.25">
      <c r="A160" s="213">
        <v>2</v>
      </c>
      <c r="B160" s="256" t="s">
        <v>2692</v>
      </c>
      <c r="C160" s="192" t="s">
        <v>2402</v>
      </c>
      <c r="D160" s="257">
        <v>43375</v>
      </c>
      <c r="E160" s="194">
        <v>43496</v>
      </c>
      <c r="F160" s="191" t="s">
        <v>2692</v>
      </c>
      <c r="G160" s="195" t="s">
        <v>2689</v>
      </c>
      <c r="H160" s="195" t="s">
        <v>2690</v>
      </c>
      <c r="I160" s="196" t="s">
        <v>2421</v>
      </c>
      <c r="J160" s="258" t="s">
        <v>2691</v>
      </c>
      <c r="K160" s="215" t="s">
        <v>2693</v>
      </c>
      <c r="L160" s="259"/>
      <c r="M160" s="260"/>
      <c r="N160" s="261"/>
      <c r="O160" s="210"/>
      <c r="P160" s="210"/>
      <c r="Q160" s="211"/>
      <c r="R160" s="212"/>
      <c r="S160" s="212"/>
      <c r="T160" s="165"/>
      <c r="U160" s="165"/>
      <c r="V160" s="165"/>
      <c r="W160" s="165"/>
    </row>
    <row r="161" spans="1:23" ht="11.25" customHeight="1" x14ac:dyDescent="0.25">
      <c r="A161" s="213">
        <v>3</v>
      </c>
      <c r="B161" s="256" t="s">
        <v>2694</v>
      </c>
      <c r="C161" s="192" t="s">
        <v>2402</v>
      </c>
      <c r="D161" s="257">
        <v>43315</v>
      </c>
      <c r="E161" s="194">
        <v>43496</v>
      </c>
      <c r="F161" s="191" t="s">
        <v>2694</v>
      </c>
      <c r="G161" s="195" t="s">
        <v>2695</v>
      </c>
      <c r="H161" s="195" t="s">
        <v>2696</v>
      </c>
      <c r="I161" s="196" t="s">
        <v>2421</v>
      </c>
      <c r="J161" s="258" t="s">
        <v>2697</v>
      </c>
      <c r="K161" s="215"/>
      <c r="L161" s="209"/>
      <c r="M161" s="209"/>
      <c r="N161" s="209"/>
      <c r="O161" s="210"/>
      <c r="P161" s="210"/>
      <c r="Q161" s="211"/>
      <c r="R161" s="212"/>
      <c r="S161" s="212"/>
      <c r="T161" s="165"/>
      <c r="U161" s="165"/>
      <c r="V161" s="165"/>
      <c r="W161" s="165"/>
    </row>
    <row r="162" spans="1:23" ht="11.25" customHeight="1" x14ac:dyDescent="0.25">
      <c r="A162" s="213">
        <v>4</v>
      </c>
      <c r="B162" s="256" t="s">
        <v>2698</v>
      </c>
      <c r="C162" s="192" t="s">
        <v>2402</v>
      </c>
      <c r="D162" s="257">
        <v>43327</v>
      </c>
      <c r="E162" s="194">
        <v>43496</v>
      </c>
      <c r="F162" s="191" t="s">
        <v>2698</v>
      </c>
      <c r="G162" s="196" t="s">
        <v>2699</v>
      </c>
      <c r="H162" s="196" t="s">
        <v>2700</v>
      </c>
      <c r="I162" s="196" t="s">
        <v>2421</v>
      </c>
      <c r="J162" s="258" t="s">
        <v>2701</v>
      </c>
      <c r="K162" s="218"/>
      <c r="L162" s="219"/>
      <c r="M162" s="219"/>
      <c r="N162" s="219"/>
      <c r="O162" s="220"/>
      <c r="P162" s="220"/>
      <c r="Q162" s="221"/>
      <c r="R162" s="222"/>
      <c r="S162" s="222"/>
      <c r="T162" s="165"/>
      <c r="U162" s="165"/>
      <c r="V162" s="165"/>
      <c r="W162" s="165"/>
    </row>
    <row r="163" spans="1:23" ht="11.25" customHeight="1" x14ac:dyDescent="0.25">
      <c r="A163" s="213">
        <v>5</v>
      </c>
      <c r="B163" s="256" t="s">
        <v>2702</v>
      </c>
      <c r="C163" s="192" t="s">
        <v>2402</v>
      </c>
      <c r="D163" s="257">
        <v>43388</v>
      </c>
      <c r="E163" s="194">
        <v>43511</v>
      </c>
      <c r="F163" s="191" t="s">
        <v>2702</v>
      </c>
      <c r="G163" s="195" t="s">
        <v>2703</v>
      </c>
      <c r="H163" s="196" t="s">
        <v>2700</v>
      </c>
      <c r="I163" s="196" t="s">
        <v>2421</v>
      </c>
      <c r="J163" s="258" t="s">
        <v>2701</v>
      </c>
      <c r="K163" s="218"/>
      <c r="L163" s="219"/>
      <c r="M163" s="219"/>
      <c r="N163" s="219"/>
      <c r="O163" s="220"/>
      <c r="P163" s="220"/>
      <c r="Q163" s="221"/>
      <c r="R163" s="222"/>
      <c r="S163" s="222"/>
      <c r="T163" s="165"/>
      <c r="U163" s="165"/>
      <c r="V163" s="165"/>
      <c r="W163" s="165"/>
    </row>
    <row r="164" spans="1:23" ht="11.25" customHeight="1" x14ac:dyDescent="0.25">
      <c r="A164" s="213">
        <v>6</v>
      </c>
      <c r="B164" s="256" t="s">
        <v>2704</v>
      </c>
      <c r="C164" s="192" t="s">
        <v>2402</v>
      </c>
      <c r="D164" s="257">
        <v>43448</v>
      </c>
      <c r="E164" s="194">
        <v>43539</v>
      </c>
      <c r="F164" s="191" t="s">
        <v>2704</v>
      </c>
      <c r="G164" s="196" t="s">
        <v>2705</v>
      </c>
      <c r="H164" s="195" t="s">
        <v>2706</v>
      </c>
      <c r="I164" s="196"/>
      <c r="J164" s="258" t="s">
        <v>2707</v>
      </c>
      <c r="K164" s="215"/>
      <c r="L164" s="209"/>
      <c r="M164" s="209"/>
      <c r="N164" s="209"/>
      <c r="O164" s="210"/>
      <c r="P164" s="210"/>
      <c r="Q164" s="211"/>
      <c r="R164" s="212"/>
      <c r="S164" s="212"/>
      <c r="T164" s="165"/>
      <c r="U164" s="165"/>
      <c r="V164" s="165"/>
      <c r="W164" s="165"/>
    </row>
    <row r="165" spans="1:23" ht="11.25" customHeight="1" x14ac:dyDescent="0.25">
      <c r="A165" s="213">
        <v>7</v>
      </c>
      <c r="B165" s="256" t="s">
        <v>2708</v>
      </c>
      <c r="C165" s="192" t="s">
        <v>2402</v>
      </c>
      <c r="D165" s="194">
        <v>43477</v>
      </c>
      <c r="E165" s="194">
        <v>43585</v>
      </c>
      <c r="F165" s="191" t="s">
        <v>2708</v>
      </c>
      <c r="G165" s="195" t="s">
        <v>2709</v>
      </c>
      <c r="H165" s="196" t="s">
        <v>2710</v>
      </c>
      <c r="I165" s="196" t="s">
        <v>2421</v>
      </c>
      <c r="J165" s="258" t="s">
        <v>2711</v>
      </c>
      <c r="K165" s="215"/>
      <c r="L165" s="209"/>
      <c r="M165" s="209"/>
      <c r="N165" s="209"/>
      <c r="O165" s="210"/>
      <c r="P165" s="210"/>
      <c r="Q165" s="211"/>
      <c r="R165" s="212"/>
      <c r="S165" s="212"/>
      <c r="T165" s="165"/>
      <c r="U165" s="165"/>
      <c r="V165" s="165"/>
      <c r="W165" s="165"/>
    </row>
    <row r="166" spans="1:23" ht="11.25" customHeight="1" x14ac:dyDescent="0.25">
      <c r="A166" s="216">
        <v>8</v>
      </c>
      <c r="B166" s="256" t="s">
        <v>2712</v>
      </c>
      <c r="C166" s="192" t="s">
        <v>2402</v>
      </c>
      <c r="D166" s="194">
        <v>43477</v>
      </c>
      <c r="E166" s="194">
        <v>43567</v>
      </c>
      <c r="F166" s="191" t="s">
        <v>2712</v>
      </c>
      <c r="G166" s="195" t="s">
        <v>2709</v>
      </c>
      <c r="H166" s="196" t="s">
        <v>2710</v>
      </c>
      <c r="I166" s="196" t="s">
        <v>2421</v>
      </c>
      <c r="J166" s="258" t="s">
        <v>2711</v>
      </c>
      <c r="K166" s="218"/>
      <c r="L166" s="219"/>
      <c r="M166" s="219"/>
      <c r="N166" s="219"/>
      <c r="O166" s="220"/>
      <c r="P166" s="220"/>
      <c r="Q166" s="221"/>
      <c r="R166" s="222"/>
      <c r="S166" s="222"/>
      <c r="T166" s="165"/>
      <c r="U166" s="165"/>
      <c r="V166" s="165"/>
      <c r="W166" s="165"/>
    </row>
    <row r="167" spans="1:23" ht="11.25" customHeight="1" x14ac:dyDescent="0.25">
      <c r="A167" s="223">
        <v>9</v>
      </c>
      <c r="B167" s="191" t="s">
        <v>2713</v>
      </c>
      <c r="C167" s="192" t="s">
        <v>2402</v>
      </c>
      <c r="D167" s="257">
        <v>43388</v>
      </c>
      <c r="E167" s="194">
        <v>43570</v>
      </c>
      <c r="F167" s="191" t="s">
        <v>2713</v>
      </c>
      <c r="G167" s="195" t="s">
        <v>2714</v>
      </c>
      <c r="H167" s="196" t="s">
        <v>2715</v>
      </c>
      <c r="I167" s="196" t="s">
        <v>2421</v>
      </c>
      <c r="J167" s="258" t="s">
        <v>2716</v>
      </c>
      <c r="K167" s="219"/>
      <c r="L167" s="219"/>
      <c r="M167" s="219"/>
      <c r="N167" s="219"/>
      <c r="O167" s="220"/>
      <c r="P167" s="220"/>
      <c r="Q167" s="222"/>
      <c r="R167" s="222"/>
      <c r="S167" s="222"/>
      <c r="T167" s="165"/>
      <c r="U167" s="165"/>
      <c r="V167" s="165"/>
      <c r="W167" s="165"/>
    </row>
    <row r="168" spans="1:23" ht="11.25" customHeight="1" x14ac:dyDescent="0.25">
      <c r="A168" s="223">
        <v>10</v>
      </c>
      <c r="B168" s="191" t="s">
        <v>2717</v>
      </c>
      <c r="C168" s="192" t="s">
        <v>2402</v>
      </c>
      <c r="D168" s="257">
        <v>43388</v>
      </c>
      <c r="E168" s="194">
        <v>43567</v>
      </c>
      <c r="F168" s="191" t="s">
        <v>2717</v>
      </c>
      <c r="G168" s="195" t="s">
        <v>2714</v>
      </c>
      <c r="H168" s="196" t="s">
        <v>2715</v>
      </c>
      <c r="I168" s="196" t="s">
        <v>2421</v>
      </c>
      <c r="J168" s="258" t="s">
        <v>2716</v>
      </c>
      <c r="K168" s="220"/>
      <c r="L168" s="220"/>
      <c r="M168" s="220"/>
      <c r="N168" s="220"/>
      <c r="O168" s="220"/>
      <c r="P168" s="220"/>
      <c r="Q168" s="224"/>
      <c r="R168" s="224"/>
      <c r="S168" s="224"/>
      <c r="T168" s="165"/>
      <c r="U168" s="165"/>
      <c r="V168" s="165"/>
      <c r="W168" s="165"/>
    </row>
    <row r="169" spans="1:23" ht="11.25" customHeight="1" x14ac:dyDescent="0.25">
      <c r="A169" s="223">
        <v>11</v>
      </c>
      <c r="B169" s="191" t="s">
        <v>2718</v>
      </c>
      <c r="C169" s="192" t="s">
        <v>2402</v>
      </c>
      <c r="D169" s="194">
        <v>43477</v>
      </c>
      <c r="E169" s="194">
        <v>43615</v>
      </c>
      <c r="F169" s="191" t="s">
        <v>2718</v>
      </c>
      <c r="G169" s="195" t="s">
        <v>2719</v>
      </c>
      <c r="H169" s="196" t="s">
        <v>2720</v>
      </c>
      <c r="I169" s="196" t="s">
        <v>2421</v>
      </c>
      <c r="J169" s="258" t="s">
        <v>2721</v>
      </c>
      <c r="K169" s="220"/>
      <c r="L169" s="220"/>
      <c r="M169" s="220"/>
      <c r="N169" s="220"/>
      <c r="O169" s="220"/>
      <c r="P169" s="220"/>
      <c r="Q169" s="224"/>
      <c r="R169" s="224"/>
      <c r="S169" s="224"/>
      <c r="T169" s="165"/>
      <c r="U169" s="165"/>
      <c r="V169" s="165"/>
      <c r="W169" s="165"/>
    </row>
    <row r="170" spans="1:23" ht="11.25" customHeight="1" x14ac:dyDescent="0.25">
      <c r="A170" s="223">
        <v>12</v>
      </c>
      <c r="B170" s="191" t="s">
        <v>2722</v>
      </c>
      <c r="C170" s="192" t="s">
        <v>2402</v>
      </c>
      <c r="D170" s="257">
        <v>43444</v>
      </c>
      <c r="E170" s="194">
        <v>43595</v>
      </c>
      <c r="F170" s="191" t="s">
        <v>2722</v>
      </c>
      <c r="G170" s="195" t="s">
        <v>2723</v>
      </c>
      <c r="H170" s="195" t="s">
        <v>2724</v>
      </c>
      <c r="I170" s="196" t="s">
        <v>2421</v>
      </c>
      <c r="J170" s="258" t="s">
        <v>2725</v>
      </c>
      <c r="K170" s="220"/>
      <c r="L170" s="220"/>
      <c r="M170" s="220"/>
      <c r="N170" s="220"/>
      <c r="O170" s="220"/>
      <c r="P170" s="220"/>
      <c r="Q170" s="224"/>
      <c r="R170" s="224"/>
      <c r="S170" s="224"/>
      <c r="T170" s="165"/>
      <c r="U170" s="165"/>
      <c r="V170" s="165"/>
      <c r="W170" s="165"/>
    </row>
    <row r="171" spans="1:23" ht="11.25" customHeight="1" x14ac:dyDescent="0.25">
      <c r="A171" s="223">
        <v>13</v>
      </c>
      <c r="B171" s="191" t="s">
        <v>2726</v>
      </c>
      <c r="C171" s="192" t="s">
        <v>2402</v>
      </c>
      <c r="D171" s="257">
        <v>43479</v>
      </c>
      <c r="E171" s="194">
        <v>43600</v>
      </c>
      <c r="F171" s="191" t="s">
        <v>2726</v>
      </c>
      <c r="G171" s="195" t="s">
        <v>2723</v>
      </c>
      <c r="H171" s="195" t="s">
        <v>2724</v>
      </c>
      <c r="I171" s="196" t="s">
        <v>2421</v>
      </c>
      <c r="J171" s="258" t="s">
        <v>2725</v>
      </c>
      <c r="K171" s="220"/>
      <c r="L171" s="220"/>
      <c r="M171" s="220"/>
      <c r="N171" s="220"/>
      <c r="O171" s="220"/>
      <c r="P171" s="220"/>
      <c r="Q171" s="224"/>
      <c r="R171" s="224"/>
      <c r="S171" s="224"/>
      <c r="T171" s="165"/>
      <c r="U171" s="165"/>
      <c r="V171" s="165"/>
      <c r="W171" s="165"/>
    </row>
    <row r="172" spans="1:23" ht="11.25" customHeight="1" x14ac:dyDescent="0.25">
      <c r="A172" s="223">
        <v>14</v>
      </c>
      <c r="B172" s="191" t="s">
        <v>2727</v>
      </c>
      <c r="C172" s="192" t="s">
        <v>2402</v>
      </c>
      <c r="D172" s="194">
        <v>43477</v>
      </c>
      <c r="E172" s="194">
        <v>43600</v>
      </c>
      <c r="F172" s="191" t="s">
        <v>2727</v>
      </c>
      <c r="G172" s="196" t="s">
        <v>2728</v>
      </c>
      <c r="H172" s="195" t="s">
        <v>2729</v>
      </c>
      <c r="I172" s="196" t="s">
        <v>2468</v>
      </c>
      <c r="J172" s="262">
        <v>43638</v>
      </c>
      <c r="K172" s="220"/>
      <c r="L172" s="220"/>
      <c r="M172" s="220"/>
      <c r="N172" s="220"/>
      <c r="O172" s="220"/>
      <c r="P172" s="220"/>
      <c r="Q172" s="224"/>
      <c r="R172" s="224"/>
      <c r="S172" s="224"/>
      <c r="T172" s="165"/>
      <c r="U172" s="165"/>
      <c r="V172" s="165"/>
      <c r="W172" s="165"/>
    </row>
    <row r="173" spans="1:23" ht="11.25" customHeight="1" x14ac:dyDescent="0.25">
      <c r="A173" s="223">
        <v>15</v>
      </c>
      <c r="B173" s="191" t="s">
        <v>2730</v>
      </c>
      <c r="C173" s="192" t="s">
        <v>2402</v>
      </c>
      <c r="D173" s="194">
        <v>43477</v>
      </c>
      <c r="E173" s="194">
        <v>43600</v>
      </c>
      <c r="F173" s="191" t="s">
        <v>2730</v>
      </c>
      <c r="G173" s="196" t="s">
        <v>2728</v>
      </c>
      <c r="H173" s="195" t="s">
        <v>2729</v>
      </c>
      <c r="I173" s="196" t="s">
        <v>2468</v>
      </c>
      <c r="J173" s="262">
        <v>43638</v>
      </c>
      <c r="K173" s="220"/>
      <c r="L173" s="220"/>
      <c r="M173" s="220"/>
      <c r="N173" s="220"/>
      <c r="O173" s="220"/>
      <c r="P173" s="220"/>
      <c r="Q173" s="224"/>
      <c r="R173" s="224"/>
      <c r="S173" s="224"/>
      <c r="T173" s="165"/>
      <c r="U173" s="165"/>
      <c r="V173" s="165"/>
      <c r="W173" s="165"/>
    </row>
    <row r="174" spans="1:23" ht="11.25" customHeight="1" x14ac:dyDescent="0.25">
      <c r="A174" s="223">
        <v>16</v>
      </c>
      <c r="B174" s="191" t="s">
        <v>2731</v>
      </c>
      <c r="C174" s="192" t="s">
        <v>2402</v>
      </c>
      <c r="D174" s="194">
        <v>43477</v>
      </c>
      <c r="E174" s="194">
        <v>43600</v>
      </c>
      <c r="F174" s="191" t="s">
        <v>2731</v>
      </c>
      <c r="G174" s="196" t="s">
        <v>2728</v>
      </c>
      <c r="H174" s="195" t="s">
        <v>2729</v>
      </c>
      <c r="I174" s="196" t="s">
        <v>2468</v>
      </c>
      <c r="J174" s="262">
        <v>43638</v>
      </c>
      <c r="K174" s="220"/>
      <c r="L174" s="220"/>
      <c r="M174" s="220"/>
      <c r="N174" s="220"/>
      <c r="O174" s="220"/>
      <c r="P174" s="220"/>
      <c r="Q174" s="224"/>
      <c r="R174" s="224"/>
      <c r="S174" s="224"/>
      <c r="T174" s="165"/>
      <c r="U174" s="165"/>
      <c r="V174" s="165"/>
      <c r="W174" s="165"/>
    </row>
    <row r="175" spans="1:23" ht="11.25" customHeight="1" x14ac:dyDescent="0.25">
      <c r="A175" s="223">
        <v>17</v>
      </c>
      <c r="B175" s="191" t="s">
        <v>2732</v>
      </c>
      <c r="C175" s="192" t="s">
        <v>2402</v>
      </c>
      <c r="D175" s="194">
        <v>43477</v>
      </c>
      <c r="E175" s="194">
        <v>43600</v>
      </c>
      <c r="F175" s="191" t="s">
        <v>2732</v>
      </c>
      <c r="G175" s="196" t="s">
        <v>2728</v>
      </c>
      <c r="H175" s="195" t="s">
        <v>2729</v>
      </c>
      <c r="I175" s="196" t="s">
        <v>2468</v>
      </c>
      <c r="J175" s="262">
        <v>43638</v>
      </c>
      <c r="K175" s="220"/>
      <c r="L175" s="220"/>
      <c r="M175" s="220"/>
      <c r="N175" s="220"/>
      <c r="O175" s="220"/>
      <c r="P175" s="220"/>
      <c r="Q175" s="224"/>
      <c r="R175" s="224"/>
      <c r="S175" s="224"/>
      <c r="T175" s="165"/>
      <c r="U175" s="165"/>
      <c r="V175" s="165"/>
      <c r="W175" s="165"/>
    </row>
    <row r="176" spans="1:23" ht="11.25" customHeight="1" x14ac:dyDescent="0.25">
      <c r="A176" s="223">
        <v>18</v>
      </c>
      <c r="B176" s="191" t="s">
        <v>2733</v>
      </c>
      <c r="C176" s="192" t="s">
        <v>2402</v>
      </c>
      <c r="D176" s="194">
        <v>43477</v>
      </c>
      <c r="E176" s="194">
        <v>43600</v>
      </c>
      <c r="F176" s="191" t="s">
        <v>2733</v>
      </c>
      <c r="G176" s="196" t="s">
        <v>2728</v>
      </c>
      <c r="H176" s="195" t="s">
        <v>2729</v>
      </c>
      <c r="I176" s="196" t="s">
        <v>2468</v>
      </c>
      <c r="J176" s="262">
        <v>43638</v>
      </c>
      <c r="K176" s="220"/>
      <c r="L176" s="220"/>
      <c r="M176" s="220"/>
      <c r="N176" s="220"/>
      <c r="O176" s="220"/>
      <c r="P176" s="220"/>
      <c r="Q176" s="224"/>
      <c r="R176" s="224"/>
      <c r="S176" s="224"/>
      <c r="T176" s="165"/>
      <c r="U176" s="165"/>
      <c r="V176" s="165"/>
      <c r="W176" s="165"/>
    </row>
    <row r="177" spans="1:23" ht="11.25" customHeight="1" x14ac:dyDescent="0.25">
      <c r="A177" s="223">
        <v>19</v>
      </c>
      <c r="B177" s="191" t="s">
        <v>2734</v>
      </c>
      <c r="C177" s="192" t="s">
        <v>2402</v>
      </c>
      <c r="D177" s="194">
        <v>43477</v>
      </c>
      <c r="E177" s="194">
        <v>43600</v>
      </c>
      <c r="F177" s="191" t="s">
        <v>2734</v>
      </c>
      <c r="G177" s="196" t="s">
        <v>2728</v>
      </c>
      <c r="H177" s="195" t="s">
        <v>2729</v>
      </c>
      <c r="I177" s="196" t="s">
        <v>2468</v>
      </c>
      <c r="J177" s="262">
        <v>43638</v>
      </c>
      <c r="K177" s="220"/>
      <c r="L177" s="220"/>
      <c r="M177" s="220"/>
      <c r="N177" s="220"/>
      <c r="O177" s="220"/>
      <c r="P177" s="220"/>
      <c r="Q177" s="232" t="s">
        <v>2735</v>
      </c>
      <c r="R177" s="232" t="s">
        <v>2736</v>
      </c>
      <c r="S177" s="232" t="s">
        <v>2737</v>
      </c>
      <c r="T177" s="165"/>
      <c r="U177" s="165"/>
      <c r="V177" s="165"/>
      <c r="W177" s="165"/>
    </row>
    <row r="178" spans="1:23" ht="11.25" customHeight="1" x14ac:dyDescent="0.25">
      <c r="A178" s="223">
        <v>20</v>
      </c>
      <c r="B178" s="191" t="s">
        <v>2738</v>
      </c>
      <c r="C178" s="192" t="s">
        <v>2402</v>
      </c>
      <c r="D178" s="194">
        <v>43477</v>
      </c>
      <c r="E178" s="194">
        <v>43600</v>
      </c>
      <c r="F178" s="191" t="s">
        <v>2738</v>
      </c>
      <c r="G178" s="196" t="s">
        <v>2728</v>
      </c>
      <c r="H178" s="195" t="s">
        <v>2729</v>
      </c>
      <c r="I178" s="196" t="s">
        <v>2468</v>
      </c>
      <c r="J178" s="262">
        <v>43638</v>
      </c>
      <c r="K178" s="220"/>
      <c r="L178" s="220"/>
      <c r="M178" s="220"/>
      <c r="N178" s="220"/>
      <c r="O178" s="220"/>
      <c r="P178" s="220"/>
      <c r="Q178" s="232" t="s">
        <v>2739</v>
      </c>
      <c r="R178" s="232" t="s">
        <v>2740</v>
      </c>
      <c r="S178" s="231" t="s">
        <v>2741</v>
      </c>
      <c r="T178" s="165"/>
      <c r="U178" s="165"/>
      <c r="V178" s="165"/>
      <c r="W178" s="165"/>
    </row>
    <row r="179" spans="1:23" ht="11.25" customHeight="1" x14ac:dyDescent="0.25">
      <c r="A179" s="223">
        <v>21</v>
      </c>
      <c r="B179" s="191" t="s">
        <v>2742</v>
      </c>
      <c r="C179" s="192" t="s">
        <v>2402</v>
      </c>
      <c r="D179" s="194">
        <v>43477</v>
      </c>
      <c r="E179" s="194">
        <v>43600</v>
      </c>
      <c r="F179" s="191" t="s">
        <v>2742</v>
      </c>
      <c r="G179" s="196" t="s">
        <v>2728</v>
      </c>
      <c r="H179" s="195" t="s">
        <v>2729</v>
      </c>
      <c r="I179" s="196" t="s">
        <v>2468</v>
      </c>
      <c r="J179" s="262">
        <v>43638</v>
      </c>
      <c r="K179" s="220"/>
      <c r="L179" s="220"/>
      <c r="M179" s="220"/>
      <c r="N179" s="220"/>
      <c r="O179" s="220"/>
      <c r="P179" s="220"/>
      <c r="Q179" s="232" t="s">
        <v>2481</v>
      </c>
      <c r="R179" s="232" t="s">
        <v>2743</v>
      </c>
      <c r="S179" s="245" t="s">
        <v>2744</v>
      </c>
      <c r="T179" s="165"/>
      <c r="U179" s="165"/>
      <c r="V179" s="165"/>
      <c r="W179" s="165"/>
    </row>
    <row r="180" spans="1:23" ht="11.25" customHeight="1" x14ac:dyDescent="0.25">
      <c r="A180" s="223">
        <v>22</v>
      </c>
      <c r="B180" s="191" t="s">
        <v>2745</v>
      </c>
      <c r="C180" s="192" t="s">
        <v>2402</v>
      </c>
      <c r="D180" s="194">
        <v>43477</v>
      </c>
      <c r="E180" s="194">
        <v>43600</v>
      </c>
      <c r="F180" s="191" t="s">
        <v>2745</v>
      </c>
      <c r="G180" s="196" t="s">
        <v>2728</v>
      </c>
      <c r="H180" s="195" t="s">
        <v>2729</v>
      </c>
      <c r="I180" s="196" t="s">
        <v>2468</v>
      </c>
      <c r="J180" s="262">
        <v>43638</v>
      </c>
      <c r="K180" s="220"/>
      <c r="L180" s="220"/>
      <c r="M180" s="220"/>
      <c r="N180" s="220"/>
      <c r="O180" s="220"/>
      <c r="P180" s="220"/>
      <c r="Q180" s="231"/>
      <c r="R180" s="224"/>
      <c r="S180" s="224"/>
      <c r="T180" s="165"/>
      <c r="U180" s="165"/>
      <c r="V180" s="165"/>
      <c r="W180" s="165"/>
    </row>
    <row r="181" spans="1:23" ht="11.25" customHeight="1" x14ac:dyDescent="0.25">
      <c r="A181" s="223">
        <v>23</v>
      </c>
      <c r="B181" s="191" t="s">
        <v>2746</v>
      </c>
      <c r="C181" s="192" t="s">
        <v>2402</v>
      </c>
      <c r="D181" s="194">
        <v>43477</v>
      </c>
      <c r="E181" s="194">
        <v>43600</v>
      </c>
      <c r="F181" s="191" t="s">
        <v>2746</v>
      </c>
      <c r="G181" s="196" t="s">
        <v>2728</v>
      </c>
      <c r="H181" s="195" t="s">
        <v>2729</v>
      </c>
      <c r="I181" s="196" t="s">
        <v>2468</v>
      </c>
      <c r="J181" s="262">
        <v>43638</v>
      </c>
      <c r="K181" s="220"/>
      <c r="L181" s="220"/>
      <c r="M181" s="220"/>
      <c r="N181" s="220"/>
      <c r="O181" s="220"/>
      <c r="P181" s="220"/>
      <c r="Q181" s="232" t="s">
        <v>2747</v>
      </c>
      <c r="R181" s="232" t="s">
        <v>2748</v>
      </c>
      <c r="S181" s="231" t="s">
        <v>2749</v>
      </c>
      <c r="T181" s="165"/>
      <c r="U181" s="165"/>
      <c r="V181" s="165"/>
      <c r="W181" s="165"/>
    </row>
    <row r="182" spans="1:23" ht="11.25" customHeight="1" x14ac:dyDescent="0.25">
      <c r="A182" s="223">
        <v>24</v>
      </c>
      <c r="B182" s="191" t="s">
        <v>2750</v>
      </c>
      <c r="C182" s="192" t="s">
        <v>2402</v>
      </c>
      <c r="D182" s="194">
        <v>43477</v>
      </c>
      <c r="E182" s="194">
        <v>43600</v>
      </c>
      <c r="F182" s="191" t="s">
        <v>2750</v>
      </c>
      <c r="G182" s="196" t="s">
        <v>2728</v>
      </c>
      <c r="H182" s="195" t="s">
        <v>2729</v>
      </c>
      <c r="I182" s="196" t="s">
        <v>2468</v>
      </c>
      <c r="J182" s="262">
        <v>43638</v>
      </c>
      <c r="K182" s="220"/>
      <c r="L182" s="220"/>
      <c r="M182" s="220"/>
      <c r="N182" s="220"/>
      <c r="O182" s="220"/>
      <c r="P182" s="220"/>
      <c r="Q182" s="224"/>
      <c r="R182" s="224"/>
      <c r="S182" s="224"/>
      <c r="T182" s="165"/>
      <c r="U182" s="165"/>
      <c r="V182" s="165"/>
      <c r="W182" s="165"/>
    </row>
    <row r="183" spans="1:23" ht="11.25" customHeight="1" x14ac:dyDescent="0.25">
      <c r="A183" s="223">
        <v>25</v>
      </c>
      <c r="B183" s="191" t="s">
        <v>2751</v>
      </c>
      <c r="C183" s="192" t="s">
        <v>2402</v>
      </c>
      <c r="D183" s="194">
        <v>43477</v>
      </c>
      <c r="E183" s="194">
        <v>43600</v>
      </c>
      <c r="F183" s="191" t="s">
        <v>2751</v>
      </c>
      <c r="G183" s="196" t="s">
        <v>2728</v>
      </c>
      <c r="H183" s="195" t="s">
        <v>2729</v>
      </c>
      <c r="I183" s="196" t="s">
        <v>2468</v>
      </c>
      <c r="J183" s="262">
        <v>43638</v>
      </c>
      <c r="K183" s="220"/>
      <c r="L183" s="220"/>
      <c r="M183" s="220"/>
      <c r="N183" s="220"/>
      <c r="O183" s="220"/>
      <c r="P183" s="220"/>
      <c r="Q183" s="224"/>
      <c r="R183" s="224"/>
      <c r="S183" s="224"/>
      <c r="T183" s="165"/>
      <c r="U183" s="165"/>
      <c r="V183" s="165"/>
      <c r="W183" s="165"/>
    </row>
    <row r="184" spans="1:23" ht="11.25" customHeight="1" x14ac:dyDescent="0.25">
      <c r="A184" s="223">
        <v>26</v>
      </c>
      <c r="B184" s="191" t="s">
        <v>2752</v>
      </c>
      <c r="C184" s="192" t="s">
        <v>2402</v>
      </c>
      <c r="D184" s="194">
        <v>43477</v>
      </c>
      <c r="E184" s="194">
        <v>43600</v>
      </c>
      <c r="F184" s="191" t="s">
        <v>2752</v>
      </c>
      <c r="G184" s="196" t="s">
        <v>2728</v>
      </c>
      <c r="H184" s="195" t="s">
        <v>2729</v>
      </c>
      <c r="I184" s="196" t="s">
        <v>2468</v>
      </c>
      <c r="J184" s="262">
        <v>43638</v>
      </c>
      <c r="K184" s="220"/>
      <c r="L184" s="220"/>
      <c r="M184" s="220"/>
      <c r="N184" s="220"/>
      <c r="O184" s="220"/>
      <c r="P184" s="220"/>
      <c r="Q184" s="224"/>
      <c r="R184" s="224"/>
      <c r="S184" s="224"/>
      <c r="T184" s="165"/>
      <c r="U184" s="165"/>
      <c r="V184" s="165"/>
      <c r="W184" s="165"/>
    </row>
    <row r="185" spans="1:23" ht="11.25" customHeight="1" x14ac:dyDescent="0.25">
      <c r="A185" s="223">
        <v>27</v>
      </c>
      <c r="B185" s="191" t="s">
        <v>2753</v>
      </c>
      <c r="C185" s="192" t="s">
        <v>2402</v>
      </c>
      <c r="D185" s="194">
        <v>43472</v>
      </c>
      <c r="E185" s="194">
        <v>43623</v>
      </c>
      <c r="F185" s="191" t="s">
        <v>2753</v>
      </c>
      <c r="G185" s="195" t="s">
        <v>2754</v>
      </c>
      <c r="H185" s="195" t="s">
        <v>2755</v>
      </c>
      <c r="I185" s="196" t="s">
        <v>2421</v>
      </c>
      <c r="J185" s="262">
        <v>43647</v>
      </c>
      <c r="K185" s="220"/>
      <c r="L185" s="220"/>
      <c r="M185" s="220"/>
      <c r="N185" s="220"/>
      <c r="O185" s="220"/>
      <c r="P185" s="220"/>
      <c r="Q185" s="224"/>
      <c r="R185" s="224"/>
      <c r="S185" s="224"/>
      <c r="T185" s="165"/>
      <c r="U185" s="165"/>
      <c r="V185" s="165"/>
      <c r="W185" s="165"/>
    </row>
    <row r="186" spans="1:23" ht="11.25" customHeight="1" x14ac:dyDescent="0.25">
      <c r="A186" s="223">
        <v>28</v>
      </c>
      <c r="B186" s="191" t="s">
        <v>2756</v>
      </c>
      <c r="C186" s="192" t="s">
        <v>2402</v>
      </c>
      <c r="D186" s="257">
        <v>43507</v>
      </c>
      <c r="E186" s="194">
        <v>43628</v>
      </c>
      <c r="F186" s="191" t="s">
        <v>2756</v>
      </c>
      <c r="G186" s="195" t="s">
        <v>2757</v>
      </c>
      <c r="H186" s="195" t="s">
        <v>2758</v>
      </c>
      <c r="I186" s="196" t="s">
        <v>2421</v>
      </c>
      <c r="J186" s="262">
        <v>43704</v>
      </c>
      <c r="K186" s="220"/>
      <c r="L186" s="220"/>
      <c r="M186" s="220"/>
      <c r="N186" s="220"/>
      <c r="O186" s="220"/>
      <c r="P186" s="220"/>
      <c r="Q186" s="224"/>
      <c r="R186" s="224"/>
      <c r="S186" s="224"/>
      <c r="T186" s="165"/>
      <c r="U186" s="165"/>
      <c r="V186" s="165"/>
      <c r="W186" s="165"/>
    </row>
    <row r="187" spans="1:23" ht="11.25" customHeight="1" x14ac:dyDescent="0.25">
      <c r="A187" s="223">
        <v>29</v>
      </c>
      <c r="B187" s="191" t="s">
        <v>2759</v>
      </c>
      <c r="C187" s="192" t="s">
        <v>2402</v>
      </c>
      <c r="D187" s="257">
        <v>43479</v>
      </c>
      <c r="E187" s="194">
        <v>43630</v>
      </c>
      <c r="F187" s="191" t="s">
        <v>2759</v>
      </c>
      <c r="G187" s="195" t="s">
        <v>2760</v>
      </c>
      <c r="H187" s="195" t="s">
        <v>2761</v>
      </c>
      <c r="I187" s="196" t="s">
        <v>2519</v>
      </c>
      <c r="J187" s="262">
        <v>43720</v>
      </c>
      <c r="K187" s="220"/>
      <c r="L187" s="220"/>
      <c r="M187" s="220"/>
      <c r="N187" s="220"/>
      <c r="O187" s="220"/>
      <c r="P187" s="220"/>
      <c r="Q187" s="224"/>
      <c r="R187" s="224"/>
      <c r="S187" s="224"/>
      <c r="T187" s="165"/>
      <c r="U187" s="165"/>
      <c r="V187" s="165"/>
      <c r="W187" s="165"/>
    </row>
    <row r="188" spans="1:23" ht="11.25" customHeight="1" x14ac:dyDescent="0.25">
      <c r="A188" s="223">
        <v>30</v>
      </c>
      <c r="B188" s="191" t="s">
        <v>2762</v>
      </c>
      <c r="C188" s="192" t="s">
        <v>2402</v>
      </c>
      <c r="D188" s="257">
        <v>43479</v>
      </c>
      <c r="E188" s="194">
        <v>43630</v>
      </c>
      <c r="F188" s="191" t="s">
        <v>2762</v>
      </c>
      <c r="G188" s="195" t="s">
        <v>2760</v>
      </c>
      <c r="H188" s="195" t="s">
        <v>2761</v>
      </c>
      <c r="I188" s="196" t="s">
        <v>2519</v>
      </c>
      <c r="J188" s="262">
        <v>43720</v>
      </c>
      <c r="K188" s="220"/>
      <c r="L188" s="220"/>
      <c r="M188" s="220"/>
      <c r="N188" s="220"/>
      <c r="O188" s="220"/>
      <c r="P188" s="220"/>
      <c r="Q188" s="224"/>
      <c r="R188" s="224"/>
      <c r="S188" s="224"/>
      <c r="T188" s="165"/>
      <c r="U188" s="165"/>
      <c r="V188" s="165"/>
      <c r="W188" s="165"/>
    </row>
    <row r="189" spans="1:23" ht="11.25" customHeight="1" x14ac:dyDescent="0.25">
      <c r="A189" s="223">
        <v>31</v>
      </c>
      <c r="B189" s="191" t="s">
        <v>2763</v>
      </c>
      <c r="C189" s="192" t="s">
        <v>2402</v>
      </c>
      <c r="D189" s="257">
        <v>43525</v>
      </c>
      <c r="E189" s="194">
        <v>43647</v>
      </c>
      <c r="F189" s="191" t="s">
        <v>2763</v>
      </c>
      <c r="G189" s="195" t="s">
        <v>2764</v>
      </c>
      <c r="H189" s="195" t="s">
        <v>2765</v>
      </c>
      <c r="I189" s="196" t="s">
        <v>2519</v>
      </c>
      <c r="J189" s="197">
        <v>43746</v>
      </c>
      <c r="K189" s="220"/>
      <c r="L189" s="220"/>
      <c r="M189" s="220"/>
      <c r="N189" s="220"/>
      <c r="O189" s="220"/>
      <c r="P189" s="220"/>
      <c r="Q189" s="232" t="s">
        <v>2766</v>
      </c>
      <c r="R189" s="232" t="s">
        <v>2767</v>
      </c>
      <c r="S189" s="231" t="s">
        <v>2768</v>
      </c>
      <c r="T189" s="165"/>
      <c r="U189" s="165"/>
      <c r="V189" s="165"/>
      <c r="W189" s="165"/>
    </row>
    <row r="190" spans="1:23" ht="11.25" customHeight="1" x14ac:dyDescent="0.25">
      <c r="A190" s="223">
        <v>32</v>
      </c>
      <c r="B190" s="191" t="s">
        <v>2769</v>
      </c>
      <c r="C190" s="192" t="s">
        <v>2402</v>
      </c>
      <c r="D190" s="257">
        <v>43472</v>
      </c>
      <c r="E190" s="194">
        <v>43654</v>
      </c>
      <c r="F190" s="191" t="s">
        <v>2769</v>
      </c>
      <c r="G190" s="195" t="s">
        <v>2770</v>
      </c>
      <c r="H190" s="196" t="s">
        <v>2771</v>
      </c>
      <c r="I190" s="196" t="s">
        <v>2519</v>
      </c>
      <c r="J190" s="197">
        <v>43748</v>
      </c>
      <c r="K190" s="220"/>
      <c r="L190" s="220"/>
      <c r="M190" s="220"/>
      <c r="N190" s="220"/>
      <c r="O190" s="220"/>
      <c r="P190" s="220"/>
      <c r="Q190" s="224"/>
      <c r="R190" s="224"/>
      <c r="S190" s="224"/>
      <c r="T190" s="165"/>
      <c r="U190" s="165"/>
      <c r="V190" s="165"/>
      <c r="W190" s="165"/>
    </row>
    <row r="191" spans="1:23" ht="11.25" customHeight="1" x14ac:dyDescent="0.25">
      <c r="A191" s="223">
        <v>33</v>
      </c>
      <c r="B191" s="191" t="s">
        <v>2772</v>
      </c>
      <c r="C191" s="192" t="s">
        <v>2402</v>
      </c>
      <c r="D191" s="257">
        <v>43525</v>
      </c>
      <c r="E191" s="194">
        <v>43647</v>
      </c>
      <c r="F191" s="191" t="s">
        <v>2772</v>
      </c>
      <c r="G191" s="195" t="s">
        <v>2773</v>
      </c>
      <c r="H191" s="263" t="s">
        <v>2696</v>
      </c>
      <c r="I191" s="196" t="s">
        <v>2421</v>
      </c>
      <c r="J191" s="197">
        <v>43750</v>
      </c>
      <c r="K191" s="220"/>
      <c r="L191" s="220"/>
      <c r="M191" s="220"/>
      <c r="N191" s="220"/>
      <c r="O191" s="220"/>
      <c r="P191" s="220"/>
      <c r="Q191" s="224"/>
      <c r="R191" s="224"/>
      <c r="S191" s="224"/>
      <c r="T191" s="165"/>
      <c r="U191" s="165"/>
      <c r="V191" s="165"/>
      <c r="W191" s="165"/>
    </row>
    <row r="192" spans="1:23" ht="11.25" customHeight="1" x14ac:dyDescent="0.25">
      <c r="A192" s="223">
        <v>34</v>
      </c>
      <c r="B192" s="191" t="s">
        <v>2774</v>
      </c>
      <c r="C192" s="192" t="s">
        <v>2402</v>
      </c>
      <c r="D192" s="257">
        <v>43556</v>
      </c>
      <c r="E192" s="194">
        <v>43710</v>
      </c>
      <c r="F192" s="191" t="s">
        <v>2774</v>
      </c>
      <c r="G192" s="195" t="s">
        <v>2775</v>
      </c>
      <c r="H192" s="195" t="s">
        <v>2776</v>
      </c>
      <c r="I192" s="196" t="s">
        <v>2519</v>
      </c>
      <c r="J192" s="197">
        <v>43754</v>
      </c>
      <c r="K192" s="220"/>
      <c r="L192" s="220"/>
      <c r="M192" s="220"/>
      <c r="N192" s="220"/>
      <c r="O192" s="220"/>
      <c r="P192" s="220"/>
      <c r="Q192" s="224"/>
      <c r="R192" s="224"/>
      <c r="S192" s="224"/>
      <c r="T192" s="165"/>
      <c r="U192" s="165"/>
      <c r="V192" s="165"/>
      <c r="W192" s="165"/>
    </row>
    <row r="193" spans="1:23" ht="11.25" customHeight="1" x14ac:dyDescent="0.25">
      <c r="A193" s="223">
        <v>35</v>
      </c>
      <c r="B193" s="191" t="s">
        <v>2777</v>
      </c>
      <c r="C193" s="192" t="s">
        <v>2402</v>
      </c>
      <c r="D193" s="257">
        <v>43617</v>
      </c>
      <c r="E193" s="194">
        <v>43497</v>
      </c>
      <c r="F193" s="191" t="s">
        <v>2777</v>
      </c>
      <c r="G193" s="195" t="s">
        <v>2778</v>
      </c>
      <c r="H193" s="195" t="s">
        <v>2779</v>
      </c>
      <c r="I193" s="196" t="s">
        <v>2468</v>
      </c>
      <c r="J193" s="197">
        <v>43749</v>
      </c>
      <c r="K193" s="220"/>
      <c r="L193" s="220"/>
      <c r="M193" s="220"/>
      <c r="N193" s="220"/>
      <c r="O193" s="220"/>
      <c r="P193" s="220"/>
      <c r="Q193" s="224"/>
      <c r="R193" s="224"/>
      <c r="S193" s="224"/>
      <c r="T193" s="165"/>
      <c r="U193" s="165"/>
      <c r="V193" s="165"/>
      <c r="W193" s="165"/>
    </row>
    <row r="194" spans="1:23" ht="11.25" customHeight="1" x14ac:dyDescent="0.25">
      <c r="A194" s="223">
        <v>36</v>
      </c>
      <c r="B194" s="191" t="s">
        <v>2780</v>
      </c>
      <c r="C194" s="192" t="s">
        <v>2402</v>
      </c>
      <c r="D194" s="257">
        <v>43497</v>
      </c>
      <c r="E194" s="194">
        <v>43586</v>
      </c>
      <c r="F194" s="191" t="s">
        <v>2780</v>
      </c>
      <c r="G194" s="195" t="s">
        <v>2778</v>
      </c>
      <c r="H194" s="264" t="s">
        <v>2779</v>
      </c>
      <c r="I194" s="196" t="s">
        <v>2468</v>
      </c>
      <c r="J194" s="197">
        <v>43749</v>
      </c>
      <c r="K194" s="220"/>
      <c r="L194" s="220"/>
      <c r="M194" s="220"/>
      <c r="N194" s="220"/>
      <c r="O194" s="220"/>
      <c r="P194" s="220"/>
      <c r="Q194" s="224"/>
      <c r="R194" s="224"/>
      <c r="S194" s="224"/>
      <c r="T194" s="165"/>
      <c r="U194" s="165"/>
      <c r="V194" s="165"/>
      <c r="W194" s="165"/>
    </row>
    <row r="195" spans="1:23" ht="11.25" customHeight="1" x14ac:dyDescent="0.25">
      <c r="A195" s="223">
        <v>37</v>
      </c>
      <c r="B195" s="191" t="s">
        <v>2781</v>
      </c>
      <c r="C195" s="192" t="s">
        <v>2402</v>
      </c>
      <c r="D195" s="257">
        <v>43479</v>
      </c>
      <c r="E195" s="194">
        <v>43630</v>
      </c>
      <c r="F195" s="191" t="s">
        <v>2781</v>
      </c>
      <c r="G195" s="195" t="s">
        <v>2778</v>
      </c>
      <c r="H195" s="195" t="s">
        <v>2779</v>
      </c>
      <c r="I195" s="196" t="s">
        <v>2468</v>
      </c>
      <c r="J195" s="197">
        <v>43749</v>
      </c>
      <c r="K195" s="220"/>
      <c r="L195" s="220"/>
      <c r="M195" s="220"/>
      <c r="N195" s="220"/>
      <c r="O195" s="220"/>
      <c r="P195" s="220"/>
      <c r="Q195" s="224"/>
      <c r="R195" s="224"/>
      <c r="S195" s="224"/>
      <c r="T195" s="165"/>
      <c r="U195" s="165"/>
      <c r="V195" s="165"/>
      <c r="W195" s="165"/>
    </row>
    <row r="196" spans="1:23" ht="11.25" customHeight="1" x14ac:dyDescent="0.25">
      <c r="A196" s="223">
        <v>38</v>
      </c>
      <c r="B196" s="191" t="s">
        <v>2782</v>
      </c>
      <c r="C196" s="192" t="s">
        <v>2402</v>
      </c>
      <c r="D196" s="257">
        <v>43313</v>
      </c>
      <c r="E196" s="194">
        <v>43678</v>
      </c>
      <c r="F196" s="191" t="s">
        <v>2782</v>
      </c>
      <c r="G196" s="195" t="s">
        <v>2783</v>
      </c>
      <c r="H196" s="195" t="s">
        <v>2784</v>
      </c>
      <c r="I196" s="196" t="s">
        <v>2468</v>
      </c>
      <c r="J196" s="227">
        <v>43760</v>
      </c>
      <c r="K196" s="220"/>
      <c r="L196" s="220"/>
      <c r="M196" s="220"/>
      <c r="N196" s="220"/>
      <c r="O196" s="220"/>
      <c r="P196" s="220"/>
      <c r="Q196" s="224"/>
      <c r="R196" s="224"/>
      <c r="S196" s="224"/>
      <c r="T196" s="165"/>
      <c r="U196" s="165"/>
      <c r="V196" s="165"/>
      <c r="W196" s="165"/>
    </row>
    <row r="197" spans="1:23" ht="11.25" customHeight="1" x14ac:dyDescent="0.25">
      <c r="A197" s="223">
        <v>39</v>
      </c>
      <c r="B197" s="191" t="s">
        <v>2785</v>
      </c>
      <c r="C197" s="192" t="s">
        <v>2402</v>
      </c>
      <c r="D197" s="257">
        <v>43480</v>
      </c>
      <c r="E197" s="194">
        <v>43630</v>
      </c>
      <c r="F197" s="191" t="s">
        <v>2785</v>
      </c>
      <c r="G197" s="195" t="s">
        <v>2783</v>
      </c>
      <c r="H197" s="195" t="s">
        <v>2784</v>
      </c>
      <c r="I197" s="196" t="s">
        <v>2468</v>
      </c>
      <c r="J197" s="227">
        <v>43760</v>
      </c>
      <c r="K197" s="220"/>
      <c r="L197" s="220"/>
      <c r="M197" s="220"/>
      <c r="N197" s="220"/>
      <c r="O197" s="220"/>
      <c r="P197" s="220"/>
      <c r="Q197" s="224"/>
      <c r="R197" s="224"/>
      <c r="S197" s="224"/>
      <c r="T197" s="165"/>
      <c r="U197" s="165"/>
      <c r="V197" s="165"/>
      <c r="W197" s="165"/>
    </row>
    <row r="198" spans="1:23" ht="11.25" customHeight="1" x14ac:dyDescent="0.25">
      <c r="A198" s="223">
        <v>40</v>
      </c>
      <c r="B198" s="191" t="s">
        <v>2786</v>
      </c>
      <c r="C198" s="192" t="s">
        <v>2402</v>
      </c>
      <c r="D198" s="257">
        <v>43556</v>
      </c>
      <c r="E198" s="194">
        <v>43647</v>
      </c>
      <c r="F198" s="191" t="s">
        <v>2786</v>
      </c>
      <c r="G198" s="195" t="s">
        <v>2783</v>
      </c>
      <c r="H198" s="195" t="s">
        <v>2784</v>
      </c>
      <c r="I198" s="196" t="s">
        <v>2468</v>
      </c>
      <c r="J198" s="227">
        <v>43760</v>
      </c>
      <c r="K198" s="220"/>
      <c r="L198" s="220"/>
      <c r="M198" s="220"/>
      <c r="N198" s="220"/>
      <c r="O198" s="220"/>
      <c r="P198" s="220"/>
      <c r="Q198" s="224"/>
      <c r="R198" s="224"/>
      <c r="S198" s="224"/>
      <c r="T198" s="165"/>
      <c r="U198" s="165"/>
      <c r="V198" s="165"/>
      <c r="W198" s="165"/>
    </row>
    <row r="199" spans="1:23" ht="11.25" customHeight="1" x14ac:dyDescent="0.25">
      <c r="A199" s="223">
        <v>41</v>
      </c>
      <c r="B199" s="191" t="s">
        <v>2787</v>
      </c>
      <c r="C199" s="192" t="s">
        <v>2402</v>
      </c>
      <c r="D199" s="257">
        <v>43647</v>
      </c>
      <c r="E199" s="194">
        <v>43710</v>
      </c>
      <c r="F199" s="191" t="s">
        <v>2787</v>
      </c>
      <c r="G199" s="195" t="s">
        <v>2783</v>
      </c>
      <c r="H199" s="195" t="s">
        <v>2784</v>
      </c>
      <c r="I199" s="196" t="s">
        <v>2468</v>
      </c>
      <c r="J199" s="227">
        <v>43760</v>
      </c>
      <c r="K199" s="220"/>
      <c r="L199" s="220"/>
      <c r="M199" s="220"/>
      <c r="N199" s="220"/>
      <c r="O199" s="220"/>
      <c r="P199" s="220"/>
      <c r="Q199" s="224"/>
      <c r="R199" s="224"/>
      <c r="S199" s="224"/>
      <c r="T199" s="165"/>
      <c r="U199" s="165"/>
      <c r="V199" s="165"/>
      <c r="W199" s="165"/>
    </row>
    <row r="200" spans="1:23" ht="11.25" customHeight="1" x14ac:dyDescent="0.25">
      <c r="A200" s="223">
        <v>42</v>
      </c>
      <c r="B200" s="191" t="s">
        <v>2788</v>
      </c>
      <c r="C200" s="192" t="s">
        <v>2402</v>
      </c>
      <c r="D200" s="257">
        <v>43525</v>
      </c>
      <c r="E200" s="194">
        <v>43678</v>
      </c>
      <c r="F200" s="191" t="s">
        <v>2788</v>
      </c>
      <c r="G200" s="195" t="s">
        <v>2783</v>
      </c>
      <c r="H200" s="195" t="s">
        <v>2784</v>
      </c>
      <c r="I200" s="196" t="s">
        <v>2468</v>
      </c>
      <c r="J200" s="227">
        <v>43760</v>
      </c>
      <c r="K200" s="220"/>
      <c r="L200" s="220"/>
      <c r="M200" s="220"/>
      <c r="N200" s="220"/>
      <c r="O200" s="220"/>
      <c r="P200" s="220"/>
      <c r="Q200" s="232" t="s">
        <v>2735</v>
      </c>
      <c r="R200" s="232" t="s">
        <v>2736</v>
      </c>
      <c r="S200" s="232" t="s">
        <v>2737</v>
      </c>
      <c r="T200" s="165"/>
      <c r="U200" s="165"/>
      <c r="V200" s="165"/>
      <c r="W200" s="165"/>
    </row>
    <row r="201" spans="1:23" ht="11.25" customHeight="1" x14ac:dyDescent="0.25">
      <c r="A201" s="223">
        <v>43</v>
      </c>
      <c r="B201" s="191" t="s">
        <v>2789</v>
      </c>
      <c r="C201" s="192" t="s">
        <v>2402</v>
      </c>
      <c r="D201" s="257">
        <v>43678</v>
      </c>
      <c r="E201" s="194">
        <v>43739</v>
      </c>
      <c r="F201" s="191" t="s">
        <v>2789</v>
      </c>
      <c r="G201" s="195" t="s">
        <v>2783</v>
      </c>
      <c r="H201" s="195" t="s">
        <v>2784</v>
      </c>
      <c r="I201" s="196" t="s">
        <v>2468</v>
      </c>
      <c r="J201" s="227">
        <v>43760</v>
      </c>
      <c r="K201" s="220"/>
      <c r="L201" s="220"/>
      <c r="M201" s="220"/>
      <c r="N201" s="220"/>
      <c r="O201" s="220"/>
      <c r="P201" s="220"/>
      <c r="Q201" s="224"/>
      <c r="R201" s="224"/>
      <c r="S201" s="224"/>
      <c r="T201" s="165"/>
      <c r="U201" s="165"/>
      <c r="V201" s="165"/>
      <c r="W201" s="165"/>
    </row>
    <row r="202" spans="1:23" ht="11.25" customHeight="1" x14ac:dyDescent="0.25">
      <c r="A202" s="223">
        <v>44</v>
      </c>
      <c r="B202" s="191" t="s">
        <v>2790</v>
      </c>
      <c r="C202" s="192" t="s">
        <v>2402</v>
      </c>
      <c r="D202" s="257">
        <v>43525</v>
      </c>
      <c r="E202" s="194">
        <v>43800</v>
      </c>
      <c r="F202" s="191" t="s">
        <v>2790</v>
      </c>
      <c r="G202" s="195" t="s">
        <v>2791</v>
      </c>
      <c r="H202" s="195" t="s">
        <v>2792</v>
      </c>
      <c r="I202" s="196" t="s">
        <v>2421</v>
      </c>
      <c r="J202" s="227">
        <v>43766</v>
      </c>
      <c r="K202" s="220"/>
      <c r="L202" s="220"/>
      <c r="M202" s="220"/>
      <c r="N202" s="220"/>
      <c r="O202" s="220"/>
      <c r="P202" s="220"/>
      <c r="Q202" s="224"/>
      <c r="R202" s="224"/>
      <c r="S202" s="224"/>
      <c r="T202" s="165"/>
      <c r="U202" s="165"/>
      <c r="V202" s="165"/>
      <c r="W202" s="165"/>
    </row>
    <row r="203" spans="1:23" ht="11.25" customHeight="1" x14ac:dyDescent="0.25">
      <c r="A203" s="223">
        <v>45</v>
      </c>
      <c r="B203" s="191" t="s">
        <v>2793</v>
      </c>
      <c r="C203" s="192" t="s">
        <v>2402</v>
      </c>
      <c r="D203" s="257">
        <v>43556</v>
      </c>
      <c r="E203" s="194">
        <v>43710</v>
      </c>
      <c r="F203" s="191" t="s">
        <v>2793</v>
      </c>
      <c r="G203" s="195" t="s">
        <v>2794</v>
      </c>
      <c r="H203" s="195" t="s">
        <v>2795</v>
      </c>
      <c r="I203" s="196" t="s">
        <v>2519</v>
      </c>
      <c r="J203" s="227">
        <v>43762</v>
      </c>
      <c r="K203" s="220"/>
      <c r="L203" s="220"/>
      <c r="M203" s="220"/>
      <c r="N203" s="220"/>
      <c r="O203" s="220"/>
      <c r="P203" s="220"/>
      <c r="Q203" s="224"/>
      <c r="R203" s="224"/>
      <c r="S203" s="224"/>
      <c r="T203" s="165"/>
      <c r="U203" s="165"/>
      <c r="V203" s="165"/>
      <c r="W203" s="165"/>
    </row>
    <row r="204" spans="1:23" ht="11.25" customHeight="1" x14ac:dyDescent="0.25">
      <c r="A204" s="223">
        <v>46</v>
      </c>
      <c r="B204" s="191" t="s">
        <v>2796</v>
      </c>
      <c r="C204" s="192" t="s">
        <v>2402</v>
      </c>
      <c r="D204" s="257">
        <v>43556</v>
      </c>
      <c r="E204" s="194">
        <v>43710</v>
      </c>
      <c r="F204" s="191" t="s">
        <v>2797</v>
      </c>
      <c r="G204" s="195" t="s">
        <v>2794</v>
      </c>
      <c r="H204" s="195" t="s">
        <v>2795</v>
      </c>
      <c r="I204" s="196" t="s">
        <v>2519</v>
      </c>
      <c r="J204" s="227">
        <v>43762</v>
      </c>
      <c r="K204" s="220"/>
      <c r="L204" s="220"/>
      <c r="M204" s="220"/>
      <c r="N204" s="220"/>
      <c r="O204" s="220"/>
      <c r="P204" s="220"/>
      <c r="Q204" s="224"/>
      <c r="R204" s="224"/>
      <c r="S204" s="224"/>
      <c r="T204" s="165"/>
      <c r="U204" s="165"/>
      <c r="V204" s="165"/>
      <c r="W204" s="165"/>
    </row>
    <row r="205" spans="1:23" ht="11.25" customHeight="1" x14ac:dyDescent="0.25">
      <c r="A205" s="223">
        <v>47</v>
      </c>
      <c r="B205" s="191" t="s">
        <v>2798</v>
      </c>
      <c r="C205" s="192" t="s">
        <v>2402</v>
      </c>
      <c r="D205" s="257">
        <v>43556</v>
      </c>
      <c r="E205" s="194">
        <v>43710</v>
      </c>
      <c r="F205" s="191" t="s">
        <v>2798</v>
      </c>
      <c r="G205" s="195" t="s">
        <v>2794</v>
      </c>
      <c r="H205" s="195" t="s">
        <v>2795</v>
      </c>
      <c r="I205" s="196" t="s">
        <v>2519</v>
      </c>
      <c r="J205" s="227">
        <v>43762</v>
      </c>
      <c r="K205" s="220"/>
      <c r="L205" s="220"/>
      <c r="M205" s="220"/>
      <c r="N205" s="220"/>
      <c r="O205" s="220"/>
      <c r="P205" s="220"/>
      <c r="Q205" s="224"/>
      <c r="R205" s="224"/>
      <c r="S205" s="224"/>
      <c r="T205" s="165"/>
      <c r="U205" s="165"/>
      <c r="V205" s="165"/>
      <c r="W205" s="165"/>
    </row>
    <row r="206" spans="1:23" ht="11.25" customHeight="1" x14ac:dyDescent="0.25">
      <c r="A206" s="223">
        <v>48</v>
      </c>
      <c r="B206" s="191" t="s">
        <v>2799</v>
      </c>
      <c r="C206" s="192" t="s">
        <v>2402</v>
      </c>
      <c r="D206" s="257">
        <v>43525</v>
      </c>
      <c r="E206" s="194">
        <v>43678</v>
      </c>
      <c r="F206" s="191" t="s">
        <v>2799</v>
      </c>
      <c r="G206" s="195" t="s">
        <v>2800</v>
      </c>
      <c r="H206" s="195" t="s">
        <v>2801</v>
      </c>
      <c r="I206" s="196" t="s">
        <v>2421</v>
      </c>
      <c r="J206" s="227">
        <v>43782</v>
      </c>
      <c r="K206" s="220"/>
      <c r="L206" s="220"/>
      <c r="M206" s="220"/>
      <c r="N206" s="220"/>
      <c r="O206" s="220"/>
      <c r="P206" s="220"/>
      <c r="Q206" s="224"/>
      <c r="R206" s="224"/>
      <c r="S206" s="224"/>
      <c r="T206" s="165"/>
      <c r="U206" s="165"/>
      <c r="V206" s="165"/>
      <c r="W206" s="165"/>
    </row>
    <row r="207" spans="1:23" ht="11.25" customHeight="1" x14ac:dyDescent="0.25">
      <c r="A207" s="223">
        <v>49</v>
      </c>
      <c r="B207" s="191" t="s">
        <v>2802</v>
      </c>
      <c r="C207" s="192" t="s">
        <v>2402</v>
      </c>
      <c r="D207" s="257">
        <v>43472</v>
      </c>
      <c r="E207" s="194">
        <v>43556</v>
      </c>
      <c r="F207" s="191" t="s">
        <v>2802</v>
      </c>
      <c r="G207" s="195" t="s">
        <v>2803</v>
      </c>
      <c r="H207" s="195" t="s">
        <v>2779</v>
      </c>
      <c r="I207" s="196" t="s">
        <v>2468</v>
      </c>
      <c r="J207" s="227">
        <v>43783</v>
      </c>
      <c r="K207" s="220"/>
      <c r="L207" s="220"/>
      <c r="M207" s="220"/>
      <c r="N207" s="220"/>
      <c r="O207" s="220"/>
      <c r="P207" s="220"/>
      <c r="Q207" s="224"/>
      <c r="R207" s="224"/>
      <c r="S207" s="224"/>
      <c r="T207" s="165"/>
      <c r="U207" s="165"/>
      <c r="V207" s="165"/>
      <c r="W207" s="165"/>
    </row>
    <row r="208" spans="1:23" ht="11.25" customHeight="1" x14ac:dyDescent="0.25">
      <c r="A208" s="223">
        <v>50</v>
      </c>
      <c r="B208" s="191" t="s">
        <v>2804</v>
      </c>
      <c r="C208" s="192" t="s">
        <v>2402</v>
      </c>
      <c r="D208" s="257">
        <v>43525</v>
      </c>
      <c r="E208" s="194">
        <v>43678</v>
      </c>
      <c r="F208" s="191" t="s">
        <v>2804</v>
      </c>
      <c r="G208" s="195" t="s">
        <v>2805</v>
      </c>
      <c r="H208" s="195" t="s">
        <v>2806</v>
      </c>
      <c r="I208" s="196" t="s">
        <v>2421</v>
      </c>
      <c r="J208" s="227">
        <v>43788</v>
      </c>
      <c r="K208" s="220"/>
      <c r="L208" s="220"/>
      <c r="M208" s="220"/>
      <c r="N208" s="220"/>
      <c r="O208" s="220"/>
      <c r="P208" s="220"/>
      <c r="Q208" s="224"/>
      <c r="R208" s="224"/>
      <c r="S208" s="224"/>
      <c r="T208" s="165"/>
      <c r="U208" s="165"/>
      <c r="V208" s="165"/>
      <c r="W208" s="165"/>
    </row>
    <row r="209" spans="1:23" ht="11.25" customHeight="1" x14ac:dyDescent="0.25">
      <c r="A209" s="223">
        <v>51</v>
      </c>
      <c r="B209" s="191" t="s">
        <v>2807</v>
      </c>
      <c r="C209" s="192" t="s">
        <v>2402</v>
      </c>
      <c r="D209" s="257">
        <v>43566</v>
      </c>
      <c r="E209" s="194">
        <v>43719</v>
      </c>
      <c r="F209" s="191" t="s">
        <v>2807</v>
      </c>
      <c r="G209" s="195" t="s">
        <v>2808</v>
      </c>
      <c r="H209" s="195" t="s">
        <v>2809</v>
      </c>
      <c r="I209" s="196" t="s">
        <v>2421</v>
      </c>
      <c r="J209" s="227">
        <v>43811</v>
      </c>
      <c r="K209" s="220"/>
      <c r="L209" s="220"/>
      <c r="M209" s="220"/>
      <c r="N209" s="220"/>
      <c r="O209" s="220"/>
      <c r="P209" s="220"/>
      <c r="Q209" s="224"/>
      <c r="R209" s="224"/>
      <c r="S209" s="224"/>
      <c r="T209" s="165"/>
      <c r="U209" s="165"/>
      <c r="V209" s="165"/>
      <c r="W209" s="165"/>
    </row>
    <row r="210" spans="1:23" ht="11.25" customHeight="1" x14ac:dyDescent="0.25">
      <c r="A210" s="223">
        <v>52</v>
      </c>
      <c r="B210" s="191" t="s">
        <v>2810</v>
      </c>
      <c r="C210" s="192" t="s">
        <v>2402</v>
      </c>
      <c r="D210" s="257">
        <v>43405</v>
      </c>
      <c r="E210" s="194">
        <v>43556</v>
      </c>
      <c r="F210" s="191" t="s">
        <v>2810</v>
      </c>
      <c r="G210" s="195" t="s">
        <v>2808</v>
      </c>
      <c r="H210" s="195" t="s">
        <v>2809</v>
      </c>
      <c r="I210" s="196" t="s">
        <v>2421</v>
      </c>
      <c r="J210" s="197">
        <v>43811</v>
      </c>
      <c r="K210" s="220"/>
      <c r="L210" s="220"/>
      <c r="M210" s="220"/>
      <c r="N210" s="220"/>
      <c r="O210" s="220"/>
      <c r="P210" s="220"/>
      <c r="Q210" s="224"/>
      <c r="R210" s="224"/>
      <c r="S210" s="224"/>
      <c r="T210" s="165"/>
      <c r="U210" s="165"/>
      <c r="V210" s="165"/>
      <c r="W210" s="165"/>
    </row>
    <row r="211" spans="1:23" ht="11.25" customHeight="1" x14ac:dyDescent="0.25">
      <c r="A211" s="223">
        <v>53</v>
      </c>
      <c r="B211" s="191" t="s">
        <v>2811</v>
      </c>
      <c r="C211" s="192" t="s">
        <v>2402</v>
      </c>
      <c r="D211" s="257">
        <v>43556</v>
      </c>
      <c r="E211" s="194">
        <v>43678</v>
      </c>
      <c r="F211" s="191" t="s">
        <v>2811</v>
      </c>
      <c r="G211" s="196" t="s">
        <v>2812</v>
      </c>
      <c r="H211" s="195" t="s">
        <v>2779</v>
      </c>
      <c r="I211" s="196" t="s">
        <v>2468</v>
      </c>
      <c r="J211" s="197">
        <v>43811</v>
      </c>
      <c r="K211" s="220"/>
      <c r="L211" s="220"/>
      <c r="M211" s="220"/>
      <c r="N211" s="220"/>
      <c r="O211" s="220"/>
      <c r="P211" s="220"/>
      <c r="Q211" s="224"/>
      <c r="R211" s="224"/>
      <c r="S211" s="224"/>
      <c r="T211" s="165"/>
      <c r="U211" s="165"/>
      <c r="V211" s="165"/>
      <c r="W211" s="165"/>
    </row>
    <row r="212" spans="1:23" ht="11.25" customHeight="1" x14ac:dyDescent="0.25">
      <c r="A212" s="223">
        <v>54</v>
      </c>
      <c r="B212" s="191" t="s">
        <v>2813</v>
      </c>
      <c r="C212" s="192" t="s">
        <v>2402</v>
      </c>
      <c r="D212" s="257">
        <v>43252</v>
      </c>
      <c r="E212" s="194">
        <v>43617</v>
      </c>
      <c r="F212" s="191" t="s">
        <v>2813</v>
      </c>
      <c r="G212" s="195" t="s">
        <v>2812</v>
      </c>
      <c r="H212" s="195" t="s">
        <v>2779</v>
      </c>
      <c r="I212" s="196" t="s">
        <v>2468</v>
      </c>
      <c r="J212" s="197">
        <v>43811</v>
      </c>
      <c r="K212" s="220"/>
      <c r="L212" s="220"/>
      <c r="M212" s="220"/>
      <c r="N212" s="220"/>
      <c r="O212" s="220"/>
      <c r="P212" s="220"/>
      <c r="Q212" s="224"/>
      <c r="R212" s="224"/>
      <c r="S212" s="224"/>
      <c r="T212" s="165"/>
      <c r="U212" s="165"/>
      <c r="V212" s="165"/>
      <c r="W212" s="165"/>
    </row>
    <row r="213" spans="1:23" ht="11.25" customHeight="1" x14ac:dyDescent="0.25">
      <c r="A213" s="223">
        <v>55</v>
      </c>
      <c r="B213" s="191" t="s">
        <v>2814</v>
      </c>
      <c r="C213" s="192" t="s">
        <v>2402</v>
      </c>
      <c r="D213" s="257">
        <v>43466</v>
      </c>
      <c r="E213" s="194">
        <v>43770</v>
      </c>
      <c r="F213" s="191" t="s">
        <v>2814</v>
      </c>
      <c r="G213" s="195" t="s">
        <v>2812</v>
      </c>
      <c r="H213" s="195" t="s">
        <v>2779</v>
      </c>
      <c r="I213" s="196" t="s">
        <v>2468</v>
      </c>
      <c r="J213" s="197">
        <v>43811</v>
      </c>
      <c r="K213" s="220"/>
      <c r="L213" s="220"/>
      <c r="M213" s="220"/>
      <c r="N213" s="220"/>
      <c r="O213" s="220"/>
      <c r="P213" s="220"/>
      <c r="Q213" s="224"/>
      <c r="R213" s="224"/>
      <c r="S213" s="224"/>
      <c r="T213" s="165"/>
      <c r="U213" s="165"/>
      <c r="V213" s="165"/>
      <c r="W213" s="165"/>
    </row>
    <row r="214" spans="1:23" ht="11.25" customHeight="1" x14ac:dyDescent="0.25">
      <c r="A214" s="223">
        <v>56</v>
      </c>
      <c r="B214" s="191" t="s">
        <v>2815</v>
      </c>
      <c r="C214" s="192" t="s">
        <v>2402</v>
      </c>
      <c r="D214" s="257">
        <v>43678</v>
      </c>
      <c r="E214" s="194">
        <v>43739</v>
      </c>
      <c r="F214" s="191" t="s">
        <v>2815</v>
      </c>
      <c r="G214" s="195" t="s">
        <v>2812</v>
      </c>
      <c r="H214" s="195" t="s">
        <v>2779</v>
      </c>
      <c r="I214" s="196" t="s">
        <v>2468</v>
      </c>
      <c r="J214" s="197">
        <v>43811</v>
      </c>
      <c r="K214" s="220"/>
      <c r="L214" s="220"/>
      <c r="M214" s="220"/>
      <c r="N214" s="220"/>
      <c r="O214" s="220"/>
      <c r="P214" s="220"/>
      <c r="Q214" s="224"/>
      <c r="R214" s="224"/>
      <c r="S214" s="224"/>
      <c r="T214" s="165"/>
      <c r="U214" s="165"/>
      <c r="V214" s="165"/>
      <c r="W214" s="165"/>
    </row>
    <row r="215" spans="1:23" ht="11.25" customHeight="1" x14ac:dyDescent="0.25">
      <c r="A215" s="223">
        <v>57</v>
      </c>
      <c r="B215" s="191" t="s">
        <v>2816</v>
      </c>
      <c r="C215" s="192" t="s">
        <v>2402</v>
      </c>
      <c r="D215" s="257">
        <v>43678</v>
      </c>
      <c r="E215" s="194">
        <v>43739</v>
      </c>
      <c r="F215" s="191" t="s">
        <v>2816</v>
      </c>
      <c r="G215" s="195" t="s">
        <v>2812</v>
      </c>
      <c r="H215" s="195" t="s">
        <v>2779</v>
      </c>
      <c r="I215" s="196" t="s">
        <v>2468</v>
      </c>
      <c r="J215" s="197">
        <v>43811</v>
      </c>
      <c r="K215" s="220"/>
      <c r="L215" s="220"/>
      <c r="M215" s="220"/>
      <c r="N215" s="220"/>
      <c r="O215" s="220"/>
      <c r="P215" s="220"/>
      <c r="Q215" s="224"/>
      <c r="R215" s="224"/>
      <c r="S215" s="224"/>
      <c r="T215" s="165"/>
      <c r="U215" s="165"/>
      <c r="V215" s="165"/>
      <c r="W215" s="165"/>
    </row>
    <row r="216" spans="1:23" ht="11.25" customHeight="1" x14ac:dyDescent="0.25">
      <c r="A216" s="223">
        <v>58</v>
      </c>
      <c r="B216" s="191" t="s">
        <v>2817</v>
      </c>
      <c r="C216" s="192" t="s">
        <v>2402</v>
      </c>
      <c r="D216" s="257">
        <v>43678</v>
      </c>
      <c r="E216" s="194">
        <v>43739</v>
      </c>
      <c r="F216" s="191" t="s">
        <v>2817</v>
      </c>
      <c r="G216" s="195" t="s">
        <v>2812</v>
      </c>
      <c r="H216" s="195" t="s">
        <v>2779</v>
      </c>
      <c r="I216" s="196" t="s">
        <v>2468</v>
      </c>
      <c r="J216" s="197">
        <v>43811</v>
      </c>
      <c r="K216" s="220"/>
      <c r="L216" s="220"/>
      <c r="M216" s="220"/>
      <c r="N216" s="220"/>
      <c r="O216" s="220"/>
      <c r="P216" s="220"/>
      <c r="Q216" s="224"/>
      <c r="R216" s="224"/>
      <c r="S216" s="224"/>
      <c r="T216" s="165"/>
      <c r="U216" s="165"/>
      <c r="V216" s="165"/>
      <c r="W216" s="165"/>
    </row>
    <row r="217" spans="1:23" ht="11.25" customHeight="1" x14ac:dyDescent="0.25">
      <c r="A217" s="223">
        <v>59</v>
      </c>
      <c r="B217" s="191" t="s">
        <v>2818</v>
      </c>
      <c r="C217" s="192" t="s">
        <v>2402</v>
      </c>
      <c r="D217" s="257">
        <v>43678</v>
      </c>
      <c r="E217" s="194">
        <v>43739</v>
      </c>
      <c r="F217" s="191" t="s">
        <v>2818</v>
      </c>
      <c r="G217" s="195" t="s">
        <v>2812</v>
      </c>
      <c r="H217" s="195" t="s">
        <v>2779</v>
      </c>
      <c r="I217" s="196" t="s">
        <v>2468</v>
      </c>
      <c r="J217" s="197">
        <v>43811</v>
      </c>
      <c r="K217" s="220"/>
      <c r="L217" s="220"/>
      <c r="M217" s="220"/>
      <c r="N217" s="220"/>
      <c r="O217" s="220"/>
      <c r="P217" s="220"/>
      <c r="Q217" s="224"/>
      <c r="R217" s="224"/>
      <c r="S217" s="224"/>
      <c r="T217" s="165"/>
      <c r="U217" s="165"/>
      <c r="V217" s="165"/>
      <c r="W217" s="165"/>
    </row>
    <row r="218" spans="1:23" ht="11.25" customHeight="1" x14ac:dyDescent="0.25">
      <c r="A218" s="223">
        <v>60</v>
      </c>
      <c r="B218" s="191" t="s">
        <v>2819</v>
      </c>
      <c r="C218" s="192" t="s">
        <v>2402</v>
      </c>
      <c r="D218" s="257">
        <v>43647</v>
      </c>
      <c r="E218" s="194">
        <v>43739</v>
      </c>
      <c r="F218" s="191" t="s">
        <v>2819</v>
      </c>
      <c r="G218" s="195" t="s">
        <v>2812</v>
      </c>
      <c r="H218" s="195" t="s">
        <v>2779</v>
      </c>
      <c r="I218" s="196" t="s">
        <v>2468</v>
      </c>
      <c r="J218" s="197">
        <v>43811</v>
      </c>
      <c r="K218" s="220"/>
      <c r="L218" s="220"/>
      <c r="M218" s="220"/>
      <c r="N218" s="220"/>
      <c r="O218" s="220"/>
      <c r="P218" s="220"/>
      <c r="Q218" s="224"/>
      <c r="R218" s="224"/>
      <c r="S218" s="224"/>
      <c r="T218" s="165"/>
      <c r="U218" s="165"/>
      <c r="V218" s="165"/>
      <c r="W218" s="165"/>
    </row>
    <row r="219" spans="1:23" ht="11.25" customHeight="1" x14ac:dyDescent="0.25">
      <c r="A219" s="213"/>
      <c r="B219" s="200"/>
      <c r="C219" s="213"/>
      <c r="D219" s="249"/>
      <c r="E219" s="203"/>
      <c r="F219" s="265"/>
      <c r="G219" s="266"/>
      <c r="H219" s="266"/>
      <c r="I219" s="266"/>
      <c r="J219" s="267"/>
      <c r="K219" s="268"/>
      <c r="L219" s="269"/>
      <c r="M219" s="269"/>
      <c r="N219" s="269"/>
      <c r="O219" s="270"/>
      <c r="P219" s="270"/>
      <c r="Q219" s="271"/>
      <c r="R219" s="272"/>
      <c r="S219" s="272"/>
      <c r="T219" s="165"/>
      <c r="U219" s="165"/>
      <c r="V219" s="165"/>
      <c r="W219" s="165"/>
    </row>
    <row r="220" spans="1:23" ht="11.25" customHeight="1" x14ac:dyDescent="0.25">
      <c r="A220" s="165"/>
      <c r="B220" s="273"/>
      <c r="C220" s="165"/>
      <c r="D220" s="165"/>
      <c r="E220" s="165"/>
      <c r="F220" s="273"/>
      <c r="G220" s="165"/>
      <c r="H220" s="165"/>
      <c r="I220" s="165"/>
      <c r="J220" s="165"/>
      <c r="K220" s="273"/>
      <c r="L220" s="165"/>
      <c r="M220" s="165"/>
      <c r="N220" s="165"/>
      <c r="O220" s="165"/>
      <c r="P220" s="165"/>
      <c r="Q220" s="165"/>
      <c r="R220" s="165"/>
      <c r="S220" s="165"/>
      <c r="T220" s="165"/>
      <c r="U220" s="165"/>
      <c r="V220" s="165"/>
      <c r="W220" s="165"/>
    </row>
    <row r="221" spans="1:23" ht="11.25" customHeight="1" x14ac:dyDescent="0.25">
      <c r="A221" s="34"/>
      <c r="B221" s="33"/>
      <c r="C221" s="33"/>
      <c r="D221" s="5"/>
      <c r="E221" s="5"/>
      <c r="F221" s="5"/>
      <c r="G221" s="5"/>
      <c r="H221" s="5"/>
      <c r="I221" s="5"/>
      <c r="J221" s="5"/>
      <c r="K221" s="5"/>
      <c r="L221" s="5"/>
      <c r="M221" s="5"/>
      <c r="N221" s="5"/>
      <c r="O221" s="5"/>
      <c r="P221" s="5"/>
      <c r="Q221" s="5"/>
      <c r="R221" s="5"/>
      <c r="S221" s="5"/>
      <c r="T221" s="165"/>
      <c r="U221" s="165"/>
      <c r="V221" s="165"/>
      <c r="W221" s="165"/>
    </row>
    <row r="222" spans="1:23" ht="11.25" customHeight="1" x14ac:dyDescent="0.25">
      <c r="A222" s="274">
        <v>1</v>
      </c>
      <c r="B222" s="102" t="s">
        <v>2820</v>
      </c>
      <c r="C222" s="33"/>
      <c r="D222" s="5"/>
      <c r="E222" s="5"/>
      <c r="F222" s="5"/>
      <c r="G222" s="5"/>
      <c r="H222" s="5"/>
      <c r="I222" s="5"/>
      <c r="J222" s="5"/>
      <c r="K222" s="5"/>
      <c r="L222" s="5"/>
      <c r="M222" s="5"/>
      <c r="N222" s="5"/>
      <c r="O222" s="5"/>
      <c r="P222" s="5"/>
      <c r="Q222" s="5"/>
      <c r="R222" s="5"/>
      <c r="S222" s="5"/>
      <c r="T222" s="165"/>
      <c r="U222" s="165"/>
      <c r="V222" s="165"/>
      <c r="W222" s="165"/>
    </row>
    <row r="223" spans="1:23" ht="11.25" customHeight="1" x14ac:dyDescent="0.25">
      <c r="A223" s="275"/>
      <c r="B223" s="33"/>
      <c r="C223" s="33"/>
      <c r="D223" s="5"/>
      <c r="E223" s="5"/>
      <c r="F223" s="5"/>
      <c r="G223" s="5"/>
      <c r="H223" s="5"/>
      <c r="I223" s="5"/>
      <c r="J223" s="5"/>
      <c r="K223" s="5"/>
      <c r="L223" s="5"/>
      <c r="M223" s="5"/>
      <c r="N223" s="5"/>
      <c r="O223" s="5"/>
      <c r="P223" s="5"/>
      <c r="Q223" s="5"/>
      <c r="R223" s="5"/>
      <c r="S223" s="5"/>
      <c r="T223" s="165"/>
      <c r="U223" s="165"/>
      <c r="V223" s="165"/>
      <c r="W223" s="165"/>
    </row>
    <row r="224" spans="1:23" ht="11.25" customHeight="1" x14ac:dyDescent="0.25">
      <c r="A224" s="5"/>
      <c r="B224" s="33"/>
      <c r="C224" s="33"/>
      <c r="D224" s="5"/>
      <c r="E224" s="5"/>
      <c r="F224" s="5"/>
      <c r="G224" s="5"/>
      <c r="H224" s="5"/>
      <c r="I224" s="5"/>
      <c r="J224" s="5"/>
      <c r="K224" s="5"/>
      <c r="L224" s="5"/>
      <c r="M224" s="5"/>
      <c r="N224" s="5"/>
      <c r="O224" s="5"/>
      <c r="P224" s="5"/>
      <c r="Q224" s="5"/>
      <c r="R224" s="5"/>
      <c r="S224" s="5"/>
      <c r="T224" s="165"/>
      <c r="U224" s="165"/>
      <c r="V224" s="165"/>
      <c r="W224" s="165"/>
    </row>
    <row r="225" spans="1:23" ht="11.25" customHeight="1" x14ac:dyDescent="0.25">
      <c r="A225" s="5"/>
      <c r="B225" s="460" t="s">
        <v>2821</v>
      </c>
      <c r="C225" s="439"/>
      <c r="D225" s="440"/>
      <c r="E225" s="276">
        <v>62</v>
      </c>
      <c r="F225" s="4"/>
      <c r="G225" s="4"/>
      <c r="H225" s="4"/>
      <c r="I225" s="5"/>
      <c r="J225" s="5"/>
      <c r="K225" s="5"/>
      <c r="L225" s="5"/>
      <c r="M225" s="5"/>
      <c r="N225" s="5"/>
      <c r="O225" s="5"/>
      <c r="P225" s="5"/>
      <c r="Q225" s="5"/>
      <c r="R225" s="5"/>
      <c r="S225" s="5"/>
      <c r="T225" s="165"/>
      <c r="U225" s="165"/>
      <c r="V225" s="165"/>
      <c r="W225" s="165"/>
    </row>
    <row r="226" spans="1:23" ht="11.25" customHeight="1" x14ac:dyDescent="0.25">
      <c r="A226" s="5"/>
      <c r="B226" s="460" t="s">
        <v>2822</v>
      </c>
      <c r="C226" s="439"/>
      <c r="D226" s="440"/>
      <c r="E226" s="276">
        <v>183</v>
      </c>
      <c r="F226" s="4"/>
      <c r="G226" s="4"/>
      <c r="H226" s="4"/>
      <c r="I226" s="5"/>
      <c r="J226" s="5"/>
      <c r="K226" s="5"/>
      <c r="L226" s="5"/>
      <c r="M226" s="5"/>
      <c r="N226" s="5"/>
      <c r="O226" s="5"/>
      <c r="P226" s="5"/>
      <c r="Q226" s="5"/>
      <c r="R226" s="5"/>
      <c r="S226" s="5"/>
      <c r="T226" s="165"/>
      <c r="U226" s="165"/>
      <c r="V226" s="165"/>
      <c r="W226" s="165"/>
    </row>
    <row r="227" spans="1:23" ht="11.25" customHeight="1" x14ac:dyDescent="0.25">
      <c r="A227" s="5"/>
      <c r="B227" s="438" t="s">
        <v>2823</v>
      </c>
      <c r="C227" s="439"/>
      <c r="D227" s="440"/>
      <c r="E227" s="276">
        <v>11</v>
      </c>
      <c r="F227" s="4"/>
      <c r="G227" s="277"/>
      <c r="H227" s="278"/>
      <c r="I227" s="4"/>
      <c r="J227" s="5"/>
      <c r="K227" s="5"/>
      <c r="L227" s="5"/>
      <c r="M227" s="5"/>
      <c r="N227" s="5"/>
      <c r="O227" s="5"/>
      <c r="P227" s="5"/>
      <c r="Q227" s="5"/>
      <c r="R227" s="5"/>
      <c r="S227" s="5"/>
      <c r="T227" s="165"/>
      <c r="U227" s="165"/>
      <c r="V227" s="165"/>
      <c r="W227" s="165"/>
    </row>
    <row r="228" spans="1:23" ht="11.25" customHeight="1" x14ac:dyDescent="0.25">
      <c r="A228" s="5"/>
      <c r="B228" s="438" t="s">
        <v>2824</v>
      </c>
      <c r="C228" s="439"/>
      <c r="D228" s="440"/>
      <c r="E228" s="279">
        <v>62</v>
      </c>
      <c r="F228" s="441" t="s">
        <v>2825</v>
      </c>
      <c r="G228" s="440"/>
      <c r="H228" s="280">
        <v>1.0111000000000001</v>
      </c>
      <c r="I228" s="4"/>
      <c r="J228" s="5"/>
      <c r="K228" s="5"/>
      <c r="L228" s="5"/>
      <c r="M228" s="5"/>
      <c r="N228" s="5"/>
      <c r="O228" s="5"/>
      <c r="P228" s="5"/>
      <c r="Q228" s="5"/>
      <c r="R228" s="5"/>
      <c r="S228" s="5"/>
      <c r="T228" s="165"/>
      <c r="U228" s="165"/>
      <c r="V228" s="165"/>
      <c r="W228" s="165"/>
    </row>
    <row r="229" spans="1:23" ht="11.25" customHeight="1" x14ac:dyDescent="0.25">
      <c r="A229" s="5"/>
      <c r="B229" s="438" t="s">
        <v>2826</v>
      </c>
      <c r="C229" s="439"/>
      <c r="D229" s="440"/>
      <c r="E229" s="281"/>
      <c r="F229" s="441" t="s">
        <v>2827</v>
      </c>
      <c r="G229" s="440"/>
      <c r="H229" s="282"/>
      <c r="I229" s="5"/>
      <c r="J229" s="5"/>
      <c r="K229" s="5"/>
      <c r="L229" s="5"/>
      <c r="M229" s="5"/>
      <c r="N229" s="5"/>
      <c r="O229" s="5"/>
      <c r="P229" s="5"/>
      <c r="Q229" s="5"/>
      <c r="R229" s="5"/>
      <c r="S229" s="5"/>
      <c r="T229" s="165"/>
      <c r="U229" s="165"/>
      <c r="V229" s="165"/>
      <c r="W229" s="165"/>
    </row>
    <row r="230" spans="1:23" ht="11.25" customHeight="1" x14ac:dyDescent="0.25">
      <c r="A230" s="5"/>
      <c r="B230" s="33"/>
      <c r="C230" s="33"/>
      <c r="D230" s="5"/>
      <c r="E230" s="5"/>
      <c r="F230" s="5"/>
      <c r="G230" s="5"/>
      <c r="H230" s="5"/>
      <c r="I230" s="5"/>
      <c r="J230" s="5"/>
      <c r="K230" s="5"/>
      <c r="L230" s="5"/>
      <c r="M230" s="5"/>
      <c r="N230" s="5"/>
      <c r="O230" s="5"/>
      <c r="P230" s="5"/>
      <c r="Q230" s="5"/>
      <c r="R230" s="5"/>
      <c r="S230" s="5"/>
      <c r="T230" s="165"/>
      <c r="U230" s="165"/>
      <c r="V230" s="165"/>
      <c r="W230" s="165"/>
    </row>
    <row r="231" spans="1:23" ht="11.25" customHeight="1" x14ac:dyDescent="0.25">
      <c r="A231" s="5"/>
      <c r="B231" s="33"/>
      <c r="C231" s="33"/>
      <c r="D231" s="5"/>
      <c r="E231" s="5"/>
      <c r="F231" s="5"/>
      <c r="G231" s="5"/>
      <c r="H231" s="5"/>
      <c r="I231" s="5"/>
      <c r="J231" s="5"/>
      <c r="K231" s="5"/>
      <c r="L231" s="5"/>
      <c r="M231" s="5"/>
      <c r="N231" s="5"/>
      <c r="O231" s="5"/>
      <c r="P231" s="5"/>
      <c r="Q231" s="5"/>
      <c r="R231" s="5"/>
      <c r="S231" s="5"/>
      <c r="T231" s="165"/>
      <c r="U231" s="165"/>
      <c r="V231" s="165"/>
      <c r="W231" s="165"/>
    </row>
    <row r="232" spans="1:23" ht="11.25" customHeight="1" x14ac:dyDescent="0.25">
      <c r="A232" s="28" t="s">
        <v>56</v>
      </c>
      <c r="B232" s="29"/>
      <c r="C232" s="5"/>
      <c r="D232" s="5"/>
      <c r="E232" s="5"/>
      <c r="F232" s="5"/>
      <c r="G232" s="5"/>
      <c r="H232" s="5"/>
      <c r="I232" s="5"/>
      <c r="J232" s="5"/>
      <c r="K232" s="5"/>
      <c r="L232" s="5"/>
      <c r="M232" s="5"/>
      <c r="N232" s="5"/>
      <c r="O232" s="5"/>
      <c r="P232" s="5"/>
      <c r="Q232" s="5"/>
      <c r="R232" s="5"/>
      <c r="S232" s="5"/>
      <c r="T232" s="165"/>
      <c r="U232" s="165"/>
      <c r="V232" s="165"/>
      <c r="W232" s="165"/>
    </row>
    <row r="233" spans="1:23" ht="11.25" customHeight="1" x14ac:dyDescent="0.25">
      <c r="A233" s="29"/>
      <c r="B233" s="283"/>
      <c r="D233" s="165"/>
      <c r="E233" s="165"/>
      <c r="F233" s="165"/>
      <c r="G233" s="165"/>
      <c r="H233" s="165"/>
      <c r="I233" s="165"/>
      <c r="J233" s="165"/>
      <c r="K233" s="165"/>
      <c r="L233" s="165"/>
      <c r="M233" s="165"/>
      <c r="N233" s="165"/>
      <c r="O233" s="165"/>
      <c r="P233" s="165"/>
      <c r="Q233" s="165"/>
      <c r="R233" s="165"/>
      <c r="S233" s="165"/>
      <c r="T233" s="165"/>
      <c r="U233" s="165"/>
      <c r="V233" s="165"/>
      <c r="W233" s="165"/>
    </row>
    <row r="234" spans="1:23" ht="15.75" customHeight="1" x14ac:dyDescent="0.25">
      <c r="A234" s="454" t="s">
        <v>2828</v>
      </c>
      <c r="B234" s="373"/>
      <c r="C234" s="78" t="s">
        <v>2369</v>
      </c>
      <c r="D234" s="165"/>
      <c r="E234" s="165"/>
      <c r="F234" s="165"/>
      <c r="G234" s="165"/>
      <c r="H234" s="165"/>
      <c r="I234" s="165"/>
      <c r="J234" s="165"/>
      <c r="K234" s="165"/>
      <c r="L234" s="165"/>
      <c r="M234" s="165"/>
      <c r="N234" s="165"/>
      <c r="O234" s="165"/>
      <c r="P234" s="165"/>
      <c r="Q234" s="165"/>
      <c r="R234" s="165"/>
      <c r="S234" s="165"/>
      <c r="T234" s="165"/>
      <c r="U234" s="165"/>
      <c r="V234" s="165"/>
      <c r="W234" s="165"/>
    </row>
    <row r="235" spans="1:23" ht="11.25" customHeight="1" x14ac:dyDescent="0.25">
      <c r="A235" s="455" t="s">
        <v>2829</v>
      </c>
      <c r="B235" s="373"/>
      <c r="C235" s="32" t="s">
        <v>59</v>
      </c>
      <c r="D235" s="165"/>
      <c r="E235" s="165"/>
      <c r="F235" s="165"/>
      <c r="G235" s="165"/>
      <c r="H235" s="165"/>
      <c r="I235" s="165"/>
      <c r="J235" s="165"/>
      <c r="K235" s="165"/>
      <c r="L235" s="165"/>
      <c r="M235" s="165"/>
      <c r="N235" s="165"/>
      <c r="O235" s="165"/>
      <c r="P235" s="165"/>
      <c r="Q235" s="165"/>
      <c r="R235" s="165"/>
      <c r="S235" s="165"/>
      <c r="T235" s="165"/>
      <c r="U235" s="165"/>
      <c r="V235" s="165"/>
      <c r="W235" s="165"/>
    </row>
    <row r="236" spans="1:23" ht="11.25" customHeight="1" x14ac:dyDescent="0.25">
      <c r="A236" s="5"/>
      <c r="B236" s="5"/>
      <c r="C236" s="5"/>
      <c r="D236" s="165"/>
      <c r="E236" s="165"/>
      <c r="F236" s="165"/>
      <c r="G236" s="165"/>
      <c r="H236" s="165"/>
      <c r="I236" s="165"/>
      <c r="J236" s="165"/>
      <c r="K236" s="165"/>
      <c r="L236" s="165"/>
      <c r="M236" s="165"/>
      <c r="N236" s="165"/>
      <c r="O236" s="165"/>
      <c r="P236" s="165"/>
      <c r="Q236" s="165"/>
      <c r="R236" s="165"/>
      <c r="S236" s="165"/>
      <c r="T236" s="165"/>
      <c r="U236" s="165"/>
      <c r="V236" s="165"/>
      <c r="W236" s="165"/>
    </row>
    <row r="237" spans="1:23" ht="11.25" customHeight="1" x14ac:dyDescent="0.25">
      <c r="A237" s="33" t="s">
        <v>60</v>
      </c>
      <c r="B237" s="5"/>
      <c r="C237" s="5"/>
      <c r="D237" s="165"/>
      <c r="E237" s="165"/>
      <c r="F237" s="165"/>
      <c r="G237" s="165"/>
      <c r="H237" s="165"/>
      <c r="I237" s="165"/>
      <c r="J237" s="165"/>
      <c r="K237" s="165"/>
      <c r="L237" s="165"/>
      <c r="M237" s="165"/>
      <c r="N237" s="165"/>
      <c r="O237" s="165"/>
      <c r="P237" s="165"/>
      <c r="Q237" s="165"/>
      <c r="R237" s="165"/>
      <c r="S237" s="165"/>
      <c r="T237" s="165"/>
      <c r="U237" s="165"/>
      <c r="V237" s="165"/>
      <c r="W237" s="165"/>
    </row>
    <row r="238" spans="1:23" ht="11.25" customHeight="1" x14ac:dyDescent="0.25">
      <c r="A238" s="29"/>
      <c r="B238" s="283"/>
      <c r="D238" s="165"/>
      <c r="E238" s="165"/>
      <c r="F238" s="165"/>
      <c r="G238" s="165"/>
      <c r="H238" s="165"/>
      <c r="I238" s="165"/>
      <c r="J238" s="165"/>
      <c r="K238" s="165"/>
      <c r="L238" s="165"/>
      <c r="M238" s="165"/>
      <c r="N238" s="165"/>
      <c r="O238" s="165"/>
      <c r="P238" s="165"/>
      <c r="Q238" s="165"/>
      <c r="R238" s="165"/>
      <c r="S238" s="165"/>
      <c r="T238" s="165"/>
      <c r="U238" s="165"/>
      <c r="V238" s="165"/>
      <c r="W238" s="165"/>
    </row>
    <row r="239" spans="1:23" ht="15.75" customHeight="1" x14ac:dyDescent="0.25">
      <c r="A239" s="454" t="s">
        <v>2830</v>
      </c>
      <c r="B239" s="373"/>
      <c r="C239" s="78" t="s">
        <v>2369</v>
      </c>
      <c r="D239" s="165"/>
      <c r="E239" s="165"/>
      <c r="F239" s="165"/>
      <c r="G239" s="165"/>
      <c r="H239" s="165"/>
      <c r="I239" s="165"/>
      <c r="J239" s="165"/>
      <c r="K239" s="165"/>
      <c r="L239" s="165"/>
      <c r="M239" s="165"/>
      <c r="N239" s="165"/>
      <c r="O239" s="165"/>
      <c r="P239" s="165"/>
      <c r="Q239" s="165"/>
      <c r="R239" s="165"/>
      <c r="S239" s="165"/>
      <c r="T239" s="165"/>
      <c r="U239" s="165"/>
      <c r="V239" s="165"/>
      <c r="W239" s="165"/>
    </row>
    <row r="240" spans="1:23" ht="11.25" customHeight="1" x14ac:dyDescent="0.25">
      <c r="A240" s="456" t="s">
        <v>2831</v>
      </c>
      <c r="B240" s="373"/>
      <c r="C240" s="32" t="s">
        <v>59</v>
      </c>
      <c r="D240" s="165"/>
      <c r="E240" s="165"/>
      <c r="F240" s="165"/>
      <c r="G240" s="165"/>
      <c r="H240" s="165"/>
      <c r="I240" s="165"/>
      <c r="J240" s="165"/>
      <c r="K240" s="165"/>
      <c r="L240" s="165"/>
      <c r="M240" s="165"/>
      <c r="N240" s="165"/>
      <c r="O240" s="165"/>
      <c r="P240" s="165"/>
      <c r="Q240" s="165"/>
      <c r="R240" s="165"/>
      <c r="S240" s="165"/>
      <c r="T240" s="165"/>
      <c r="U240" s="165"/>
      <c r="V240" s="165"/>
      <c r="W240" s="165"/>
    </row>
    <row r="241" spans="1:23" ht="11.25" customHeight="1" x14ac:dyDescent="0.25">
      <c r="A241" s="165"/>
      <c r="B241" s="165"/>
      <c r="C241" s="165"/>
      <c r="D241" s="165"/>
      <c r="E241" s="165"/>
      <c r="F241" s="165"/>
      <c r="G241" s="165"/>
      <c r="H241" s="165"/>
      <c r="I241" s="165"/>
      <c r="J241" s="165"/>
      <c r="K241" s="165"/>
      <c r="L241" s="165"/>
      <c r="M241" s="165"/>
      <c r="N241" s="165"/>
      <c r="O241" s="165"/>
      <c r="P241" s="165"/>
      <c r="Q241" s="165"/>
      <c r="R241" s="165"/>
      <c r="S241" s="165"/>
      <c r="T241" s="165"/>
      <c r="U241" s="165"/>
      <c r="V241" s="165"/>
      <c r="W241" s="165"/>
    </row>
    <row r="242" spans="1:23" ht="11.25" customHeight="1" x14ac:dyDescent="0.25">
      <c r="A242" s="165"/>
      <c r="B242" s="165"/>
      <c r="C242" s="165"/>
      <c r="D242" s="165"/>
      <c r="E242" s="165"/>
      <c r="F242" s="165"/>
      <c r="G242" s="165"/>
      <c r="H242" s="165"/>
      <c r="I242" s="165"/>
      <c r="J242" s="165"/>
      <c r="K242" s="165"/>
      <c r="L242" s="165"/>
      <c r="M242" s="165"/>
      <c r="N242" s="165"/>
      <c r="O242" s="165"/>
      <c r="P242" s="165"/>
      <c r="Q242" s="165"/>
      <c r="R242" s="165"/>
      <c r="S242" s="165"/>
      <c r="T242" s="165"/>
      <c r="U242" s="165"/>
      <c r="V242" s="165"/>
      <c r="W242" s="165"/>
    </row>
    <row r="243" spans="1:23" ht="11.25" customHeight="1" x14ac:dyDescent="0.25">
      <c r="A243" s="165"/>
      <c r="B243" s="165"/>
      <c r="C243" s="165"/>
      <c r="D243" s="165"/>
      <c r="E243" s="165"/>
      <c r="F243" s="165"/>
      <c r="G243" s="165"/>
      <c r="H243" s="165"/>
      <c r="I243" s="165"/>
      <c r="J243" s="165"/>
      <c r="K243" s="165"/>
      <c r="L243" s="165"/>
      <c r="M243" s="165"/>
      <c r="N243" s="165"/>
      <c r="O243" s="165"/>
      <c r="P243" s="165"/>
      <c r="Q243" s="165"/>
      <c r="R243" s="165"/>
      <c r="S243" s="165"/>
      <c r="T243" s="165"/>
      <c r="U243" s="165"/>
      <c r="V243" s="165"/>
      <c r="W243" s="165"/>
    </row>
    <row r="244" spans="1:23" ht="11.25" customHeight="1" x14ac:dyDescent="0.25">
      <c r="A244" s="165"/>
      <c r="B244" s="165"/>
      <c r="C244" s="165"/>
      <c r="D244" s="165"/>
      <c r="E244" s="165"/>
      <c r="F244" s="165"/>
      <c r="G244" s="165"/>
      <c r="H244" s="165"/>
      <c r="I244" s="165"/>
      <c r="J244" s="165"/>
      <c r="K244" s="165"/>
      <c r="L244" s="165"/>
      <c r="M244" s="165"/>
      <c r="N244" s="165"/>
      <c r="O244" s="165"/>
      <c r="P244" s="165"/>
      <c r="Q244" s="165"/>
      <c r="R244" s="165"/>
      <c r="S244" s="165"/>
      <c r="T244" s="165"/>
      <c r="U244" s="165"/>
      <c r="V244" s="165"/>
      <c r="W244" s="165"/>
    </row>
    <row r="245" spans="1:23" ht="11.25" customHeight="1" x14ac:dyDescent="0.25">
      <c r="A245" s="165"/>
      <c r="B245" s="165"/>
      <c r="C245" s="165"/>
      <c r="D245" s="165"/>
      <c r="E245" s="165"/>
      <c r="F245" s="165"/>
      <c r="G245" s="165"/>
      <c r="H245" s="165"/>
      <c r="I245" s="165"/>
      <c r="J245" s="165"/>
      <c r="K245" s="165"/>
      <c r="L245" s="165"/>
      <c r="M245" s="165"/>
      <c r="N245" s="165"/>
      <c r="O245" s="165"/>
      <c r="P245" s="165"/>
      <c r="Q245" s="165"/>
      <c r="R245" s="165"/>
      <c r="S245" s="165"/>
      <c r="T245" s="165"/>
      <c r="U245" s="165"/>
      <c r="V245" s="165"/>
      <c r="W245" s="165"/>
    </row>
    <row r="246" spans="1:23" ht="11.25" customHeight="1" x14ac:dyDescent="0.25">
      <c r="A246" s="165"/>
      <c r="B246" s="165"/>
      <c r="C246" s="165"/>
      <c r="D246" s="165"/>
      <c r="E246" s="165"/>
      <c r="F246" s="165"/>
      <c r="G246" s="165"/>
      <c r="H246" s="165"/>
      <c r="I246" s="165"/>
      <c r="J246" s="165"/>
      <c r="K246" s="165"/>
      <c r="L246" s="165"/>
      <c r="M246" s="165"/>
      <c r="N246" s="165"/>
      <c r="O246" s="165"/>
      <c r="P246" s="165"/>
      <c r="Q246" s="165"/>
      <c r="R246" s="165"/>
      <c r="S246" s="165"/>
      <c r="T246" s="165"/>
      <c r="U246" s="165"/>
      <c r="V246" s="165"/>
      <c r="W246" s="165"/>
    </row>
    <row r="247" spans="1:23" ht="11.25" customHeight="1" x14ac:dyDescent="0.25">
      <c r="A247" s="165"/>
      <c r="B247" s="165"/>
      <c r="C247" s="165"/>
      <c r="D247" s="165"/>
      <c r="E247" s="165"/>
      <c r="F247" s="165"/>
      <c r="G247" s="165"/>
      <c r="H247" s="165"/>
      <c r="I247" s="165"/>
      <c r="J247" s="165"/>
      <c r="K247" s="165"/>
      <c r="L247" s="165"/>
      <c r="M247" s="165"/>
      <c r="N247" s="165"/>
      <c r="O247" s="165"/>
      <c r="P247" s="165"/>
      <c r="Q247" s="165"/>
      <c r="R247" s="165"/>
      <c r="S247" s="165"/>
      <c r="T247" s="165"/>
      <c r="U247" s="165"/>
      <c r="V247" s="165"/>
      <c r="W247" s="165"/>
    </row>
    <row r="248" spans="1:23" ht="11.25" customHeight="1" x14ac:dyDescent="0.25">
      <c r="A248" s="165"/>
      <c r="B248" s="165"/>
      <c r="C248" s="165"/>
      <c r="D248" s="165"/>
      <c r="E248" s="165"/>
      <c r="F248" s="165"/>
      <c r="G248" s="165"/>
      <c r="H248" s="165"/>
      <c r="I248" s="165"/>
      <c r="J248" s="165"/>
      <c r="K248" s="165"/>
      <c r="L248" s="165"/>
      <c r="M248" s="165"/>
      <c r="N248" s="165"/>
      <c r="O248" s="165"/>
      <c r="P248" s="165"/>
      <c r="Q248" s="165"/>
      <c r="R248" s="165"/>
      <c r="S248" s="165"/>
      <c r="T248" s="165"/>
      <c r="U248" s="165"/>
      <c r="V248" s="165"/>
      <c r="W248" s="165"/>
    </row>
    <row r="249" spans="1:23" ht="11.25" customHeight="1" x14ac:dyDescent="0.25">
      <c r="A249" s="165"/>
      <c r="B249" s="165"/>
      <c r="C249" s="165"/>
      <c r="D249" s="165"/>
      <c r="E249" s="165"/>
      <c r="F249" s="165"/>
      <c r="G249" s="165"/>
      <c r="H249" s="165"/>
      <c r="I249" s="165"/>
      <c r="J249" s="165"/>
      <c r="K249" s="165"/>
      <c r="L249" s="165"/>
      <c r="M249" s="165"/>
      <c r="N249" s="165"/>
      <c r="O249" s="165"/>
      <c r="P249" s="165"/>
      <c r="Q249" s="165"/>
      <c r="R249" s="165"/>
      <c r="S249" s="165"/>
      <c r="T249" s="165"/>
      <c r="U249" s="165"/>
      <c r="V249" s="165"/>
      <c r="W249" s="165"/>
    </row>
    <row r="250" spans="1:23" ht="11.25" customHeight="1" x14ac:dyDescent="0.25">
      <c r="A250" s="165"/>
      <c r="B250" s="165"/>
      <c r="C250" s="165"/>
      <c r="D250" s="165"/>
      <c r="E250" s="165"/>
      <c r="F250" s="165"/>
      <c r="G250" s="165"/>
      <c r="H250" s="165"/>
      <c r="I250" s="165"/>
      <c r="J250" s="165"/>
      <c r="K250" s="165"/>
      <c r="L250" s="165"/>
      <c r="M250" s="165"/>
      <c r="N250" s="165"/>
      <c r="O250" s="165"/>
      <c r="P250" s="165"/>
      <c r="Q250" s="165"/>
      <c r="R250" s="165"/>
      <c r="S250" s="165"/>
      <c r="T250" s="165"/>
      <c r="U250" s="165"/>
      <c r="V250" s="165"/>
      <c r="W250" s="165"/>
    </row>
    <row r="251" spans="1:23" ht="11.25" customHeight="1" x14ac:dyDescent="0.25">
      <c r="A251" s="165"/>
      <c r="B251" s="165"/>
      <c r="C251" s="165"/>
      <c r="D251" s="165"/>
      <c r="E251" s="165"/>
      <c r="F251" s="165"/>
      <c r="G251" s="165"/>
      <c r="H251" s="165"/>
      <c r="I251" s="165"/>
      <c r="J251" s="165"/>
      <c r="K251" s="165"/>
      <c r="L251" s="165"/>
      <c r="M251" s="165"/>
      <c r="N251" s="165"/>
      <c r="O251" s="165"/>
      <c r="P251" s="165"/>
      <c r="Q251" s="165"/>
      <c r="R251" s="165"/>
      <c r="S251" s="165"/>
      <c r="T251" s="165"/>
      <c r="U251" s="165"/>
      <c r="V251" s="165"/>
      <c r="W251" s="165"/>
    </row>
    <row r="252" spans="1:23" ht="11.25" customHeight="1" x14ac:dyDescent="0.25">
      <c r="A252" s="165"/>
      <c r="B252" s="165"/>
      <c r="C252" s="165"/>
      <c r="D252" s="165"/>
      <c r="E252" s="165"/>
      <c r="F252" s="165"/>
      <c r="G252" s="165"/>
      <c r="H252" s="165"/>
      <c r="I252" s="165"/>
      <c r="J252" s="165"/>
      <c r="K252" s="165"/>
      <c r="L252" s="165"/>
      <c r="M252" s="165"/>
      <c r="N252" s="165"/>
      <c r="O252" s="165"/>
      <c r="P252" s="165"/>
      <c r="Q252" s="165"/>
      <c r="R252" s="165"/>
      <c r="S252" s="165"/>
      <c r="T252" s="165"/>
      <c r="U252" s="165"/>
      <c r="V252" s="165"/>
      <c r="W252" s="165"/>
    </row>
    <row r="253" spans="1:23" ht="11.25" customHeight="1" x14ac:dyDescent="0.25">
      <c r="A253" s="165"/>
      <c r="B253" s="165"/>
      <c r="C253" s="165"/>
      <c r="D253" s="165"/>
      <c r="E253" s="165"/>
      <c r="F253" s="165"/>
      <c r="G253" s="165"/>
      <c r="H253" s="165"/>
      <c r="I253" s="165"/>
      <c r="J253" s="165"/>
      <c r="K253" s="165"/>
      <c r="L253" s="165"/>
      <c r="M253" s="165"/>
      <c r="N253" s="165"/>
      <c r="O253" s="165"/>
      <c r="P253" s="165"/>
      <c r="Q253" s="165"/>
      <c r="R253" s="165"/>
      <c r="S253" s="165"/>
      <c r="T253" s="165"/>
      <c r="U253" s="165"/>
      <c r="V253" s="165"/>
      <c r="W253" s="165"/>
    </row>
    <row r="254" spans="1:23" ht="11.25" customHeight="1" x14ac:dyDescent="0.25">
      <c r="A254" s="165"/>
      <c r="B254" s="165"/>
      <c r="C254" s="165"/>
      <c r="D254" s="165"/>
      <c r="E254" s="165"/>
      <c r="F254" s="165"/>
      <c r="G254" s="165"/>
      <c r="H254" s="165"/>
      <c r="I254" s="165"/>
      <c r="J254" s="165"/>
      <c r="K254" s="165"/>
      <c r="L254" s="165"/>
      <c r="M254" s="165"/>
      <c r="N254" s="165"/>
      <c r="O254" s="165"/>
      <c r="P254" s="165"/>
      <c r="Q254" s="165"/>
      <c r="R254" s="165"/>
      <c r="S254" s="165"/>
      <c r="T254" s="165"/>
      <c r="U254" s="165"/>
      <c r="V254" s="165"/>
      <c r="W254" s="165"/>
    </row>
    <row r="255" spans="1:23" ht="11.25" customHeight="1" x14ac:dyDescent="0.25">
      <c r="A255" s="165"/>
      <c r="B255" s="165"/>
      <c r="C255" s="165"/>
      <c r="D255" s="165"/>
      <c r="E255" s="165"/>
      <c r="F255" s="165"/>
      <c r="G255" s="165"/>
      <c r="H255" s="165"/>
      <c r="I255" s="165"/>
      <c r="J255" s="165"/>
      <c r="K255" s="165"/>
      <c r="L255" s="165"/>
      <c r="M255" s="165"/>
      <c r="N255" s="165"/>
      <c r="O255" s="165"/>
      <c r="P255" s="165"/>
      <c r="Q255" s="165"/>
      <c r="R255" s="165"/>
      <c r="S255" s="165"/>
      <c r="T255" s="165"/>
      <c r="U255" s="165"/>
      <c r="V255" s="165"/>
      <c r="W255" s="165"/>
    </row>
    <row r="256" spans="1:23" ht="11.25" customHeight="1" x14ac:dyDescent="0.25">
      <c r="A256" s="165"/>
      <c r="B256" s="165"/>
      <c r="C256" s="165"/>
      <c r="D256" s="165"/>
      <c r="E256" s="165"/>
      <c r="F256" s="165"/>
      <c r="G256" s="165"/>
      <c r="H256" s="165"/>
      <c r="I256" s="165"/>
      <c r="J256" s="165"/>
      <c r="K256" s="165"/>
      <c r="L256" s="165"/>
      <c r="M256" s="165"/>
      <c r="N256" s="165"/>
      <c r="O256" s="165"/>
      <c r="P256" s="165"/>
      <c r="Q256" s="165"/>
      <c r="R256" s="165"/>
      <c r="S256" s="165"/>
      <c r="T256" s="165"/>
      <c r="U256" s="165"/>
      <c r="V256" s="165"/>
      <c r="W256" s="165"/>
    </row>
    <row r="257" spans="1:23" ht="11.25" customHeight="1" x14ac:dyDescent="0.25">
      <c r="A257" s="165"/>
      <c r="B257" s="165"/>
      <c r="C257" s="165"/>
      <c r="D257" s="165"/>
      <c r="E257" s="165"/>
      <c r="F257" s="165"/>
      <c r="G257" s="165"/>
      <c r="H257" s="165"/>
      <c r="I257" s="165"/>
      <c r="J257" s="165"/>
      <c r="K257" s="165"/>
      <c r="L257" s="165"/>
      <c r="M257" s="165"/>
      <c r="N257" s="165"/>
      <c r="O257" s="165"/>
      <c r="P257" s="165"/>
      <c r="Q257" s="165"/>
      <c r="R257" s="165"/>
      <c r="S257" s="165"/>
      <c r="T257" s="165"/>
      <c r="U257" s="165"/>
      <c r="V257" s="165"/>
      <c r="W257" s="165"/>
    </row>
    <row r="258" spans="1:23" ht="11.25" customHeight="1" x14ac:dyDescent="0.25">
      <c r="A258" s="165"/>
      <c r="B258" s="165"/>
      <c r="C258" s="165"/>
      <c r="D258" s="165"/>
      <c r="E258" s="165"/>
      <c r="F258" s="165"/>
      <c r="G258" s="165"/>
      <c r="H258" s="165"/>
      <c r="I258" s="165"/>
      <c r="J258" s="165"/>
      <c r="K258" s="165"/>
      <c r="L258" s="165"/>
      <c r="M258" s="165"/>
      <c r="N258" s="165"/>
      <c r="O258" s="165"/>
      <c r="P258" s="165"/>
      <c r="Q258" s="165"/>
      <c r="R258" s="165"/>
      <c r="S258" s="165"/>
      <c r="T258" s="165"/>
      <c r="U258" s="165"/>
      <c r="V258" s="165"/>
      <c r="W258" s="165"/>
    </row>
    <row r="259" spans="1:23" ht="11.25" customHeight="1" x14ac:dyDescent="0.25">
      <c r="A259" s="165"/>
      <c r="B259" s="165"/>
      <c r="C259" s="165"/>
      <c r="D259" s="165"/>
      <c r="E259" s="165"/>
      <c r="F259" s="165"/>
      <c r="G259" s="165"/>
      <c r="H259" s="165"/>
      <c r="I259" s="165"/>
      <c r="J259" s="165"/>
      <c r="K259" s="165"/>
      <c r="L259" s="165"/>
      <c r="M259" s="165"/>
      <c r="N259" s="165"/>
      <c r="O259" s="165"/>
      <c r="P259" s="165"/>
      <c r="Q259" s="165"/>
      <c r="R259" s="165"/>
      <c r="S259" s="165"/>
      <c r="T259" s="165"/>
      <c r="U259" s="165"/>
      <c r="V259" s="165"/>
      <c r="W259" s="165"/>
    </row>
    <row r="260" spans="1:23" ht="11.25" customHeight="1" x14ac:dyDescent="0.25">
      <c r="A260" s="165"/>
      <c r="B260" s="165"/>
      <c r="C260" s="165"/>
      <c r="D260" s="165"/>
      <c r="E260" s="165"/>
      <c r="F260" s="165"/>
      <c r="G260" s="165"/>
      <c r="H260" s="165"/>
      <c r="I260" s="165"/>
      <c r="J260" s="165"/>
      <c r="K260" s="165"/>
      <c r="L260" s="165"/>
      <c r="M260" s="165"/>
      <c r="N260" s="165"/>
      <c r="O260" s="165"/>
      <c r="P260" s="165"/>
      <c r="Q260" s="165"/>
      <c r="R260" s="165"/>
      <c r="S260" s="165"/>
      <c r="T260" s="165"/>
      <c r="U260" s="165"/>
      <c r="V260" s="165"/>
      <c r="W260" s="165"/>
    </row>
    <row r="261" spans="1:23" ht="11.25" customHeight="1" x14ac:dyDescent="0.25">
      <c r="A261" s="165"/>
      <c r="B261" s="165"/>
      <c r="C261" s="165"/>
      <c r="D261" s="165"/>
      <c r="E261" s="165"/>
      <c r="F261" s="165"/>
      <c r="G261" s="165"/>
      <c r="H261" s="165"/>
      <c r="I261" s="165"/>
      <c r="J261" s="165"/>
      <c r="K261" s="165"/>
      <c r="L261" s="165"/>
      <c r="M261" s="165"/>
      <c r="N261" s="165"/>
      <c r="O261" s="165"/>
      <c r="P261" s="165"/>
      <c r="Q261" s="165"/>
      <c r="R261" s="165"/>
      <c r="S261" s="165"/>
      <c r="T261" s="165"/>
      <c r="U261" s="165"/>
      <c r="V261" s="165"/>
      <c r="W261" s="165"/>
    </row>
    <row r="262" spans="1:23" ht="11.25" customHeight="1" x14ac:dyDescent="0.25">
      <c r="A262" s="165"/>
      <c r="B262" s="165"/>
      <c r="C262" s="165"/>
      <c r="D262" s="165"/>
      <c r="E262" s="165"/>
      <c r="F262" s="165"/>
      <c r="G262" s="165"/>
      <c r="H262" s="165"/>
      <c r="I262" s="165"/>
      <c r="J262" s="165"/>
      <c r="K262" s="165"/>
      <c r="L262" s="165"/>
      <c r="M262" s="165"/>
      <c r="N262" s="165"/>
      <c r="O262" s="165"/>
      <c r="P262" s="165"/>
      <c r="Q262" s="165"/>
      <c r="R262" s="165"/>
      <c r="S262" s="165"/>
      <c r="T262" s="165"/>
      <c r="U262" s="165"/>
      <c r="V262" s="165"/>
      <c r="W262" s="165"/>
    </row>
    <row r="263" spans="1:23" ht="11.25" customHeight="1" x14ac:dyDescent="0.25">
      <c r="A263" s="165"/>
      <c r="B263" s="165"/>
      <c r="C263" s="165"/>
      <c r="D263" s="165"/>
      <c r="E263" s="165"/>
      <c r="F263" s="165"/>
      <c r="G263" s="165"/>
      <c r="H263" s="165"/>
      <c r="I263" s="165"/>
      <c r="J263" s="165"/>
      <c r="K263" s="165"/>
      <c r="L263" s="165"/>
      <c r="M263" s="165"/>
      <c r="N263" s="165"/>
      <c r="O263" s="165"/>
      <c r="P263" s="165"/>
      <c r="Q263" s="165"/>
      <c r="R263" s="165"/>
      <c r="S263" s="165"/>
      <c r="T263" s="165"/>
      <c r="U263" s="165"/>
      <c r="V263" s="165"/>
      <c r="W263" s="165"/>
    </row>
    <row r="264" spans="1:23" ht="11.25" customHeight="1" x14ac:dyDescent="0.25">
      <c r="A264" s="165"/>
      <c r="B264" s="165"/>
      <c r="C264" s="165"/>
      <c r="D264" s="165"/>
      <c r="E264" s="165"/>
      <c r="F264" s="165"/>
      <c r="G264" s="165"/>
      <c r="H264" s="165"/>
      <c r="I264" s="165"/>
      <c r="J264" s="165"/>
      <c r="K264" s="165"/>
      <c r="L264" s="165"/>
      <c r="M264" s="165"/>
      <c r="N264" s="165"/>
      <c r="O264" s="165"/>
      <c r="P264" s="165"/>
      <c r="Q264" s="165"/>
      <c r="R264" s="165"/>
      <c r="S264" s="165"/>
      <c r="T264" s="165"/>
      <c r="U264" s="165"/>
      <c r="V264" s="165"/>
      <c r="W264" s="165"/>
    </row>
    <row r="265" spans="1:23" ht="11.25" customHeight="1" x14ac:dyDescent="0.25">
      <c r="A265" s="165"/>
      <c r="B265" s="165"/>
      <c r="C265" s="165"/>
      <c r="D265" s="165"/>
      <c r="E265" s="165"/>
      <c r="F265" s="165"/>
      <c r="G265" s="165"/>
      <c r="H265" s="165"/>
      <c r="I265" s="165"/>
      <c r="J265" s="165"/>
      <c r="K265" s="165"/>
      <c r="L265" s="165"/>
      <c r="M265" s="165"/>
      <c r="N265" s="165"/>
      <c r="O265" s="165"/>
      <c r="P265" s="165"/>
      <c r="Q265" s="165"/>
      <c r="R265" s="165"/>
      <c r="S265" s="165"/>
      <c r="T265" s="165"/>
      <c r="U265" s="165"/>
      <c r="V265" s="165"/>
      <c r="W265" s="165"/>
    </row>
    <row r="266" spans="1:23" ht="11.25" customHeight="1" x14ac:dyDescent="0.25">
      <c r="A266" s="165"/>
      <c r="B266" s="165"/>
      <c r="C266" s="165"/>
      <c r="D266" s="165"/>
      <c r="E266" s="165"/>
      <c r="F266" s="165"/>
      <c r="G266" s="165"/>
      <c r="H266" s="165"/>
      <c r="I266" s="165"/>
      <c r="J266" s="165"/>
      <c r="K266" s="165"/>
      <c r="L266" s="165"/>
      <c r="M266" s="165"/>
      <c r="N266" s="165"/>
      <c r="O266" s="165"/>
      <c r="P266" s="165"/>
      <c r="Q266" s="165"/>
      <c r="R266" s="165"/>
      <c r="S266" s="165"/>
      <c r="T266" s="165"/>
      <c r="U266" s="165"/>
      <c r="V266" s="165"/>
      <c r="W266" s="165"/>
    </row>
    <row r="267" spans="1:23" ht="11.25" customHeight="1" x14ac:dyDescent="0.25">
      <c r="A267" s="165"/>
      <c r="B267" s="165"/>
      <c r="C267" s="165"/>
      <c r="D267" s="165"/>
      <c r="E267" s="165"/>
      <c r="F267" s="165"/>
      <c r="G267" s="165"/>
      <c r="H267" s="165"/>
      <c r="I267" s="165"/>
      <c r="J267" s="165"/>
      <c r="K267" s="165"/>
      <c r="L267" s="165"/>
      <c r="M267" s="165"/>
      <c r="N267" s="165"/>
      <c r="O267" s="165"/>
      <c r="P267" s="165"/>
      <c r="Q267" s="165"/>
      <c r="R267" s="165"/>
      <c r="S267" s="165"/>
      <c r="T267" s="165"/>
      <c r="U267" s="165"/>
      <c r="V267" s="165"/>
      <c r="W267" s="165"/>
    </row>
    <row r="268" spans="1:23" ht="11.25" customHeight="1" x14ac:dyDescent="0.25">
      <c r="A268" s="165"/>
      <c r="B268" s="165"/>
      <c r="C268" s="165"/>
      <c r="D268" s="165"/>
      <c r="E268" s="165"/>
      <c r="F268" s="165"/>
      <c r="G268" s="165"/>
      <c r="H268" s="165"/>
      <c r="I268" s="165"/>
      <c r="J268" s="165"/>
      <c r="K268" s="165"/>
      <c r="L268" s="165"/>
      <c r="M268" s="165"/>
      <c r="N268" s="165"/>
      <c r="O268" s="165"/>
      <c r="P268" s="165"/>
      <c r="Q268" s="165"/>
      <c r="R268" s="165"/>
      <c r="S268" s="165"/>
      <c r="T268" s="165"/>
      <c r="U268" s="165"/>
      <c r="V268" s="165"/>
      <c r="W268" s="165"/>
    </row>
    <row r="269" spans="1:23" ht="11.25" customHeight="1" x14ac:dyDescent="0.25">
      <c r="A269" s="165"/>
      <c r="B269" s="165"/>
      <c r="C269" s="165"/>
      <c r="D269" s="165"/>
      <c r="E269" s="165"/>
      <c r="F269" s="165"/>
      <c r="G269" s="165"/>
      <c r="H269" s="165"/>
      <c r="I269" s="165"/>
      <c r="J269" s="165"/>
      <c r="K269" s="165"/>
      <c r="L269" s="165"/>
      <c r="M269" s="165"/>
      <c r="N269" s="165"/>
      <c r="O269" s="165"/>
      <c r="P269" s="165"/>
      <c r="Q269" s="165"/>
      <c r="R269" s="165"/>
      <c r="S269" s="165"/>
      <c r="T269" s="165"/>
      <c r="U269" s="165"/>
      <c r="V269" s="165"/>
      <c r="W269" s="165"/>
    </row>
    <row r="270" spans="1:23" ht="11.25" customHeight="1" x14ac:dyDescent="0.25">
      <c r="A270" s="165"/>
      <c r="B270" s="165"/>
      <c r="C270" s="165"/>
      <c r="D270" s="165"/>
      <c r="E270" s="165"/>
      <c r="F270" s="165"/>
      <c r="G270" s="165"/>
      <c r="H270" s="165"/>
      <c r="I270" s="165"/>
      <c r="J270" s="165"/>
      <c r="K270" s="165"/>
      <c r="L270" s="165"/>
      <c r="M270" s="165"/>
      <c r="N270" s="165"/>
      <c r="O270" s="165"/>
      <c r="P270" s="165"/>
      <c r="Q270" s="165"/>
      <c r="R270" s="165"/>
      <c r="S270" s="165"/>
      <c r="T270" s="165"/>
      <c r="U270" s="165"/>
      <c r="V270" s="165"/>
      <c r="W270" s="165"/>
    </row>
    <row r="271" spans="1:23" ht="11.25" customHeight="1" x14ac:dyDescent="0.25">
      <c r="A271" s="165"/>
      <c r="B271" s="165"/>
      <c r="C271" s="165"/>
      <c r="D271" s="165"/>
      <c r="E271" s="165"/>
      <c r="F271" s="165"/>
      <c r="G271" s="165"/>
      <c r="H271" s="165"/>
      <c r="I271" s="165"/>
      <c r="J271" s="165"/>
      <c r="K271" s="165"/>
      <c r="L271" s="165"/>
      <c r="M271" s="165"/>
      <c r="N271" s="165"/>
      <c r="O271" s="165"/>
      <c r="P271" s="165"/>
      <c r="Q271" s="165"/>
      <c r="R271" s="165"/>
      <c r="S271" s="165"/>
      <c r="T271" s="165"/>
      <c r="U271" s="165"/>
      <c r="V271" s="165"/>
      <c r="W271" s="165"/>
    </row>
    <row r="272" spans="1:23" ht="11.25" customHeight="1" x14ac:dyDescent="0.25">
      <c r="A272" s="165"/>
      <c r="B272" s="165"/>
      <c r="C272" s="165"/>
      <c r="D272" s="165"/>
      <c r="E272" s="165"/>
      <c r="F272" s="165"/>
      <c r="G272" s="165"/>
      <c r="H272" s="165"/>
      <c r="I272" s="165"/>
      <c r="J272" s="165"/>
      <c r="K272" s="165"/>
      <c r="L272" s="165"/>
      <c r="M272" s="165"/>
      <c r="N272" s="165"/>
      <c r="O272" s="165"/>
      <c r="P272" s="165"/>
      <c r="Q272" s="165"/>
      <c r="R272" s="165"/>
      <c r="S272" s="165"/>
      <c r="T272" s="165"/>
      <c r="U272" s="165"/>
      <c r="V272" s="165"/>
      <c r="W272" s="165"/>
    </row>
    <row r="273" spans="1:23" ht="11.25" customHeight="1" x14ac:dyDescent="0.25">
      <c r="A273" s="165"/>
      <c r="B273" s="165"/>
      <c r="C273" s="165"/>
      <c r="D273" s="165"/>
      <c r="E273" s="165"/>
      <c r="F273" s="165"/>
      <c r="G273" s="165"/>
      <c r="H273" s="165"/>
      <c r="I273" s="165"/>
      <c r="J273" s="165"/>
      <c r="K273" s="165"/>
      <c r="L273" s="165"/>
      <c r="M273" s="165"/>
      <c r="N273" s="165"/>
      <c r="O273" s="165"/>
      <c r="P273" s="165"/>
      <c r="Q273" s="165"/>
      <c r="R273" s="165"/>
      <c r="S273" s="165"/>
      <c r="T273" s="165"/>
      <c r="U273" s="165"/>
      <c r="V273" s="165"/>
      <c r="W273" s="165"/>
    </row>
    <row r="274" spans="1:23" ht="11.25" customHeight="1" x14ac:dyDescent="0.25">
      <c r="A274" s="165"/>
      <c r="B274" s="165"/>
      <c r="C274" s="165"/>
      <c r="D274" s="165"/>
      <c r="E274" s="165"/>
      <c r="F274" s="165"/>
      <c r="G274" s="165"/>
      <c r="H274" s="165"/>
      <c r="I274" s="165"/>
      <c r="J274" s="165"/>
      <c r="K274" s="165"/>
      <c r="L274" s="165"/>
      <c r="M274" s="165"/>
      <c r="N274" s="165"/>
      <c r="O274" s="165"/>
      <c r="P274" s="165"/>
      <c r="Q274" s="165"/>
      <c r="R274" s="165"/>
      <c r="S274" s="165"/>
      <c r="T274" s="165"/>
      <c r="U274" s="165"/>
      <c r="V274" s="165"/>
      <c r="W274" s="165"/>
    </row>
    <row r="275" spans="1:23" ht="11.25" customHeight="1" x14ac:dyDescent="0.25">
      <c r="A275" s="165"/>
      <c r="B275" s="165"/>
      <c r="C275" s="165"/>
      <c r="D275" s="165"/>
      <c r="E275" s="165"/>
      <c r="F275" s="165"/>
      <c r="G275" s="165"/>
      <c r="H275" s="165"/>
      <c r="I275" s="165"/>
      <c r="J275" s="165"/>
      <c r="K275" s="165"/>
      <c r="L275" s="165"/>
      <c r="M275" s="165"/>
      <c r="N275" s="165"/>
      <c r="O275" s="165"/>
      <c r="P275" s="165"/>
      <c r="Q275" s="165"/>
      <c r="R275" s="165"/>
      <c r="S275" s="165"/>
      <c r="T275" s="165"/>
      <c r="U275" s="165"/>
      <c r="V275" s="165"/>
      <c r="W275" s="165"/>
    </row>
    <row r="276" spans="1:23" ht="11.25" customHeight="1" x14ac:dyDescent="0.25">
      <c r="A276" s="165"/>
      <c r="B276" s="165"/>
      <c r="C276" s="165"/>
      <c r="D276" s="165"/>
      <c r="E276" s="165"/>
      <c r="F276" s="165"/>
      <c r="G276" s="165"/>
      <c r="H276" s="165"/>
      <c r="I276" s="165"/>
      <c r="J276" s="165"/>
      <c r="K276" s="165"/>
      <c r="L276" s="165"/>
      <c r="M276" s="165"/>
      <c r="N276" s="165"/>
      <c r="O276" s="165"/>
      <c r="P276" s="165"/>
      <c r="Q276" s="165"/>
      <c r="R276" s="165"/>
      <c r="S276" s="165"/>
      <c r="T276" s="165"/>
      <c r="U276" s="165"/>
      <c r="V276" s="165"/>
      <c r="W276" s="165"/>
    </row>
    <row r="277" spans="1:23" ht="15.75" customHeight="1" x14ac:dyDescent="0.25"/>
    <row r="278" spans="1:23" ht="15.75" customHeight="1" x14ac:dyDescent="0.25"/>
    <row r="279" spans="1:23" ht="15.75" customHeight="1" x14ac:dyDescent="0.25"/>
    <row r="280" spans="1:23" ht="15.75" customHeight="1" x14ac:dyDescent="0.25"/>
    <row r="281" spans="1:23" ht="15.75" customHeight="1" x14ac:dyDescent="0.25"/>
    <row r="282" spans="1:23" ht="15.75" customHeight="1" x14ac:dyDescent="0.25"/>
    <row r="283" spans="1:23" ht="15.75" customHeight="1" x14ac:dyDescent="0.25"/>
    <row r="284" spans="1:23" ht="15.75" customHeight="1" x14ac:dyDescent="0.25"/>
    <row r="285" spans="1:23" ht="15.75" customHeight="1" x14ac:dyDescent="0.25"/>
    <row r="286" spans="1:23" ht="15.75" customHeight="1" x14ac:dyDescent="0.25"/>
    <row r="287" spans="1:23" ht="15.75" customHeight="1" x14ac:dyDescent="0.25"/>
    <row r="288" spans="1:23"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6">
    <mergeCell ref="A234:B234"/>
    <mergeCell ref="A235:B235"/>
    <mergeCell ref="A239:B239"/>
    <mergeCell ref="A240:B240"/>
    <mergeCell ref="S29:S30"/>
    <mergeCell ref="A31:S31"/>
    <mergeCell ref="A95:S95"/>
    <mergeCell ref="A158:S158"/>
    <mergeCell ref="B225:D225"/>
    <mergeCell ref="B226:D226"/>
    <mergeCell ref="B227:D227"/>
    <mergeCell ref="F29:F30"/>
    <mergeCell ref="G29:G30"/>
    <mergeCell ref="H29:H30"/>
    <mergeCell ref="I29:I30"/>
    <mergeCell ref="K29:K30"/>
    <mergeCell ref="A28:B30"/>
    <mergeCell ref="Q28:R28"/>
    <mergeCell ref="B228:D228"/>
    <mergeCell ref="F228:G228"/>
    <mergeCell ref="B229:D229"/>
    <mergeCell ref="F229:G229"/>
    <mergeCell ref="F28:J28"/>
    <mergeCell ref="K28:P28"/>
    <mergeCell ref="D28:E28"/>
    <mergeCell ref="M29:M30"/>
    <mergeCell ref="N29:N30"/>
    <mergeCell ref="O29:O30"/>
    <mergeCell ref="P29:P30"/>
    <mergeCell ref="Q29:Q30"/>
    <mergeCell ref="R29:R30"/>
    <mergeCell ref="A27:B27"/>
    <mergeCell ref="D27:E27"/>
    <mergeCell ref="F27:J27"/>
    <mergeCell ref="K27:P27"/>
    <mergeCell ref="Q27:S27"/>
  </mergeCells>
  <dataValidations count="3">
    <dataValidation type="list" allowBlank="1" showErrorMessage="1" sqref="C32:C42 C44:C53 C55:C68 C70:C76 C79:C93 C96:C156 C159:D159 C160:C218" xr:uid="{00000000-0002-0000-0700-000000000000}">
      <formula1>$C$17:$C$18</formula1>
    </dataValidation>
    <dataValidation type="list" allowBlank="1" showErrorMessage="1" sqref="I32:I74 I76:I93 I96:I156 I159:I218" xr:uid="{00000000-0002-0000-0700-000001000000}">
      <formula1>#REF!</formula1>
    </dataValidation>
    <dataValidation type="list" allowBlank="1" showErrorMessage="1" sqref="C94 C157 C219" xr:uid="{00000000-0002-0000-0700-000002000000}">
      <formula1>$C$29:$C$30</formula1>
    </dataValidation>
  </dataValidations>
  <printOptions horizontalCentered="1"/>
  <pageMargins left="0" right="0" top="0.75" bottom="0.5" header="0" footer="0"/>
  <pageSetup paperSize="14" orientation="landscape"/>
  <rowBreaks count="2" manualBreakCount="2">
    <brk id="50" man="1"/>
    <brk id="171" man="1"/>
  </rowBreak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000"/>
  <sheetViews>
    <sheetView topLeftCell="A16" workbookViewId="0"/>
  </sheetViews>
  <sheetFormatPr defaultColWidth="12.59765625" defaultRowHeight="15" customHeight="1" x14ac:dyDescent="0.25"/>
  <cols>
    <col min="1" max="1" width="2.59765625" customWidth="1"/>
    <col min="2" max="2" width="30.59765625" customWidth="1"/>
    <col min="3" max="3" width="13.5" customWidth="1"/>
    <col min="4" max="4" width="15.09765625" customWidth="1"/>
    <col min="5" max="5" width="16.5" customWidth="1"/>
    <col min="6" max="6" width="11.3984375" customWidth="1"/>
    <col min="7" max="7" width="21.19921875" customWidth="1"/>
    <col min="8" max="8" width="14.09765625" customWidth="1"/>
    <col min="9" max="13" width="6.59765625" customWidth="1"/>
    <col min="14" max="25" width="8.59765625" customWidth="1"/>
  </cols>
  <sheetData>
    <row r="1" spans="1:25" ht="14.25" customHeight="1" x14ac:dyDescent="0.25">
      <c r="A1" s="6" t="s">
        <v>2832</v>
      </c>
      <c r="B1" s="173"/>
      <c r="C1" s="174"/>
      <c r="D1" s="174"/>
      <c r="E1" s="174"/>
      <c r="F1" s="174"/>
      <c r="G1" s="284"/>
      <c r="H1" s="174"/>
      <c r="I1" s="174"/>
      <c r="J1" s="174"/>
      <c r="K1" s="174"/>
      <c r="L1" s="174"/>
      <c r="M1" s="174"/>
      <c r="N1" s="165"/>
      <c r="O1" s="165"/>
      <c r="P1" s="165"/>
      <c r="Q1" s="165"/>
      <c r="R1" s="165"/>
      <c r="S1" s="165"/>
      <c r="T1" s="165"/>
      <c r="U1" s="165"/>
      <c r="V1" s="165"/>
      <c r="W1" s="165"/>
      <c r="X1" s="165"/>
      <c r="Y1" s="165"/>
    </row>
    <row r="2" spans="1:25" ht="14.25" customHeight="1" x14ac:dyDescent="0.25">
      <c r="A2" s="6" t="s">
        <v>2833</v>
      </c>
      <c r="B2" s="173"/>
      <c r="C2" s="174"/>
      <c r="D2" s="174"/>
      <c r="E2" s="174"/>
      <c r="F2" s="174"/>
      <c r="G2" s="284"/>
      <c r="H2" s="174"/>
      <c r="I2" s="174"/>
      <c r="J2" s="174"/>
      <c r="K2" s="174"/>
      <c r="L2" s="174"/>
      <c r="M2" s="174"/>
      <c r="N2" s="165"/>
      <c r="O2" s="165"/>
      <c r="P2" s="165"/>
      <c r="Q2" s="165"/>
      <c r="R2" s="165"/>
      <c r="S2" s="165"/>
      <c r="T2" s="165"/>
      <c r="U2" s="165"/>
      <c r="V2" s="165"/>
      <c r="W2" s="165"/>
      <c r="X2" s="165"/>
      <c r="Y2" s="165"/>
    </row>
    <row r="3" spans="1:25" ht="14.25" customHeight="1" x14ac:dyDescent="0.25">
      <c r="A3" s="167" t="s">
        <v>2834</v>
      </c>
      <c r="B3" s="173"/>
      <c r="C3" s="174"/>
      <c r="D3" s="174"/>
      <c r="E3" s="174"/>
      <c r="F3" s="174"/>
      <c r="G3" s="284"/>
      <c r="H3" s="174"/>
      <c r="I3" s="174"/>
      <c r="J3" s="174"/>
      <c r="K3" s="174"/>
      <c r="L3" s="174"/>
      <c r="M3" s="174"/>
      <c r="N3" s="165"/>
      <c r="O3" s="165"/>
      <c r="P3" s="165"/>
      <c r="Q3" s="165"/>
      <c r="R3" s="165"/>
      <c r="S3" s="165"/>
      <c r="T3" s="165"/>
      <c r="U3" s="165"/>
      <c r="V3" s="165"/>
      <c r="W3" s="165"/>
      <c r="X3" s="165"/>
      <c r="Y3" s="165"/>
    </row>
    <row r="4" spans="1:25" ht="14.25" customHeight="1" x14ac:dyDescent="0.25">
      <c r="A4" s="165"/>
      <c r="B4" s="173"/>
      <c r="C4" s="174"/>
      <c r="D4" s="174"/>
      <c r="E4" s="174"/>
      <c r="F4" s="174"/>
      <c r="G4" s="284"/>
      <c r="H4" s="174"/>
      <c r="I4" s="174"/>
      <c r="J4" s="174"/>
      <c r="K4" s="174"/>
      <c r="L4" s="174"/>
      <c r="M4" s="174"/>
      <c r="N4" s="165"/>
      <c r="O4" s="165"/>
      <c r="P4" s="165"/>
      <c r="Q4" s="165"/>
      <c r="R4" s="165"/>
      <c r="S4" s="165"/>
      <c r="T4" s="165"/>
      <c r="U4" s="165"/>
      <c r="V4" s="165"/>
      <c r="W4" s="165"/>
      <c r="X4" s="165"/>
      <c r="Y4" s="165"/>
    </row>
    <row r="5" spans="1:25" ht="14.25" customHeight="1" x14ac:dyDescent="0.25">
      <c r="A5" s="179"/>
      <c r="B5" s="173" t="s">
        <v>2835</v>
      </c>
      <c r="C5" s="174"/>
      <c r="D5" s="174"/>
      <c r="E5" s="174"/>
      <c r="F5" s="174"/>
      <c r="G5" s="284"/>
      <c r="H5" s="174"/>
      <c r="I5" s="174"/>
      <c r="J5" s="174"/>
      <c r="K5" s="174"/>
      <c r="L5" s="174"/>
      <c r="M5" s="174"/>
      <c r="N5" s="165"/>
      <c r="O5" s="165"/>
      <c r="P5" s="165"/>
      <c r="Q5" s="165"/>
      <c r="R5" s="165"/>
      <c r="S5" s="165"/>
      <c r="T5" s="165"/>
      <c r="U5" s="165"/>
      <c r="V5" s="165"/>
      <c r="W5" s="165"/>
      <c r="X5" s="165"/>
      <c r="Y5" s="165"/>
    </row>
    <row r="6" spans="1:25" ht="14.25" customHeight="1" x14ac:dyDescent="0.25">
      <c r="A6" s="179"/>
      <c r="B6" s="173" t="s">
        <v>2836</v>
      </c>
      <c r="C6" s="174"/>
      <c r="D6" s="174"/>
      <c r="E6" s="174"/>
      <c r="F6" s="174"/>
      <c r="G6" s="284"/>
      <c r="H6" s="174"/>
      <c r="I6" s="174"/>
      <c r="J6" s="174"/>
      <c r="K6" s="174"/>
      <c r="L6" s="174"/>
      <c r="M6" s="174"/>
      <c r="N6" s="165"/>
      <c r="O6" s="165"/>
      <c r="P6" s="165"/>
      <c r="Q6" s="165"/>
      <c r="R6" s="165"/>
      <c r="S6" s="165"/>
      <c r="T6" s="165"/>
      <c r="U6" s="165"/>
      <c r="V6" s="165"/>
      <c r="W6" s="165"/>
      <c r="X6" s="165"/>
      <c r="Y6" s="165"/>
    </row>
    <row r="7" spans="1:25" ht="14.25" customHeight="1" x14ac:dyDescent="0.25">
      <c r="A7" s="179"/>
      <c r="B7" s="173" t="s">
        <v>4</v>
      </c>
      <c r="C7" s="174"/>
      <c r="D7" s="174"/>
      <c r="E7" s="174"/>
      <c r="F7" s="174"/>
      <c r="G7" s="284"/>
      <c r="H7" s="174"/>
      <c r="I7" s="174"/>
      <c r="J7" s="174"/>
      <c r="K7" s="174"/>
      <c r="L7" s="174"/>
      <c r="M7" s="174"/>
      <c r="N7" s="165"/>
      <c r="O7" s="165"/>
      <c r="P7" s="165"/>
      <c r="Q7" s="165"/>
      <c r="R7" s="165"/>
      <c r="S7" s="165"/>
      <c r="T7" s="165"/>
      <c r="U7" s="165"/>
      <c r="V7" s="165"/>
      <c r="W7" s="165"/>
      <c r="X7" s="165"/>
      <c r="Y7" s="165"/>
    </row>
    <row r="8" spans="1:25" ht="14.25" customHeight="1" x14ac:dyDescent="0.25">
      <c r="A8" s="179"/>
      <c r="B8" s="173"/>
      <c r="C8" s="174"/>
      <c r="D8" s="174"/>
      <c r="E8" s="174"/>
      <c r="F8" s="174"/>
      <c r="G8" s="284"/>
      <c r="H8" s="174"/>
      <c r="I8" s="174"/>
      <c r="J8" s="174"/>
      <c r="K8" s="174"/>
      <c r="L8" s="174"/>
      <c r="M8" s="174"/>
      <c r="N8" s="165"/>
      <c r="O8" s="165"/>
      <c r="P8" s="165"/>
      <c r="Q8" s="165"/>
      <c r="R8" s="165"/>
      <c r="S8" s="165"/>
      <c r="T8" s="165"/>
      <c r="U8" s="165"/>
      <c r="V8" s="165"/>
      <c r="W8" s="165"/>
      <c r="X8" s="165"/>
      <c r="Y8" s="165"/>
    </row>
    <row r="9" spans="1:25" ht="14.25" customHeight="1" x14ac:dyDescent="0.25">
      <c r="A9" s="179"/>
      <c r="B9" s="173" t="s">
        <v>7</v>
      </c>
      <c r="C9" s="174" t="s">
        <v>2837</v>
      </c>
      <c r="D9" s="174"/>
      <c r="E9" s="174"/>
      <c r="F9" s="174"/>
      <c r="G9" s="284"/>
      <c r="H9" s="174"/>
      <c r="I9" s="174"/>
      <c r="J9" s="174"/>
      <c r="K9" s="174"/>
      <c r="L9" s="174"/>
      <c r="M9" s="174"/>
      <c r="N9" s="165"/>
      <c r="O9" s="165"/>
      <c r="P9" s="165"/>
      <c r="Q9" s="165"/>
      <c r="R9" s="165"/>
      <c r="S9" s="165"/>
      <c r="T9" s="165"/>
      <c r="U9" s="165"/>
      <c r="V9" s="165"/>
      <c r="W9" s="165"/>
      <c r="X9" s="165"/>
      <c r="Y9" s="165"/>
    </row>
    <row r="10" spans="1:25" ht="14.25" customHeight="1" x14ac:dyDescent="0.25">
      <c r="A10" s="179"/>
      <c r="B10" s="173"/>
      <c r="C10" s="174" t="s">
        <v>2838</v>
      </c>
      <c r="D10" s="174"/>
      <c r="E10" s="174"/>
      <c r="F10" s="174"/>
      <c r="G10" s="284"/>
      <c r="H10" s="174"/>
      <c r="I10" s="174"/>
      <c r="J10" s="174"/>
      <c r="K10" s="174"/>
      <c r="L10" s="174"/>
      <c r="M10" s="174"/>
      <c r="N10" s="165"/>
      <c r="O10" s="165"/>
      <c r="P10" s="165"/>
      <c r="Q10" s="165"/>
      <c r="R10" s="165"/>
      <c r="S10" s="165"/>
      <c r="T10" s="165"/>
      <c r="U10" s="165"/>
      <c r="V10" s="165"/>
      <c r="W10" s="165"/>
      <c r="X10" s="165"/>
      <c r="Y10" s="165"/>
    </row>
    <row r="11" spans="1:25" ht="14.25" customHeight="1" x14ac:dyDescent="0.25">
      <c r="A11" s="179"/>
      <c r="B11" s="173"/>
      <c r="C11" s="174" t="s">
        <v>2839</v>
      </c>
      <c r="D11" s="174"/>
      <c r="E11" s="174"/>
      <c r="F11" s="174"/>
      <c r="G11" s="284"/>
      <c r="H11" s="174"/>
      <c r="I11" s="174"/>
      <c r="J11" s="174"/>
      <c r="K11" s="174"/>
      <c r="L11" s="174"/>
      <c r="M11" s="174"/>
      <c r="N11" s="165"/>
      <c r="O11" s="165"/>
      <c r="P11" s="165"/>
      <c r="Q11" s="165"/>
      <c r="R11" s="165"/>
      <c r="S11" s="165"/>
      <c r="T11" s="165"/>
      <c r="U11" s="165"/>
      <c r="V11" s="165"/>
      <c r="W11" s="165"/>
      <c r="X11" s="165"/>
      <c r="Y11" s="165"/>
    </row>
    <row r="12" spans="1:25" ht="14.25" customHeight="1" x14ac:dyDescent="0.25">
      <c r="A12" s="179"/>
      <c r="B12" s="173"/>
      <c r="C12" s="174" t="s">
        <v>2840</v>
      </c>
      <c r="D12" s="174"/>
      <c r="E12" s="174"/>
      <c r="F12" s="174"/>
      <c r="G12" s="284"/>
      <c r="H12" s="174"/>
      <c r="I12" s="174"/>
      <c r="J12" s="174"/>
      <c r="K12" s="174"/>
      <c r="L12" s="174"/>
      <c r="M12" s="174"/>
      <c r="N12" s="165"/>
      <c r="O12" s="165"/>
      <c r="P12" s="165"/>
      <c r="Q12" s="165"/>
      <c r="R12" s="165"/>
      <c r="S12" s="165"/>
      <c r="T12" s="165"/>
      <c r="U12" s="165"/>
      <c r="V12" s="165"/>
      <c r="W12" s="165"/>
      <c r="X12" s="165"/>
      <c r="Y12" s="165"/>
    </row>
    <row r="13" spans="1:25" ht="14.25" customHeight="1" x14ac:dyDescent="0.25">
      <c r="A13" s="179"/>
      <c r="B13" s="173"/>
      <c r="C13" s="174"/>
      <c r="D13" s="174"/>
      <c r="E13" s="174"/>
      <c r="F13" s="174"/>
      <c r="G13" s="284"/>
      <c r="H13" s="174"/>
      <c r="I13" s="174"/>
      <c r="J13" s="174"/>
      <c r="K13" s="174"/>
      <c r="L13" s="174"/>
      <c r="M13" s="174"/>
      <c r="N13" s="165"/>
      <c r="O13" s="165"/>
      <c r="P13" s="165"/>
      <c r="Q13" s="165"/>
      <c r="R13" s="165"/>
      <c r="S13" s="165"/>
      <c r="T13" s="165"/>
      <c r="U13" s="165"/>
      <c r="V13" s="165"/>
      <c r="W13" s="165"/>
      <c r="X13" s="165"/>
      <c r="Y13" s="165"/>
    </row>
    <row r="14" spans="1:25" ht="16.5" customHeight="1" x14ac:dyDescent="0.25">
      <c r="A14" s="467">
        <v>1</v>
      </c>
      <c r="B14" s="371"/>
      <c r="C14" s="467">
        <v>2</v>
      </c>
      <c r="D14" s="371"/>
      <c r="E14" s="285">
        <v>3</v>
      </c>
      <c r="F14" s="176">
        <v>4</v>
      </c>
      <c r="G14" s="176">
        <v>5</v>
      </c>
      <c r="H14" s="285">
        <v>6</v>
      </c>
      <c r="I14" s="467">
        <v>7</v>
      </c>
      <c r="J14" s="370"/>
      <c r="K14" s="370"/>
      <c r="L14" s="370"/>
      <c r="M14" s="371"/>
      <c r="N14" s="165"/>
      <c r="O14" s="165"/>
      <c r="P14" s="165"/>
      <c r="Q14" s="165"/>
      <c r="R14" s="165"/>
      <c r="S14" s="165"/>
      <c r="T14" s="165"/>
      <c r="U14" s="165"/>
      <c r="V14" s="165"/>
      <c r="W14" s="165"/>
      <c r="X14" s="165"/>
      <c r="Y14" s="165"/>
    </row>
    <row r="15" spans="1:25" ht="28.5" customHeight="1" x14ac:dyDescent="0.25">
      <c r="A15" s="468" t="s">
        <v>2841</v>
      </c>
      <c r="B15" s="378"/>
      <c r="C15" s="468" t="s">
        <v>2842</v>
      </c>
      <c r="D15" s="414"/>
      <c r="E15" s="286" t="s">
        <v>2843</v>
      </c>
      <c r="F15" s="471" t="s">
        <v>2844</v>
      </c>
      <c r="G15" s="470" t="s">
        <v>2845</v>
      </c>
      <c r="H15" s="470" t="s">
        <v>2846</v>
      </c>
      <c r="I15" s="468" t="s">
        <v>2847</v>
      </c>
      <c r="J15" s="414"/>
      <c r="K15" s="414"/>
      <c r="L15" s="414"/>
      <c r="M15" s="378"/>
      <c r="N15" s="175"/>
      <c r="O15" s="175"/>
      <c r="P15" s="175"/>
      <c r="Q15" s="175"/>
      <c r="R15" s="175"/>
      <c r="S15" s="175"/>
      <c r="T15" s="175"/>
      <c r="U15" s="175"/>
      <c r="V15" s="175"/>
      <c r="W15" s="175"/>
      <c r="X15" s="175"/>
      <c r="Y15" s="175"/>
    </row>
    <row r="16" spans="1:25" ht="11.25" customHeight="1" x14ac:dyDescent="0.25">
      <c r="A16" s="427"/>
      <c r="B16" s="396"/>
      <c r="C16" s="427"/>
      <c r="D16" s="373"/>
      <c r="E16" s="287" t="s">
        <v>2848</v>
      </c>
      <c r="F16" s="396"/>
      <c r="G16" s="383"/>
      <c r="H16" s="383"/>
      <c r="I16" s="427"/>
      <c r="J16" s="373"/>
      <c r="K16" s="373"/>
      <c r="L16" s="373"/>
      <c r="M16" s="396"/>
      <c r="N16" s="175"/>
      <c r="O16" s="175"/>
      <c r="P16" s="175"/>
      <c r="Q16" s="175"/>
      <c r="R16" s="175"/>
      <c r="S16" s="175"/>
      <c r="T16" s="175"/>
      <c r="U16" s="175"/>
      <c r="V16" s="175"/>
      <c r="W16" s="175"/>
      <c r="X16" s="175"/>
      <c r="Y16" s="175"/>
    </row>
    <row r="17" spans="1:25" ht="10.5" customHeight="1" x14ac:dyDescent="0.25">
      <c r="A17" s="427"/>
      <c r="B17" s="396"/>
      <c r="C17" s="427"/>
      <c r="D17" s="373"/>
      <c r="E17" s="288" t="s">
        <v>2849</v>
      </c>
      <c r="F17" s="396"/>
      <c r="G17" s="383"/>
      <c r="H17" s="383"/>
      <c r="I17" s="379"/>
      <c r="J17" s="469"/>
      <c r="K17" s="469"/>
      <c r="L17" s="469"/>
      <c r="M17" s="380"/>
      <c r="N17" s="175"/>
      <c r="O17" s="175"/>
      <c r="P17" s="175"/>
      <c r="Q17" s="175"/>
      <c r="R17" s="175"/>
      <c r="S17" s="175"/>
      <c r="T17" s="175"/>
      <c r="U17" s="175"/>
      <c r="V17" s="175"/>
      <c r="W17" s="175"/>
      <c r="X17" s="175"/>
      <c r="Y17" s="175"/>
    </row>
    <row r="18" spans="1:25" ht="10.5" customHeight="1" x14ac:dyDescent="0.25">
      <c r="A18" s="427"/>
      <c r="B18" s="396"/>
      <c r="C18" s="289"/>
      <c r="D18" s="290"/>
      <c r="E18" s="288" t="s">
        <v>2850</v>
      </c>
      <c r="F18" s="396"/>
      <c r="G18" s="383"/>
      <c r="H18" s="383"/>
      <c r="I18" s="291">
        <v>1</v>
      </c>
      <c r="J18" s="291">
        <v>2</v>
      </c>
      <c r="K18" s="291">
        <v>3</v>
      </c>
      <c r="L18" s="291">
        <v>4</v>
      </c>
      <c r="M18" s="291">
        <v>5</v>
      </c>
      <c r="N18" s="175"/>
      <c r="O18" s="175"/>
      <c r="P18" s="175"/>
      <c r="Q18" s="175"/>
      <c r="R18" s="175"/>
      <c r="S18" s="175"/>
      <c r="T18" s="175"/>
      <c r="U18" s="175"/>
      <c r="V18" s="175"/>
      <c r="W18" s="175"/>
      <c r="X18" s="175"/>
      <c r="Y18" s="175"/>
    </row>
    <row r="19" spans="1:25" ht="10.5" customHeight="1" x14ac:dyDescent="0.25">
      <c r="A19" s="427"/>
      <c r="B19" s="396"/>
      <c r="C19" s="287" t="s">
        <v>2851</v>
      </c>
      <c r="D19" s="292" t="s">
        <v>2852</v>
      </c>
      <c r="E19" s="288" t="s">
        <v>2853</v>
      </c>
      <c r="F19" s="396"/>
      <c r="G19" s="383"/>
      <c r="H19" s="383"/>
      <c r="I19" s="470" t="s">
        <v>2854</v>
      </c>
      <c r="J19" s="470" t="s">
        <v>2855</v>
      </c>
      <c r="K19" s="470" t="s">
        <v>2856</v>
      </c>
      <c r="L19" s="470" t="s">
        <v>2857</v>
      </c>
      <c r="M19" s="470" t="s">
        <v>1851</v>
      </c>
      <c r="N19" s="175"/>
      <c r="O19" s="175"/>
      <c r="P19" s="175"/>
      <c r="Q19" s="175"/>
      <c r="R19" s="175"/>
      <c r="S19" s="175"/>
      <c r="T19" s="175"/>
      <c r="U19" s="175"/>
      <c r="V19" s="175"/>
      <c r="W19" s="175"/>
      <c r="X19" s="175"/>
      <c r="Y19" s="175"/>
    </row>
    <row r="20" spans="1:25" ht="17.25" customHeight="1" x14ac:dyDescent="0.25">
      <c r="A20" s="379"/>
      <c r="B20" s="380"/>
      <c r="C20" s="288" t="s">
        <v>2416</v>
      </c>
      <c r="D20" s="185" t="s">
        <v>2416</v>
      </c>
      <c r="E20" s="293" t="s">
        <v>2858</v>
      </c>
      <c r="F20" s="396"/>
      <c r="G20" s="383"/>
      <c r="H20" s="368"/>
      <c r="I20" s="368"/>
      <c r="J20" s="368"/>
      <c r="K20" s="368"/>
      <c r="L20" s="368"/>
      <c r="M20" s="368"/>
      <c r="N20" s="175"/>
      <c r="O20" s="175"/>
      <c r="P20" s="175"/>
      <c r="Q20" s="175"/>
      <c r="R20" s="175"/>
      <c r="S20" s="175"/>
      <c r="T20" s="175"/>
      <c r="U20" s="175"/>
      <c r="V20" s="175"/>
      <c r="W20" s="175"/>
      <c r="X20" s="175"/>
      <c r="Y20" s="175"/>
    </row>
    <row r="21" spans="1:25" ht="15.75" customHeight="1" x14ac:dyDescent="0.25">
      <c r="A21" s="294">
        <v>1</v>
      </c>
      <c r="B21" s="295" t="s">
        <v>2859</v>
      </c>
      <c r="C21" s="296">
        <v>44208</v>
      </c>
      <c r="D21" s="297">
        <v>44211</v>
      </c>
      <c r="E21" s="293">
        <v>1.5</v>
      </c>
      <c r="F21" s="298">
        <v>48</v>
      </c>
      <c r="G21" s="176">
        <f t="shared" ref="G21:G23" si="0">PRODUCT(F21,E21)</f>
        <v>72</v>
      </c>
      <c r="H21" s="298">
        <v>48</v>
      </c>
      <c r="I21" s="299">
        <v>0</v>
      </c>
      <c r="J21" s="299">
        <v>0</v>
      </c>
      <c r="K21" s="299">
        <v>0</v>
      </c>
      <c r="L21" s="299">
        <v>8</v>
      </c>
      <c r="M21" s="299">
        <v>40</v>
      </c>
      <c r="N21" s="300"/>
      <c r="O21" s="187">
        <v>48</v>
      </c>
      <c r="P21" s="300"/>
      <c r="Q21" s="300"/>
      <c r="R21" s="300"/>
      <c r="S21" s="300"/>
      <c r="T21" s="300"/>
      <c r="U21" s="300"/>
      <c r="V21" s="300"/>
      <c r="W21" s="300"/>
      <c r="X21" s="300"/>
      <c r="Y21" s="300"/>
    </row>
    <row r="22" spans="1:25" ht="15.75" customHeight="1" x14ac:dyDescent="0.25">
      <c r="A22" s="294">
        <v>2</v>
      </c>
      <c r="B22" s="295" t="s">
        <v>2860</v>
      </c>
      <c r="C22" s="301">
        <v>44217</v>
      </c>
      <c r="D22" s="302">
        <v>44217</v>
      </c>
      <c r="E22" s="187">
        <v>1</v>
      </c>
      <c r="F22" s="298">
        <v>32</v>
      </c>
      <c r="G22" s="176">
        <f t="shared" si="0"/>
        <v>32</v>
      </c>
      <c r="H22" s="298">
        <v>32</v>
      </c>
      <c r="I22" s="299">
        <v>0</v>
      </c>
      <c r="J22" s="299">
        <v>0</v>
      </c>
      <c r="K22" s="299">
        <v>2</v>
      </c>
      <c r="L22" s="299">
        <v>10</v>
      </c>
      <c r="M22" s="299">
        <v>20</v>
      </c>
      <c r="N22" s="300"/>
      <c r="O22" s="187">
        <v>32</v>
      </c>
      <c r="P22" s="300"/>
      <c r="Q22" s="300"/>
      <c r="R22" s="300"/>
      <c r="S22" s="300"/>
      <c r="T22" s="300"/>
      <c r="U22" s="300"/>
      <c r="V22" s="300"/>
      <c r="W22" s="300"/>
      <c r="X22" s="300"/>
      <c r="Y22" s="300"/>
    </row>
    <row r="23" spans="1:25" ht="15.75" customHeight="1" x14ac:dyDescent="0.25">
      <c r="A23" s="477">
        <v>3</v>
      </c>
      <c r="B23" s="478" t="s">
        <v>2861</v>
      </c>
      <c r="C23" s="301">
        <v>44208</v>
      </c>
      <c r="D23" s="302">
        <v>44218</v>
      </c>
      <c r="E23" s="187">
        <v>1.5</v>
      </c>
      <c r="F23" s="298">
        <v>14</v>
      </c>
      <c r="G23" s="176">
        <f t="shared" si="0"/>
        <v>21</v>
      </c>
      <c r="H23" s="298">
        <v>14</v>
      </c>
      <c r="I23" s="299">
        <v>0</v>
      </c>
      <c r="J23" s="299">
        <v>0</v>
      </c>
      <c r="K23" s="299">
        <v>0</v>
      </c>
      <c r="L23" s="299">
        <v>4</v>
      </c>
      <c r="M23" s="299">
        <v>10</v>
      </c>
      <c r="N23" s="300"/>
      <c r="O23" s="187">
        <v>14</v>
      </c>
      <c r="P23" s="300"/>
      <c r="Q23" s="300"/>
      <c r="R23" s="300"/>
      <c r="S23" s="300"/>
      <c r="T23" s="300"/>
      <c r="U23" s="300"/>
      <c r="V23" s="300"/>
      <c r="W23" s="300"/>
      <c r="X23" s="300"/>
      <c r="Y23" s="300"/>
    </row>
    <row r="24" spans="1:25" ht="22.5" customHeight="1" x14ac:dyDescent="0.25">
      <c r="A24" s="368"/>
      <c r="B24" s="368"/>
      <c r="C24" s="301">
        <v>44230</v>
      </c>
      <c r="D24" s="302">
        <v>44244</v>
      </c>
      <c r="E24" s="187">
        <v>2</v>
      </c>
      <c r="F24" s="298">
        <v>20</v>
      </c>
      <c r="G24" s="176">
        <v>40</v>
      </c>
      <c r="H24" s="298">
        <v>20</v>
      </c>
      <c r="I24" s="299">
        <v>0</v>
      </c>
      <c r="J24" s="299">
        <v>0</v>
      </c>
      <c r="K24" s="299">
        <v>0</v>
      </c>
      <c r="L24" s="299">
        <v>5</v>
      </c>
      <c r="M24" s="299">
        <v>15</v>
      </c>
      <c r="N24" s="300"/>
      <c r="O24" s="187">
        <v>20</v>
      </c>
      <c r="P24" s="300"/>
      <c r="Q24" s="300"/>
      <c r="R24" s="300"/>
      <c r="S24" s="300"/>
      <c r="T24" s="300"/>
      <c r="U24" s="300"/>
      <c r="V24" s="300"/>
      <c r="W24" s="300"/>
      <c r="X24" s="300"/>
      <c r="Y24" s="300"/>
    </row>
    <row r="25" spans="1:25" ht="15.75" customHeight="1" x14ac:dyDescent="0.25">
      <c r="A25" s="294">
        <v>4</v>
      </c>
      <c r="B25" s="295" t="s">
        <v>2862</v>
      </c>
      <c r="C25" s="301">
        <v>44229</v>
      </c>
      <c r="D25" s="302">
        <v>44229</v>
      </c>
      <c r="E25" s="187">
        <v>1</v>
      </c>
      <c r="F25" s="298">
        <v>24</v>
      </c>
      <c r="G25" s="176">
        <f t="shared" ref="G25:G73" si="1">PRODUCT(F25,E25)</f>
        <v>24</v>
      </c>
      <c r="H25" s="298">
        <v>24</v>
      </c>
      <c r="I25" s="299">
        <v>0</v>
      </c>
      <c r="J25" s="299">
        <v>0</v>
      </c>
      <c r="K25" s="299">
        <v>0</v>
      </c>
      <c r="L25" s="299">
        <v>4</v>
      </c>
      <c r="M25" s="299">
        <v>20</v>
      </c>
      <c r="N25" s="300"/>
      <c r="O25" s="187">
        <v>24</v>
      </c>
      <c r="P25" s="300"/>
      <c r="Q25" s="300"/>
      <c r="R25" s="300"/>
      <c r="S25" s="300"/>
      <c r="T25" s="300"/>
      <c r="U25" s="300"/>
      <c r="V25" s="300"/>
      <c r="W25" s="300"/>
      <c r="X25" s="300"/>
      <c r="Y25" s="300"/>
    </row>
    <row r="26" spans="1:25" ht="15.75" customHeight="1" x14ac:dyDescent="0.25">
      <c r="A26" s="294">
        <v>5</v>
      </c>
      <c r="B26" s="295" t="s">
        <v>2863</v>
      </c>
      <c r="C26" s="301">
        <v>44231</v>
      </c>
      <c r="D26" s="302">
        <v>44231</v>
      </c>
      <c r="E26" s="187">
        <v>1</v>
      </c>
      <c r="F26" s="298">
        <v>39</v>
      </c>
      <c r="G26" s="176">
        <f t="shared" si="1"/>
        <v>39</v>
      </c>
      <c r="H26" s="298">
        <v>39</v>
      </c>
      <c r="I26" s="299">
        <v>0</v>
      </c>
      <c r="J26" s="299">
        <v>0</v>
      </c>
      <c r="K26" s="299">
        <v>5</v>
      </c>
      <c r="L26" s="299">
        <v>9</v>
      </c>
      <c r="M26" s="299">
        <v>25</v>
      </c>
      <c r="N26" s="300"/>
      <c r="O26" s="187">
        <v>39</v>
      </c>
      <c r="P26" s="300"/>
      <c r="Q26" s="300"/>
      <c r="R26" s="300"/>
      <c r="S26" s="300"/>
      <c r="T26" s="300"/>
      <c r="U26" s="300"/>
      <c r="V26" s="300"/>
      <c r="W26" s="300"/>
      <c r="X26" s="300"/>
      <c r="Y26" s="300"/>
    </row>
    <row r="27" spans="1:25" ht="15.75" customHeight="1" x14ac:dyDescent="0.25">
      <c r="A27" s="303">
        <v>6</v>
      </c>
      <c r="B27" s="295" t="s">
        <v>2864</v>
      </c>
      <c r="C27" s="301">
        <v>44236</v>
      </c>
      <c r="D27" s="302">
        <v>44236</v>
      </c>
      <c r="E27" s="187">
        <v>1</v>
      </c>
      <c r="F27" s="298">
        <v>30</v>
      </c>
      <c r="G27" s="176">
        <f t="shared" si="1"/>
        <v>30</v>
      </c>
      <c r="H27" s="298">
        <v>30</v>
      </c>
      <c r="I27" s="299">
        <v>0</v>
      </c>
      <c r="J27" s="299">
        <v>0</v>
      </c>
      <c r="K27" s="299">
        <v>0</v>
      </c>
      <c r="L27" s="299">
        <v>5</v>
      </c>
      <c r="M27" s="299">
        <v>20</v>
      </c>
      <c r="N27" s="300">
        <v>25</v>
      </c>
      <c r="O27" s="187">
        <v>25</v>
      </c>
      <c r="P27" s="300"/>
      <c r="Q27" s="300"/>
      <c r="R27" s="300"/>
      <c r="S27" s="300"/>
      <c r="T27" s="300"/>
      <c r="U27" s="300"/>
      <c r="V27" s="300"/>
      <c r="W27" s="300"/>
      <c r="X27" s="300"/>
      <c r="Y27" s="300"/>
    </row>
    <row r="28" spans="1:25" ht="15.75" customHeight="1" x14ac:dyDescent="0.25">
      <c r="A28" s="304">
        <v>7</v>
      </c>
      <c r="B28" s="295" t="s">
        <v>2766</v>
      </c>
      <c r="C28" s="301">
        <v>44238</v>
      </c>
      <c r="D28" s="302">
        <v>44238</v>
      </c>
      <c r="E28" s="187">
        <v>1</v>
      </c>
      <c r="F28" s="298">
        <v>21</v>
      </c>
      <c r="G28" s="176">
        <f t="shared" si="1"/>
        <v>21</v>
      </c>
      <c r="H28" s="298">
        <v>21</v>
      </c>
      <c r="I28" s="299">
        <v>0</v>
      </c>
      <c r="J28" s="299">
        <v>0</v>
      </c>
      <c r="K28" s="299">
        <v>0</v>
      </c>
      <c r="L28" s="299">
        <v>1</v>
      </c>
      <c r="M28" s="299">
        <v>20</v>
      </c>
      <c r="N28" s="165"/>
      <c r="O28" s="187">
        <v>21</v>
      </c>
      <c r="P28" s="165"/>
      <c r="Q28" s="165"/>
      <c r="R28" s="165"/>
      <c r="S28" s="165"/>
      <c r="T28" s="165"/>
      <c r="U28" s="165"/>
      <c r="V28" s="165"/>
      <c r="W28" s="165"/>
      <c r="X28" s="165"/>
      <c r="Y28" s="165"/>
    </row>
    <row r="29" spans="1:25" ht="15.75" customHeight="1" x14ac:dyDescent="0.25">
      <c r="A29" s="294">
        <v>8</v>
      </c>
      <c r="B29" s="295" t="s">
        <v>2865</v>
      </c>
      <c r="C29" s="301">
        <v>44239</v>
      </c>
      <c r="D29" s="302">
        <v>44239</v>
      </c>
      <c r="E29" s="187">
        <v>1</v>
      </c>
      <c r="F29" s="298">
        <v>12</v>
      </c>
      <c r="G29" s="176">
        <f t="shared" si="1"/>
        <v>12</v>
      </c>
      <c r="H29" s="298">
        <v>12</v>
      </c>
      <c r="I29" s="299">
        <v>0</v>
      </c>
      <c r="J29" s="299">
        <v>0</v>
      </c>
      <c r="K29" s="299">
        <v>0</v>
      </c>
      <c r="L29" s="299">
        <v>2</v>
      </c>
      <c r="M29" s="299">
        <v>10</v>
      </c>
      <c r="N29" s="166"/>
      <c r="O29" s="187">
        <v>12</v>
      </c>
      <c r="P29" s="166"/>
      <c r="Q29" s="166"/>
      <c r="R29" s="166"/>
      <c r="S29" s="166"/>
      <c r="T29" s="166"/>
      <c r="U29" s="166"/>
      <c r="V29" s="166"/>
      <c r="W29" s="166"/>
      <c r="X29" s="166"/>
      <c r="Y29" s="166"/>
    </row>
    <row r="30" spans="1:25" ht="15.75" customHeight="1" x14ac:dyDescent="0.25">
      <c r="A30" s="294">
        <v>9</v>
      </c>
      <c r="B30" s="295" t="s">
        <v>2866</v>
      </c>
      <c r="C30" s="301">
        <v>44245</v>
      </c>
      <c r="D30" s="302">
        <v>44246</v>
      </c>
      <c r="E30" s="187">
        <v>1.25</v>
      </c>
      <c r="F30" s="298">
        <v>35</v>
      </c>
      <c r="G30" s="176">
        <f t="shared" si="1"/>
        <v>43.75</v>
      </c>
      <c r="H30" s="298">
        <v>35</v>
      </c>
      <c r="I30" s="299">
        <v>0</v>
      </c>
      <c r="J30" s="299">
        <v>0</v>
      </c>
      <c r="K30" s="299">
        <v>0</v>
      </c>
      <c r="L30" s="299">
        <v>10</v>
      </c>
      <c r="M30" s="299">
        <v>25</v>
      </c>
      <c r="N30" s="165">
        <v>25</v>
      </c>
      <c r="O30" s="187">
        <v>25</v>
      </c>
      <c r="P30" s="165"/>
      <c r="Q30" s="165"/>
      <c r="R30" s="165"/>
      <c r="S30" s="165"/>
      <c r="T30" s="165"/>
      <c r="U30" s="165"/>
      <c r="V30" s="165"/>
      <c r="W30" s="165"/>
      <c r="X30" s="165"/>
      <c r="Y30" s="165"/>
    </row>
    <row r="31" spans="1:25" ht="15.75" customHeight="1" x14ac:dyDescent="0.25">
      <c r="A31" s="303">
        <v>10</v>
      </c>
      <c r="B31" s="295" t="s">
        <v>2867</v>
      </c>
      <c r="C31" s="301">
        <v>44252</v>
      </c>
      <c r="D31" s="302">
        <v>44252</v>
      </c>
      <c r="E31" s="187">
        <v>1</v>
      </c>
      <c r="F31" s="298">
        <v>80</v>
      </c>
      <c r="G31" s="176">
        <f t="shared" si="1"/>
        <v>80</v>
      </c>
      <c r="H31" s="298">
        <v>80</v>
      </c>
      <c r="I31" s="299">
        <v>0</v>
      </c>
      <c r="J31" s="299">
        <v>0</v>
      </c>
      <c r="K31" s="299">
        <v>0</v>
      </c>
      <c r="L31" s="299">
        <v>80</v>
      </c>
      <c r="M31" s="299">
        <v>50</v>
      </c>
      <c r="N31" s="165">
        <v>130</v>
      </c>
      <c r="O31" s="187">
        <v>130</v>
      </c>
      <c r="P31" s="165"/>
      <c r="Q31" s="165"/>
      <c r="R31" s="165"/>
      <c r="S31" s="165"/>
      <c r="T31" s="165"/>
      <c r="U31" s="165"/>
      <c r="V31" s="165"/>
      <c r="W31" s="165"/>
      <c r="X31" s="165"/>
      <c r="Y31" s="165"/>
    </row>
    <row r="32" spans="1:25" ht="11.25" customHeight="1" x14ac:dyDescent="0.25">
      <c r="A32" s="294">
        <v>11</v>
      </c>
      <c r="B32" s="295" t="s">
        <v>2868</v>
      </c>
      <c r="C32" s="305">
        <v>44253</v>
      </c>
      <c r="D32" s="306">
        <v>44254</v>
      </c>
      <c r="E32" s="187">
        <v>1.25</v>
      </c>
      <c r="F32" s="307">
        <v>177</v>
      </c>
      <c r="G32" s="176">
        <f t="shared" si="1"/>
        <v>221.25</v>
      </c>
      <c r="H32" s="307">
        <v>177</v>
      </c>
      <c r="I32" s="299">
        <v>0</v>
      </c>
      <c r="J32" s="299">
        <v>0</v>
      </c>
      <c r="K32" s="299">
        <v>22</v>
      </c>
      <c r="L32" s="299">
        <v>50</v>
      </c>
      <c r="M32" s="299">
        <v>100</v>
      </c>
      <c r="N32" s="165">
        <v>172</v>
      </c>
      <c r="O32" s="187">
        <v>172</v>
      </c>
      <c r="P32" s="165"/>
      <c r="Q32" s="165"/>
      <c r="R32" s="165"/>
      <c r="S32" s="165"/>
      <c r="T32" s="165"/>
      <c r="U32" s="165"/>
      <c r="V32" s="165"/>
      <c r="W32" s="165"/>
      <c r="X32" s="165"/>
      <c r="Y32" s="165"/>
    </row>
    <row r="33" spans="1:25" ht="15.75" customHeight="1" x14ac:dyDescent="0.25">
      <c r="A33" s="294">
        <v>12</v>
      </c>
      <c r="B33" s="295" t="s">
        <v>2869</v>
      </c>
      <c r="C33" s="308">
        <v>44259</v>
      </c>
      <c r="D33" s="309">
        <v>44259</v>
      </c>
      <c r="E33" s="187">
        <v>1</v>
      </c>
      <c r="F33" s="298">
        <v>63</v>
      </c>
      <c r="G33" s="176">
        <f t="shared" si="1"/>
        <v>63</v>
      </c>
      <c r="H33" s="298">
        <v>63</v>
      </c>
      <c r="I33" s="299">
        <v>0</v>
      </c>
      <c r="J33" s="299">
        <v>0</v>
      </c>
      <c r="K33" s="299">
        <v>3</v>
      </c>
      <c r="L33" s="299">
        <v>10</v>
      </c>
      <c r="M33" s="299">
        <v>50</v>
      </c>
      <c r="N33" s="165"/>
      <c r="O33" s="187">
        <v>63</v>
      </c>
      <c r="P33" s="165"/>
      <c r="Q33" s="165"/>
      <c r="R33" s="165"/>
      <c r="S33" s="165"/>
      <c r="T33" s="165"/>
      <c r="U33" s="165"/>
      <c r="V33" s="165"/>
      <c r="W33" s="165"/>
      <c r="X33" s="165"/>
      <c r="Y33" s="165"/>
    </row>
    <row r="34" spans="1:25" ht="15.75" customHeight="1" x14ac:dyDescent="0.25">
      <c r="A34" s="294">
        <v>13</v>
      </c>
      <c r="B34" s="295" t="s">
        <v>2870</v>
      </c>
      <c r="C34" s="301">
        <v>44259</v>
      </c>
      <c r="D34" s="302">
        <v>44259</v>
      </c>
      <c r="E34" s="187">
        <v>1</v>
      </c>
      <c r="F34" s="298">
        <v>33</v>
      </c>
      <c r="G34" s="176">
        <f t="shared" si="1"/>
        <v>33</v>
      </c>
      <c r="H34" s="298">
        <v>33</v>
      </c>
      <c r="I34" s="299">
        <v>0</v>
      </c>
      <c r="J34" s="299">
        <v>0</v>
      </c>
      <c r="K34" s="299">
        <v>0</v>
      </c>
      <c r="L34" s="299">
        <v>13</v>
      </c>
      <c r="M34" s="299">
        <v>20</v>
      </c>
      <c r="N34" s="165"/>
      <c r="O34" s="187">
        <v>33</v>
      </c>
      <c r="P34" s="165"/>
      <c r="Q34" s="165"/>
      <c r="R34" s="165"/>
      <c r="S34" s="165"/>
      <c r="T34" s="165"/>
      <c r="U34" s="165"/>
      <c r="V34" s="165"/>
      <c r="W34" s="165"/>
      <c r="X34" s="165"/>
      <c r="Y34" s="165"/>
    </row>
    <row r="35" spans="1:25" ht="11.25" customHeight="1" x14ac:dyDescent="0.25">
      <c r="A35" s="294">
        <v>14</v>
      </c>
      <c r="B35" s="295" t="s">
        <v>2868</v>
      </c>
      <c r="C35" s="308">
        <v>44260</v>
      </c>
      <c r="D35" s="309">
        <v>44261</v>
      </c>
      <c r="E35" s="187">
        <v>1.25</v>
      </c>
      <c r="F35" s="307">
        <v>155</v>
      </c>
      <c r="G35" s="176">
        <f t="shared" si="1"/>
        <v>193.75</v>
      </c>
      <c r="H35" s="307">
        <v>155</v>
      </c>
      <c r="I35" s="299">
        <v>0</v>
      </c>
      <c r="J35" s="299">
        <v>0</v>
      </c>
      <c r="K35" s="299">
        <v>0</v>
      </c>
      <c r="L35" s="299">
        <v>55</v>
      </c>
      <c r="M35" s="299">
        <v>100</v>
      </c>
      <c r="N35" s="165"/>
      <c r="O35" s="187">
        <v>155</v>
      </c>
      <c r="P35" s="165"/>
      <c r="Q35" s="165"/>
      <c r="R35" s="165"/>
      <c r="S35" s="165"/>
      <c r="T35" s="165"/>
      <c r="U35" s="165"/>
      <c r="V35" s="165"/>
      <c r="W35" s="165"/>
      <c r="X35" s="165"/>
      <c r="Y35" s="165"/>
    </row>
    <row r="36" spans="1:25" ht="15.75" customHeight="1" x14ac:dyDescent="0.25">
      <c r="A36" s="294">
        <v>15</v>
      </c>
      <c r="B36" s="295" t="s">
        <v>2871</v>
      </c>
      <c r="C36" s="301">
        <v>44264</v>
      </c>
      <c r="D36" s="302">
        <v>44264</v>
      </c>
      <c r="E36" s="187">
        <v>1</v>
      </c>
      <c r="F36" s="298">
        <v>25</v>
      </c>
      <c r="G36" s="176">
        <f t="shared" si="1"/>
        <v>25</v>
      </c>
      <c r="H36" s="298">
        <v>25</v>
      </c>
      <c r="I36" s="299">
        <v>0</v>
      </c>
      <c r="J36" s="299">
        <v>0</v>
      </c>
      <c r="K36" s="299">
        <v>0</v>
      </c>
      <c r="L36" s="299">
        <v>5</v>
      </c>
      <c r="M36" s="299">
        <v>20</v>
      </c>
      <c r="N36" s="165"/>
      <c r="O36" s="187">
        <v>25</v>
      </c>
      <c r="P36" s="165"/>
      <c r="Q36" s="165"/>
      <c r="R36" s="165"/>
      <c r="S36" s="165"/>
      <c r="T36" s="165"/>
      <c r="U36" s="165"/>
      <c r="V36" s="165"/>
      <c r="W36" s="165"/>
      <c r="X36" s="165"/>
      <c r="Y36" s="165"/>
    </row>
    <row r="37" spans="1:25" ht="11.25" customHeight="1" x14ac:dyDescent="0.25">
      <c r="A37" s="294">
        <v>16</v>
      </c>
      <c r="B37" s="295" t="s">
        <v>2868</v>
      </c>
      <c r="C37" s="308">
        <v>44268</v>
      </c>
      <c r="D37" s="309">
        <v>44268</v>
      </c>
      <c r="E37" s="187">
        <v>1</v>
      </c>
      <c r="F37" s="307">
        <v>71</v>
      </c>
      <c r="G37" s="176">
        <f t="shared" si="1"/>
        <v>71</v>
      </c>
      <c r="H37" s="307">
        <v>71</v>
      </c>
      <c r="I37" s="299">
        <v>0</v>
      </c>
      <c r="J37" s="299">
        <v>0</v>
      </c>
      <c r="K37" s="299">
        <v>0</v>
      </c>
      <c r="L37" s="299">
        <v>21</v>
      </c>
      <c r="M37" s="299">
        <v>50</v>
      </c>
      <c r="N37" s="165"/>
      <c r="O37" s="187">
        <v>71</v>
      </c>
      <c r="P37" s="165"/>
      <c r="Q37" s="165"/>
      <c r="R37" s="165"/>
      <c r="S37" s="165"/>
      <c r="T37" s="165"/>
      <c r="U37" s="165"/>
      <c r="V37" s="165"/>
      <c r="W37" s="165"/>
      <c r="X37" s="165"/>
      <c r="Y37" s="165"/>
    </row>
    <row r="38" spans="1:25" ht="15.75" customHeight="1" x14ac:dyDescent="0.25">
      <c r="A38" s="294">
        <v>17</v>
      </c>
      <c r="B38" s="295" t="s">
        <v>2872</v>
      </c>
      <c r="C38" s="301">
        <v>44265</v>
      </c>
      <c r="D38" s="302">
        <v>44265</v>
      </c>
      <c r="E38" s="187">
        <v>1</v>
      </c>
      <c r="F38" s="298">
        <v>17</v>
      </c>
      <c r="G38" s="176">
        <f t="shared" si="1"/>
        <v>17</v>
      </c>
      <c r="H38" s="298">
        <v>17</v>
      </c>
      <c r="I38" s="299">
        <v>0</v>
      </c>
      <c r="J38" s="299">
        <v>0</v>
      </c>
      <c r="K38" s="299">
        <v>0</v>
      </c>
      <c r="L38" s="299">
        <v>7</v>
      </c>
      <c r="M38" s="299">
        <v>10</v>
      </c>
      <c r="N38" s="165"/>
      <c r="O38" s="187">
        <v>17</v>
      </c>
      <c r="P38" s="165"/>
      <c r="Q38" s="165"/>
      <c r="R38" s="165"/>
      <c r="S38" s="165"/>
      <c r="T38" s="165"/>
      <c r="U38" s="165"/>
      <c r="V38" s="165"/>
      <c r="W38" s="165"/>
      <c r="X38" s="165"/>
      <c r="Y38" s="165"/>
    </row>
    <row r="39" spans="1:25" ht="15.75" customHeight="1" x14ac:dyDescent="0.25">
      <c r="A39" s="294">
        <v>18</v>
      </c>
      <c r="B39" s="295" t="s">
        <v>2873</v>
      </c>
      <c r="C39" s="301">
        <v>44267</v>
      </c>
      <c r="D39" s="302">
        <v>44267</v>
      </c>
      <c r="E39" s="187">
        <v>1</v>
      </c>
      <c r="F39" s="298">
        <v>20</v>
      </c>
      <c r="G39" s="176">
        <f t="shared" si="1"/>
        <v>20</v>
      </c>
      <c r="H39" s="298">
        <v>20</v>
      </c>
      <c r="I39" s="299">
        <v>0</v>
      </c>
      <c r="J39" s="299">
        <v>0</v>
      </c>
      <c r="K39" s="299">
        <v>0</v>
      </c>
      <c r="L39" s="299">
        <v>5</v>
      </c>
      <c r="M39" s="299">
        <v>15</v>
      </c>
      <c r="N39" s="165"/>
      <c r="O39" s="187">
        <v>20</v>
      </c>
      <c r="P39" s="165"/>
      <c r="Q39" s="165"/>
      <c r="R39" s="165"/>
      <c r="S39" s="165"/>
      <c r="T39" s="165"/>
      <c r="U39" s="165"/>
      <c r="V39" s="165"/>
      <c r="W39" s="165"/>
      <c r="X39" s="165"/>
      <c r="Y39" s="165"/>
    </row>
    <row r="40" spans="1:25" ht="15.75" customHeight="1" x14ac:dyDescent="0.25">
      <c r="A40" s="294">
        <v>19</v>
      </c>
      <c r="B40" s="310" t="s">
        <v>2874</v>
      </c>
      <c r="C40" s="311">
        <v>44267</v>
      </c>
      <c r="D40" s="312">
        <v>44267</v>
      </c>
      <c r="E40" s="187">
        <v>1</v>
      </c>
      <c r="F40" s="298">
        <v>36</v>
      </c>
      <c r="G40" s="176">
        <f t="shared" si="1"/>
        <v>36</v>
      </c>
      <c r="H40" s="298">
        <v>36</v>
      </c>
      <c r="I40" s="299">
        <v>0</v>
      </c>
      <c r="J40" s="299">
        <v>0</v>
      </c>
      <c r="K40" s="299">
        <v>0</v>
      </c>
      <c r="L40" s="299">
        <v>6</v>
      </c>
      <c r="M40" s="299">
        <v>30</v>
      </c>
      <c r="N40" s="165"/>
      <c r="O40" s="187">
        <v>36</v>
      </c>
      <c r="P40" s="165"/>
      <c r="Q40" s="165"/>
      <c r="R40" s="165"/>
      <c r="S40" s="165"/>
      <c r="T40" s="165"/>
      <c r="U40" s="165"/>
      <c r="V40" s="165"/>
      <c r="W40" s="165"/>
      <c r="X40" s="165"/>
      <c r="Y40" s="165"/>
    </row>
    <row r="41" spans="1:25" ht="15.75" customHeight="1" x14ac:dyDescent="0.25">
      <c r="A41" s="294">
        <v>20</v>
      </c>
      <c r="B41" s="310" t="s">
        <v>2875</v>
      </c>
      <c r="C41" s="313">
        <v>44270</v>
      </c>
      <c r="D41" s="306">
        <v>44274</v>
      </c>
      <c r="E41" s="187">
        <v>2</v>
      </c>
      <c r="F41" s="298">
        <v>21</v>
      </c>
      <c r="G41" s="176">
        <f t="shared" si="1"/>
        <v>42</v>
      </c>
      <c r="H41" s="298">
        <v>21</v>
      </c>
      <c r="I41" s="299">
        <v>0</v>
      </c>
      <c r="J41" s="299">
        <v>0</v>
      </c>
      <c r="K41" s="299">
        <v>0</v>
      </c>
      <c r="L41" s="299">
        <v>6</v>
      </c>
      <c r="M41" s="299">
        <v>15</v>
      </c>
      <c r="N41" s="165"/>
      <c r="O41" s="187">
        <v>21</v>
      </c>
      <c r="P41" s="165"/>
      <c r="Q41" s="165"/>
      <c r="R41" s="165"/>
      <c r="S41" s="165"/>
      <c r="T41" s="165"/>
      <c r="U41" s="165"/>
      <c r="V41" s="165"/>
      <c r="W41" s="165"/>
      <c r="X41" s="165"/>
      <c r="Y41" s="165"/>
    </row>
    <row r="42" spans="1:25" ht="15.75" customHeight="1" x14ac:dyDescent="0.25">
      <c r="A42" s="294">
        <v>21</v>
      </c>
      <c r="B42" s="295" t="s">
        <v>2876</v>
      </c>
      <c r="C42" s="301">
        <v>44281</v>
      </c>
      <c r="D42" s="302">
        <v>44281</v>
      </c>
      <c r="E42" s="187">
        <v>1</v>
      </c>
      <c r="F42" s="298">
        <v>41</v>
      </c>
      <c r="G42" s="176">
        <f t="shared" si="1"/>
        <v>41</v>
      </c>
      <c r="H42" s="298">
        <v>41</v>
      </c>
      <c r="I42" s="299">
        <v>0</v>
      </c>
      <c r="J42" s="299">
        <v>0</v>
      </c>
      <c r="K42" s="299">
        <v>0</v>
      </c>
      <c r="L42" s="299">
        <v>20</v>
      </c>
      <c r="M42" s="299">
        <v>21</v>
      </c>
      <c r="N42" s="165"/>
      <c r="O42" s="187">
        <v>41</v>
      </c>
      <c r="P42" s="165"/>
      <c r="Q42" s="165"/>
      <c r="R42" s="165"/>
      <c r="S42" s="165"/>
      <c r="T42" s="165"/>
      <c r="U42" s="165"/>
      <c r="V42" s="165"/>
      <c r="W42" s="165"/>
      <c r="X42" s="165"/>
      <c r="Y42" s="165"/>
    </row>
    <row r="43" spans="1:25" ht="15.75" customHeight="1" x14ac:dyDescent="0.25">
      <c r="A43" s="294">
        <v>22</v>
      </c>
      <c r="B43" s="310" t="s">
        <v>2877</v>
      </c>
      <c r="C43" s="301">
        <v>44279</v>
      </c>
      <c r="D43" s="302">
        <v>44280</v>
      </c>
      <c r="E43" s="187">
        <v>1.25</v>
      </c>
      <c r="F43" s="298">
        <v>30</v>
      </c>
      <c r="G43" s="176">
        <f t="shared" si="1"/>
        <v>37.5</v>
      </c>
      <c r="H43" s="298">
        <v>30</v>
      </c>
      <c r="I43" s="299">
        <v>0</v>
      </c>
      <c r="J43" s="299">
        <v>0</v>
      </c>
      <c r="K43" s="299">
        <v>0</v>
      </c>
      <c r="L43" s="299">
        <v>5</v>
      </c>
      <c r="M43" s="299">
        <v>25</v>
      </c>
      <c r="N43" s="165"/>
      <c r="O43" s="187">
        <v>30</v>
      </c>
      <c r="P43" s="165"/>
      <c r="Q43" s="165"/>
      <c r="R43" s="165"/>
      <c r="S43" s="165"/>
      <c r="T43" s="165"/>
      <c r="U43" s="165"/>
      <c r="V43" s="165"/>
      <c r="W43" s="165"/>
      <c r="X43" s="165"/>
      <c r="Y43" s="165"/>
    </row>
    <row r="44" spans="1:25" ht="15.75" customHeight="1" x14ac:dyDescent="0.25">
      <c r="A44" s="294">
        <v>23</v>
      </c>
      <c r="B44" s="310" t="s">
        <v>2878</v>
      </c>
      <c r="C44" s="301">
        <v>44281</v>
      </c>
      <c r="D44" s="302">
        <v>44281</v>
      </c>
      <c r="E44" s="187">
        <v>1</v>
      </c>
      <c r="F44" s="298">
        <v>32</v>
      </c>
      <c r="G44" s="176">
        <f t="shared" si="1"/>
        <v>32</v>
      </c>
      <c r="H44" s="298">
        <v>32</v>
      </c>
      <c r="I44" s="299">
        <v>0</v>
      </c>
      <c r="J44" s="299">
        <v>0</v>
      </c>
      <c r="K44" s="299">
        <v>0</v>
      </c>
      <c r="L44" s="299">
        <v>12</v>
      </c>
      <c r="M44" s="299">
        <v>20</v>
      </c>
      <c r="N44" s="165"/>
      <c r="O44" s="187">
        <v>32</v>
      </c>
      <c r="P44" s="165"/>
      <c r="Q44" s="165"/>
      <c r="R44" s="165"/>
      <c r="S44" s="165"/>
      <c r="T44" s="165"/>
      <c r="U44" s="165"/>
      <c r="V44" s="165"/>
      <c r="W44" s="165"/>
      <c r="X44" s="165"/>
      <c r="Y44" s="165"/>
    </row>
    <row r="45" spans="1:25" ht="15.75" customHeight="1" x14ac:dyDescent="0.25">
      <c r="A45" s="294">
        <v>24</v>
      </c>
      <c r="B45" s="310" t="s">
        <v>2879</v>
      </c>
      <c r="C45" s="301">
        <v>44280</v>
      </c>
      <c r="D45" s="301">
        <v>44281</v>
      </c>
      <c r="E45" s="187">
        <v>1</v>
      </c>
      <c r="F45" s="298">
        <v>15</v>
      </c>
      <c r="G45" s="176">
        <f t="shared" si="1"/>
        <v>15</v>
      </c>
      <c r="H45" s="298">
        <v>15</v>
      </c>
      <c r="I45" s="299">
        <v>0</v>
      </c>
      <c r="J45" s="299">
        <v>0</v>
      </c>
      <c r="K45" s="299">
        <v>0</v>
      </c>
      <c r="L45" s="299">
        <v>5</v>
      </c>
      <c r="M45" s="299">
        <v>10</v>
      </c>
      <c r="N45" s="165"/>
      <c r="O45" s="187">
        <v>15</v>
      </c>
      <c r="P45" s="165"/>
      <c r="Q45" s="165"/>
      <c r="R45" s="165"/>
      <c r="S45" s="165"/>
      <c r="T45" s="165"/>
      <c r="U45" s="165"/>
      <c r="V45" s="165"/>
      <c r="W45" s="165"/>
      <c r="X45" s="165"/>
      <c r="Y45" s="165"/>
    </row>
    <row r="46" spans="1:25" ht="15.75" customHeight="1" x14ac:dyDescent="0.25">
      <c r="A46" s="294">
        <v>25</v>
      </c>
      <c r="B46" s="310" t="s">
        <v>2880</v>
      </c>
      <c r="C46" s="305">
        <v>44279</v>
      </c>
      <c r="D46" s="314">
        <v>44279</v>
      </c>
      <c r="E46" s="187">
        <v>1</v>
      </c>
      <c r="F46" s="298">
        <v>30</v>
      </c>
      <c r="G46" s="176">
        <f t="shared" si="1"/>
        <v>30</v>
      </c>
      <c r="H46" s="298">
        <v>30</v>
      </c>
      <c r="I46" s="299">
        <v>0</v>
      </c>
      <c r="J46" s="299">
        <v>0</v>
      </c>
      <c r="K46" s="299">
        <v>0</v>
      </c>
      <c r="L46" s="299">
        <v>5</v>
      </c>
      <c r="M46" s="299">
        <v>25</v>
      </c>
      <c r="N46" s="165"/>
      <c r="O46" s="187">
        <v>30</v>
      </c>
      <c r="P46" s="165"/>
      <c r="Q46" s="165"/>
      <c r="R46" s="165"/>
      <c r="S46" s="165"/>
      <c r="T46" s="165"/>
      <c r="U46" s="165"/>
      <c r="V46" s="165"/>
      <c r="W46" s="165"/>
      <c r="X46" s="165"/>
      <c r="Y46" s="165"/>
    </row>
    <row r="47" spans="1:25" ht="11.25" customHeight="1" x14ac:dyDescent="0.25">
      <c r="A47" s="294">
        <v>26</v>
      </c>
      <c r="B47" s="295" t="s">
        <v>2881</v>
      </c>
      <c r="C47" s="301">
        <v>44279</v>
      </c>
      <c r="D47" s="302">
        <v>44279</v>
      </c>
      <c r="E47" s="187">
        <v>1</v>
      </c>
      <c r="F47" s="298">
        <v>29</v>
      </c>
      <c r="G47" s="176">
        <f t="shared" si="1"/>
        <v>29</v>
      </c>
      <c r="H47" s="298">
        <v>29</v>
      </c>
      <c r="I47" s="299">
        <v>0</v>
      </c>
      <c r="J47" s="299">
        <v>0</v>
      </c>
      <c r="K47" s="299">
        <v>0</v>
      </c>
      <c r="L47" s="299">
        <v>9</v>
      </c>
      <c r="M47" s="299">
        <v>20</v>
      </c>
      <c r="N47" s="165"/>
      <c r="O47" s="187">
        <v>29</v>
      </c>
      <c r="P47" s="165"/>
      <c r="Q47" s="165"/>
      <c r="R47" s="165"/>
      <c r="S47" s="165"/>
      <c r="T47" s="165"/>
      <c r="U47" s="165"/>
      <c r="V47" s="165"/>
      <c r="W47" s="165"/>
      <c r="X47" s="165"/>
      <c r="Y47" s="165"/>
    </row>
    <row r="48" spans="1:25" ht="15.75" customHeight="1" x14ac:dyDescent="0.25">
      <c r="A48" s="294">
        <v>27</v>
      </c>
      <c r="B48" s="295" t="s">
        <v>2882</v>
      </c>
      <c r="C48" s="301">
        <v>44316</v>
      </c>
      <c r="D48" s="302">
        <v>44316</v>
      </c>
      <c r="E48" s="187">
        <v>1</v>
      </c>
      <c r="F48" s="298">
        <v>20</v>
      </c>
      <c r="G48" s="176">
        <f t="shared" si="1"/>
        <v>20</v>
      </c>
      <c r="H48" s="298">
        <v>20</v>
      </c>
      <c r="I48" s="299">
        <v>0</v>
      </c>
      <c r="J48" s="299">
        <v>0</v>
      </c>
      <c r="K48" s="299">
        <v>0</v>
      </c>
      <c r="L48" s="299">
        <v>5</v>
      </c>
      <c r="M48" s="299">
        <v>15</v>
      </c>
      <c r="N48" s="165"/>
      <c r="O48" s="187">
        <v>20</v>
      </c>
      <c r="P48" s="165"/>
      <c r="Q48" s="165"/>
      <c r="R48" s="165"/>
      <c r="S48" s="165"/>
      <c r="T48" s="165"/>
      <c r="U48" s="165"/>
      <c r="V48" s="165"/>
      <c r="W48" s="165"/>
      <c r="X48" s="165"/>
      <c r="Y48" s="165"/>
    </row>
    <row r="49" spans="1:25" ht="15.75" customHeight="1" x14ac:dyDescent="0.25">
      <c r="A49" s="294">
        <v>28</v>
      </c>
      <c r="B49" s="295" t="s">
        <v>2883</v>
      </c>
      <c r="C49" s="301">
        <v>44323</v>
      </c>
      <c r="D49" s="302">
        <v>44323</v>
      </c>
      <c r="E49" s="187">
        <v>1</v>
      </c>
      <c r="F49" s="298">
        <v>15</v>
      </c>
      <c r="G49" s="176">
        <f t="shared" si="1"/>
        <v>15</v>
      </c>
      <c r="H49" s="298">
        <v>15</v>
      </c>
      <c r="I49" s="299">
        <v>0</v>
      </c>
      <c r="J49" s="299">
        <v>0</v>
      </c>
      <c r="K49" s="299">
        <v>0</v>
      </c>
      <c r="L49" s="299">
        <v>5</v>
      </c>
      <c r="M49" s="299">
        <v>10</v>
      </c>
      <c r="N49" s="165"/>
      <c r="O49" s="187">
        <v>15</v>
      </c>
      <c r="P49" s="165"/>
      <c r="Q49" s="165"/>
      <c r="R49" s="165"/>
      <c r="S49" s="165"/>
      <c r="T49" s="165"/>
      <c r="U49" s="165"/>
      <c r="V49" s="165"/>
      <c r="W49" s="165"/>
      <c r="X49" s="165"/>
      <c r="Y49" s="165"/>
    </row>
    <row r="50" spans="1:25" ht="15.75" customHeight="1" x14ac:dyDescent="0.25">
      <c r="A50" s="294">
        <v>29</v>
      </c>
      <c r="B50" s="295" t="s">
        <v>2481</v>
      </c>
      <c r="C50" s="301">
        <v>44351</v>
      </c>
      <c r="D50" s="302">
        <v>44355</v>
      </c>
      <c r="E50" s="187">
        <v>2</v>
      </c>
      <c r="F50" s="298">
        <v>115</v>
      </c>
      <c r="G50" s="176">
        <f t="shared" si="1"/>
        <v>230</v>
      </c>
      <c r="H50" s="298">
        <v>115</v>
      </c>
      <c r="I50" s="299">
        <v>0</v>
      </c>
      <c r="J50" s="299">
        <v>0</v>
      </c>
      <c r="K50" s="299">
        <v>10</v>
      </c>
      <c r="L50" s="299">
        <v>15</v>
      </c>
      <c r="M50" s="299">
        <v>90</v>
      </c>
      <c r="N50" s="165"/>
      <c r="O50" s="187">
        <v>115</v>
      </c>
      <c r="P50" s="165"/>
      <c r="Q50" s="165"/>
      <c r="R50" s="165"/>
      <c r="S50" s="165"/>
      <c r="T50" s="165"/>
      <c r="U50" s="165"/>
      <c r="V50" s="165"/>
      <c r="W50" s="165"/>
      <c r="X50" s="165"/>
      <c r="Y50" s="165"/>
    </row>
    <row r="51" spans="1:25" ht="15.75" customHeight="1" x14ac:dyDescent="0.25">
      <c r="A51" s="294">
        <v>30</v>
      </c>
      <c r="B51" s="295" t="s">
        <v>2884</v>
      </c>
      <c r="C51" s="301">
        <v>44301</v>
      </c>
      <c r="D51" s="302">
        <v>44302</v>
      </c>
      <c r="E51" s="187">
        <v>1.25</v>
      </c>
      <c r="F51" s="298">
        <v>126</v>
      </c>
      <c r="G51" s="176">
        <f t="shared" si="1"/>
        <v>157.5</v>
      </c>
      <c r="H51" s="298">
        <v>126</v>
      </c>
      <c r="I51" s="299">
        <v>0</v>
      </c>
      <c r="J51" s="299">
        <v>0</v>
      </c>
      <c r="K51" s="299">
        <v>0</v>
      </c>
      <c r="L51" s="299">
        <v>26</v>
      </c>
      <c r="M51" s="299">
        <v>100</v>
      </c>
      <c r="N51" s="165"/>
      <c r="O51" s="187">
        <v>126</v>
      </c>
      <c r="P51" s="165"/>
      <c r="Q51" s="165"/>
      <c r="R51" s="165"/>
      <c r="S51" s="165"/>
      <c r="T51" s="165"/>
      <c r="U51" s="165"/>
      <c r="V51" s="165"/>
      <c r="W51" s="165"/>
      <c r="X51" s="165"/>
      <c r="Y51" s="165"/>
    </row>
    <row r="52" spans="1:25" ht="15.75" customHeight="1" x14ac:dyDescent="0.25">
      <c r="A52" s="294">
        <v>31</v>
      </c>
      <c r="B52" s="295" t="s">
        <v>2885</v>
      </c>
      <c r="C52" s="301">
        <v>44341</v>
      </c>
      <c r="D52" s="302">
        <v>44341</v>
      </c>
      <c r="E52" s="187">
        <v>1</v>
      </c>
      <c r="F52" s="298">
        <v>21</v>
      </c>
      <c r="G52" s="176">
        <f t="shared" si="1"/>
        <v>21</v>
      </c>
      <c r="H52" s="298">
        <v>21</v>
      </c>
      <c r="I52" s="299">
        <v>0</v>
      </c>
      <c r="J52" s="299">
        <v>0</v>
      </c>
      <c r="K52" s="299">
        <v>0</v>
      </c>
      <c r="L52" s="299">
        <v>1</v>
      </c>
      <c r="M52" s="299">
        <v>20</v>
      </c>
      <c r="N52" s="165"/>
      <c r="O52" s="187">
        <v>21</v>
      </c>
      <c r="P52" s="165"/>
      <c r="Q52" s="165"/>
      <c r="R52" s="165"/>
      <c r="S52" s="165"/>
      <c r="T52" s="165"/>
      <c r="U52" s="165"/>
      <c r="V52" s="165"/>
      <c r="W52" s="165"/>
      <c r="X52" s="165"/>
      <c r="Y52" s="165"/>
    </row>
    <row r="53" spans="1:25" ht="15.75" customHeight="1" x14ac:dyDescent="0.25">
      <c r="A53" s="294">
        <v>32</v>
      </c>
      <c r="B53" s="295" t="s">
        <v>2886</v>
      </c>
      <c r="C53" s="301">
        <v>44343</v>
      </c>
      <c r="D53" s="314">
        <v>44343</v>
      </c>
      <c r="E53" s="187">
        <v>1</v>
      </c>
      <c r="F53" s="298">
        <v>41</v>
      </c>
      <c r="G53" s="176">
        <f t="shared" si="1"/>
        <v>41</v>
      </c>
      <c r="H53" s="298">
        <v>41</v>
      </c>
      <c r="I53" s="299">
        <v>0</v>
      </c>
      <c r="J53" s="299">
        <v>0</v>
      </c>
      <c r="K53" s="299">
        <v>0</v>
      </c>
      <c r="L53" s="299">
        <v>20</v>
      </c>
      <c r="M53" s="299">
        <v>21</v>
      </c>
      <c r="N53" s="165"/>
      <c r="O53" s="187">
        <v>41</v>
      </c>
      <c r="P53" s="165"/>
      <c r="Q53" s="165"/>
      <c r="R53" s="165"/>
      <c r="S53" s="165"/>
      <c r="T53" s="165"/>
      <c r="U53" s="165"/>
      <c r="V53" s="165"/>
      <c r="W53" s="165"/>
      <c r="X53" s="165"/>
      <c r="Y53" s="165"/>
    </row>
    <row r="54" spans="1:25" ht="15.75" customHeight="1" x14ac:dyDescent="0.25">
      <c r="A54" s="294">
        <v>33</v>
      </c>
      <c r="B54" s="295" t="s">
        <v>2887</v>
      </c>
      <c r="C54" s="301">
        <v>44320</v>
      </c>
      <c r="D54" s="302">
        <v>44320</v>
      </c>
      <c r="E54" s="187">
        <v>1</v>
      </c>
      <c r="F54" s="298">
        <v>14</v>
      </c>
      <c r="G54" s="176">
        <f t="shared" si="1"/>
        <v>14</v>
      </c>
      <c r="H54" s="298">
        <v>14</v>
      </c>
      <c r="I54" s="299">
        <v>0</v>
      </c>
      <c r="J54" s="299">
        <v>0</v>
      </c>
      <c r="K54" s="299">
        <v>0</v>
      </c>
      <c r="L54" s="299">
        <v>4</v>
      </c>
      <c r="M54" s="299">
        <v>10</v>
      </c>
      <c r="N54" s="165"/>
      <c r="O54" s="187">
        <v>14</v>
      </c>
      <c r="P54" s="165"/>
      <c r="Q54" s="165"/>
      <c r="R54" s="165"/>
      <c r="S54" s="165"/>
      <c r="T54" s="165"/>
      <c r="U54" s="165"/>
      <c r="V54" s="165"/>
      <c r="W54" s="165"/>
      <c r="X54" s="165"/>
      <c r="Y54" s="165"/>
    </row>
    <row r="55" spans="1:25" ht="15.75" customHeight="1" x14ac:dyDescent="0.25">
      <c r="A55" s="294">
        <v>34</v>
      </c>
      <c r="B55" s="295" t="s">
        <v>2888</v>
      </c>
      <c r="C55" s="301">
        <v>44348</v>
      </c>
      <c r="D55" s="314">
        <v>44350</v>
      </c>
      <c r="E55" s="187">
        <v>1.5</v>
      </c>
      <c r="F55" s="307">
        <v>96</v>
      </c>
      <c r="G55" s="176">
        <f t="shared" si="1"/>
        <v>144</v>
      </c>
      <c r="H55" s="307">
        <v>96</v>
      </c>
      <c r="I55" s="299">
        <v>0</v>
      </c>
      <c r="J55" s="299">
        <v>0</v>
      </c>
      <c r="K55" s="299">
        <v>0</v>
      </c>
      <c r="L55" s="299">
        <v>40</v>
      </c>
      <c r="M55" s="299">
        <v>56</v>
      </c>
      <c r="N55" s="165"/>
      <c r="O55" s="187">
        <v>96</v>
      </c>
      <c r="P55" s="165"/>
      <c r="Q55" s="165"/>
      <c r="R55" s="165"/>
      <c r="S55" s="165"/>
      <c r="T55" s="165"/>
      <c r="U55" s="165"/>
      <c r="V55" s="165"/>
      <c r="W55" s="165"/>
      <c r="X55" s="165"/>
      <c r="Y55" s="165"/>
    </row>
    <row r="56" spans="1:25" ht="11.25" customHeight="1" x14ac:dyDescent="0.25">
      <c r="A56" s="477">
        <v>35</v>
      </c>
      <c r="B56" s="478" t="s">
        <v>2889</v>
      </c>
      <c r="C56" s="301">
        <v>44347</v>
      </c>
      <c r="D56" s="315">
        <v>44351</v>
      </c>
      <c r="E56" s="187">
        <v>2</v>
      </c>
      <c r="F56" s="298">
        <v>24</v>
      </c>
      <c r="G56" s="176">
        <f t="shared" si="1"/>
        <v>48</v>
      </c>
      <c r="H56" s="298">
        <v>24</v>
      </c>
      <c r="I56" s="299">
        <v>0</v>
      </c>
      <c r="J56" s="299">
        <v>0</v>
      </c>
      <c r="K56" s="299">
        <v>0</v>
      </c>
      <c r="L56" s="299">
        <v>4</v>
      </c>
      <c r="M56" s="299">
        <v>20</v>
      </c>
      <c r="N56" s="165"/>
      <c r="O56" s="187">
        <v>24</v>
      </c>
      <c r="P56" s="165"/>
      <c r="Q56" s="165"/>
      <c r="R56" s="165"/>
      <c r="S56" s="165"/>
      <c r="T56" s="165"/>
      <c r="U56" s="165"/>
      <c r="V56" s="165"/>
      <c r="W56" s="165"/>
      <c r="X56" s="165"/>
      <c r="Y56" s="165"/>
    </row>
    <row r="57" spans="1:25" ht="11.25" customHeight="1" x14ac:dyDescent="0.25">
      <c r="A57" s="383"/>
      <c r="B57" s="383"/>
      <c r="C57" s="308">
        <v>44352</v>
      </c>
      <c r="D57" s="316">
        <v>44356</v>
      </c>
      <c r="E57" s="187">
        <v>2</v>
      </c>
      <c r="F57" s="298">
        <v>24</v>
      </c>
      <c r="G57" s="176">
        <f t="shared" si="1"/>
        <v>48</v>
      </c>
      <c r="H57" s="298">
        <v>24</v>
      </c>
      <c r="I57" s="299">
        <v>0</v>
      </c>
      <c r="J57" s="299">
        <v>0</v>
      </c>
      <c r="K57" s="299">
        <v>0</v>
      </c>
      <c r="L57" s="299">
        <v>4</v>
      </c>
      <c r="M57" s="299">
        <v>20</v>
      </c>
      <c r="N57" s="165"/>
      <c r="O57" s="187">
        <v>24</v>
      </c>
      <c r="P57" s="165"/>
      <c r="Q57" s="165"/>
      <c r="R57" s="165"/>
      <c r="S57" s="165"/>
      <c r="T57" s="165"/>
      <c r="U57" s="165"/>
      <c r="V57" s="165"/>
      <c r="W57" s="165"/>
      <c r="X57" s="165"/>
      <c r="Y57" s="165"/>
    </row>
    <row r="58" spans="1:25" ht="11.25" customHeight="1" x14ac:dyDescent="0.25">
      <c r="A58" s="368"/>
      <c r="B58" s="368"/>
      <c r="C58" s="308">
        <v>44357</v>
      </c>
      <c r="D58" s="316">
        <v>44359</v>
      </c>
      <c r="E58" s="187">
        <v>1.25</v>
      </c>
      <c r="F58" s="298">
        <v>24</v>
      </c>
      <c r="G58" s="176">
        <f t="shared" si="1"/>
        <v>30</v>
      </c>
      <c r="H58" s="298">
        <v>24</v>
      </c>
      <c r="I58" s="299">
        <v>0</v>
      </c>
      <c r="J58" s="299">
        <v>0</v>
      </c>
      <c r="K58" s="299">
        <v>0</v>
      </c>
      <c r="L58" s="299">
        <v>4</v>
      </c>
      <c r="M58" s="299">
        <v>20</v>
      </c>
      <c r="N58" s="165"/>
      <c r="O58" s="187">
        <v>24</v>
      </c>
      <c r="P58" s="165"/>
      <c r="Q58" s="165"/>
      <c r="R58" s="165"/>
      <c r="S58" s="165"/>
      <c r="T58" s="165"/>
      <c r="U58" s="165"/>
      <c r="V58" s="165"/>
      <c r="W58" s="165"/>
      <c r="X58" s="165"/>
      <c r="Y58" s="165"/>
    </row>
    <row r="59" spans="1:25" ht="11.25" customHeight="1" x14ac:dyDescent="0.25">
      <c r="A59" s="294">
        <v>36</v>
      </c>
      <c r="B59" s="478" t="s">
        <v>2890</v>
      </c>
      <c r="C59" s="308">
        <v>44336</v>
      </c>
      <c r="D59" s="317">
        <v>44337</v>
      </c>
      <c r="E59" s="187">
        <v>1.25</v>
      </c>
      <c r="F59" s="298">
        <v>30</v>
      </c>
      <c r="G59" s="176">
        <f t="shared" si="1"/>
        <v>37.5</v>
      </c>
      <c r="H59" s="298">
        <v>30</v>
      </c>
      <c r="I59" s="299">
        <v>0</v>
      </c>
      <c r="J59" s="299">
        <v>0</v>
      </c>
      <c r="K59" s="299">
        <v>5</v>
      </c>
      <c r="L59" s="299">
        <v>10</v>
      </c>
      <c r="M59" s="299">
        <v>15</v>
      </c>
      <c r="N59" s="165"/>
      <c r="O59" s="187">
        <v>30</v>
      </c>
      <c r="P59" s="165"/>
      <c r="Q59" s="165"/>
      <c r="R59" s="165"/>
      <c r="S59" s="165"/>
      <c r="T59" s="165"/>
      <c r="U59" s="165"/>
      <c r="V59" s="165"/>
      <c r="W59" s="165"/>
      <c r="X59" s="165"/>
      <c r="Y59" s="165"/>
    </row>
    <row r="60" spans="1:25" ht="11.25" customHeight="1" x14ac:dyDescent="0.25">
      <c r="A60" s="294"/>
      <c r="B60" s="368"/>
      <c r="C60" s="308">
        <v>44356</v>
      </c>
      <c r="D60" s="317">
        <v>44358</v>
      </c>
      <c r="E60" s="187">
        <v>1.5</v>
      </c>
      <c r="F60" s="298">
        <v>35</v>
      </c>
      <c r="G60" s="176">
        <f t="shared" si="1"/>
        <v>52.5</v>
      </c>
      <c r="H60" s="298">
        <v>35</v>
      </c>
      <c r="I60" s="299">
        <v>0</v>
      </c>
      <c r="J60" s="299">
        <v>0</v>
      </c>
      <c r="K60" s="299">
        <v>0</v>
      </c>
      <c r="L60" s="299">
        <v>10</v>
      </c>
      <c r="M60" s="299">
        <v>25</v>
      </c>
      <c r="N60" s="165"/>
      <c r="O60" s="187">
        <v>35</v>
      </c>
      <c r="P60" s="165"/>
      <c r="Q60" s="165"/>
      <c r="R60" s="165"/>
      <c r="S60" s="165"/>
      <c r="T60" s="165"/>
      <c r="U60" s="165"/>
      <c r="V60" s="165"/>
      <c r="W60" s="165"/>
      <c r="X60" s="165"/>
      <c r="Y60" s="165"/>
    </row>
    <row r="61" spans="1:25" ht="15.75" customHeight="1" x14ac:dyDescent="0.25">
      <c r="A61" s="294">
        <v>37</v>
      </c>
      <c r="B61" s="295" t="s">
        <v>2891</v>
      </c>
      <c r="C61" s="318">
        <v>44392</v>
      </c>
      <c r="D61" s="317">
        <v>44405</v>
      </c>
      <c r="E61" s="187">
        <v>1.5</v>
      </c>
      <c r="F61" s="298">
        <v>7</v>
      </c>
      <c r="G61" s="176">
        <f t="shared" si="1"/>
        <v>10.5</v>
      </c>
      <c r="H61" s="298">
        <v>6</v>
      </c>
      <c r="I61" s="299">
        <v>0</v>
      </c>
      <c r="J61" s="299">
        <v>0</v>
      </c>
      <c r="K61" s="299">
        <v>0</v>
      </c>
      <c r="L61" s="299">
        <v>1</v>
      </c>
      <c r="M61" s="299">
        <v>5</v>
      </c>
      <c r="N61" s="165"/>
      <c r="O61" s="187">
        <v>6</v>
      </c>
      <c r="P61" s="165"/>
      <c r="Q61" s="165"/>
      <c r="R61" s="165"/>
      <c r="S61" s="165"/>
      <c r="T61" s="165"/>
      <c r="U61" s="165"/>
      <c r="V61" s="165"/>
      <c r="W61" s="165"/>
      <c r="X61" s="165"/>
      <c r="Y61" s="165"/>
    </row>
    <row r="62" spans="1:25" ht="15.75" customHeight="1" x14ac:dyDescent="0.25">
      <c r="A62" s="294">
        <v>38</v>
      </c>
      <c r="B62" s="295" t="s">
        <v>2892</v>
      </c>
      <c r="C62" s="318">
        <v>44392</v>
      </c>
      <c r="D62" s="317">
        <v>44393</v>
      </c>
      <c r="E62" s="187">
        <v>1.25</v>
      </c>
      <c r="F62" s="307">
        <v>29</v>
      </c>
      <c r="G62" s="176">
        <f t="shared" si="1"/>
        <v>36.25</v>
      </c>
      <c r="H62" s="307">
        <v>29</v>
      </c>
      <c r="I62" s="299">
        <v>0</v>
      </c>
      <c r="J62" s="299">
        <v>0</v>
      </c>
      <c r="K62" s="299">
        <v>0</v>
      </c>
      <c r="L62" s="299">
        <v>9</v>
      </c>
      <c r="M62" s="299">
        <v>20</v>
      </c>
      <c r="N62" s="165"/>
      <c r="O62" s="187">
        <v>29</v>
      </c>
      <c r="P62" s="165"/>
      <c r="Q62" s="165"/>
      <c r="R62" s="165"/>
      <c r="S62" s="165"/>
      <c r="T62" s="165"/>
      <c r="U62" s="165"/>
      <c r="V62" s="165"/>
      <c r="W62" s="165"/>
      <c r="X62" s="165"/>
      <c r="Y62" s="165"/>
    </row>
    <row r="63" spans="1:25" ht="15.75" customHeight="1" x14ac:dyDescent="0.25">
      <c r="A63" s="294">
        <v>39</v>
      </c>
      <c r="B63" s="295" t="s">
        <v>2481</v>
      </c>
      <c r="C63" s="318">
        <v>44391</v>
      </c>
      <c r="D63" s="317">
        <v>44391</v>
      </c>
      <c r="E63" s="187">
        <v>1</v>
      </c>
      <c r="F63" s="307">
        <v>174</v>
      </c>
      <c r="G63" s="176">
        <f t="shared" si="1"/>
        <v>174</v>
      </c>
      <c r="H63" s="307">
        <v>50</v>
      </c>
      <c r="I63" s="299">
        <v>0</v>
      </c>
      <c r="J63" s="299">
        <v>0</v>
      </c>
      <c r="K63" s="299">
        <v>5</v>
      </c>
      <c r="L63" s="299">
        <v>20</v>
      </c>
      <c r="M63" s="299">
        <v>25</v>
      </c>
      <c r="N63" s="165"/>
      <c r="O63" s="187">
        <v>50</v>
      </c>
      <c r="P63" s="165"/>
      <c r="Q63" s="165"/>
      <c r="R63" s="165"/>
      <c r="S63" s="165"/>
      <c r="T63" s="165"/>
      <c r="U63" s="165"/>
      <c r="V63" s="165"/>
      <c r="W63" s="165"/>
      <c r="X63" s="165"/>
      <c r="Y63" s="165"/>
    </row>
    <row r="64" spans="1:25" ht="15.75" customHeight="1" x14ac:dyDescent="0.25">
      <c r="A64" s="294">
        <v>40</v>
      </c>
      <c r="B64" s="295" t="s">
        <v>2893</v>
      </c>
      <c r="C64" s="318">
        <v>44442</v>
      </c>
      <c r="D64" s="317">
        <v>44442</v>
      </c>
      <c r="E64" s="187">
        <v>1</v>
      </c>
      <c r="F64" s="319">
        <v>68</v>
      </c>
      <c r="G64" s="176">
        <f t="shared" si="1"/>
        <v>68</v>
      </c>
      <c r="H64" s="319">
        <v>19</v>
      </c>
      <c r="I64" s="299">
        <v>0</v>
      </c>
      <c r="J64" s="299">
        <v>0</v>
      </c>
      <c r="K64" s="299">
        <v>0</v>
      </c>
      <c r="L64" s="299">
        <v>5</v>
      </c>
      <c r="M64" s="299">
        <v>14</v>
      </c>
      <c r="N64" s="165"/>
      <c r="O64" s="187">
        <v>19</v>
      </c>
      <c r="P64" s="165"/>
      <c r="Q64" s="165"/>
      <c r="R64" s="165"/>
      <c r="S64" s="165"/>
      <c r="T64" s="165"/>
      <c r="U64" s="165"/>
      <c r="V64" s="165"/>
      <c r="W64" s="165"/>
      <c r="X64" s="165"/>
      <c r="Y64" s="165"/>
    </row>
    <row r="65" spans="1:25" ht="15.75" customHeight="1" x14ac:dyDescent="0.25">
      <c r="A65" s="294">
        <v>41</v>
      </c>
      <c r="B65" s="295" t="s">
        <v>2894</v>
      </c>
      <c r="C65" s="318">
        <v>44406</v>
      </c>
      <c r="D65" s="317">
        <v>44407</v>
      </c>
      <c r="E65" s="187">
        <v>1.25</v>
      </c>
      <c r="F65" s="319">
        <v>14</v>
      </c>
      <c r="G65" s="176">
        <f t="shared" si="1"/>
        <v>17.5</v>
      </c>
      <c r="H65" s="319">
        <v>10</v>
      </c>
      <c r="I65" s="299">
        <v>0</v>
      </c>
      <c r="J65" s="299">
        <v>0</v>
      </c>
      <c r="K65" s="299">
        <v>0</v>
      </c>
      <c r="L65" s="299">
        <v>2</v>
      </c>
      <c r="M65" s="299">
        <v>8</v>
      </c>
      <c r="N65" s="165"/>
      <c r="O65" s="187">
        <v>10</v>
      </c>
      <c r="P65" s="165"/>
      <c r="Q65" s="165"/>
      <c r="R65" s="165"/>
      <c r="S65" s="165"/>
      <c r="T65" s="165"/>
      <c r="U65" s="165"/>
      <c r="V65" s="165"/>
      <c r="W65" s="165"/>
      <c r="X65" s="165"/>
      <c r="Y65" s="165"/>
    </row>
    <row r="66" spans="1:25" ht="15.75" customHeight="1" x14ac:dyDescent="0.25">
      <c r="A66" s="294">
        <v>42</v>
      </c>
      <c r="B66" s="295" t="s">
        <v>2895</v>
      </c>
      <c r="C66" s="318">
        <v>44411</v>
      </c>
      <c r="D66" s="317">
        <v>44414</v>
      </c>
      <c r="E66" s="187">
        <v>1.5</v>
      </c>
      <c r="F66" s="307">
        <v>38</v>
      </c>
      <c r="G66" s="176">
        <f t="shared" si="1"/>
        <v>57</v>
      </c>
      <c r="H66" s="307">
        <v>30</v>
      </c>
      <c r="I66" s="299">
        <v>0</v>
      </c>
      <c r="J66" s="299">
        <v>0</v>
      </c>
      <c r="K66" s="299">
        <v>0</v>
      </c>
      <c r="L66" s="299">
        <v>15</v>
      </c>
      <c r="M66" s="299">
        <v>15</v>
      </c>
      <c r="N66" s="165"/>
      <c r="O66" s="187">
        <v>30</v>
      </c>
      <c r="P66" s="165"/>
      <c r="Q66" s="165"/>
      <c r="R66" s="165"/>
      <c r="S66" s="165"/>
      <c r="T66" s="165"/>
      <c r="U66" s="165"/>
      <c r="V66" s="165"/>
      <c r="W66" s="165"/>
      <c r="X66" s="165"/>
      <c r="Y66" s="165"/>
    </row>
    <row r="67" spans="1:25" ht="15.75" customHeight="1" x14ac:dyDescent="0.25">
      <c r="A67" s="294">
        <v>43</v>
      </c>
      <c r="B67" s="295" t="s">
        <v>2896</v>
      </c>
      <c r="C67" s="318">
        <v>44428</v>
      </c>
      <c r="D67" s="317">
        <v>44438</v>
      </c>
      <c r="E67" s="187">
        <v>2</v>
      </c>
      <c r="F67" s="307">
        <v>134</v>
      </c>
      <c r="G67" s="176">
        <f t="shared" si="1"/>
        <v>268</v>
      </c>
      <c r="H67" s="307">
        <v>95</v>
      </c>
      <c r="I67" s="299">
        <v>0</v>
      </c>
      <c r="J67" s="299">
        <v>0</v>
      </c>
      <c r="K67" s="299">
        <v>0</v>
      </c>
      <c r="L67" s="299">
        <v>45</v>
      </c>
      <c r="M67" s="299">
        <v>50</v>
      </c>
      <c r="N67" s="165"/>
      <c r="O67" s="187">
        <v>95</v>
      </c>
      <c r="P67" s="165"/>
      <c r="Q67" s="165"/>
      <c r="R67" s="165"/>
      <c r="S67" s="165"/>
      <c r="T67" s="165"/>
      <c r="U67" s="165"/>
      <c r="V67" s="165"/>
      <c r="W67" s="165"/>
      <c r="X67" s="165"/>
      <c r="Y67" s="165"/>
    </row>
    <row r="68" spans="1:25" ht="15.75" customHeight="1" x14ac:dyDescent="0.25">
      <c r="A68" s="294">
        <v>44</v>
      </c>
      <c r="B68" s="310" t="s">
        <v>2897</v>
      </c>
      <c r="C68" s="320">
        <v>44433</v>
      </c>
      <c r="D68" s="321">
        <v>44434</v>
      </c>
      <c r="E68" s="187">
        <v>1.25</v>
      </c>
      <c r="F68" s="307">
        <v>97</v>
      </c>
      <c r="G68" s="176">
        <f t="shared" si="1"/>
        <v>121.25</v>
      </c>
      <c r="H68" s="307">
        <v>94</v>
      </c>
      <c r="I68" s="299">
        <v>0</v>
      </c>
      <c r="J68" s="299">
        <v>0</v>
      </c>
      <c r="K68" s="299">
        <v>4</v>
      </c>
      <c r="L68" s="299">
        <v>40</v>
      </c>
      <c r="M68" s="299">
        <v>50</v>
      </c>
      <c r="N68" s="165"/>
      <c r="O68" s="187">
        <v>94</v>
      </c>
      <c r="P68" s="165"/>
      <c r="Q68" s="165"/>
      <c r="R68" s="165"/>
      <c r="S68" s="165"/>
      <c r="T68" s="165"/>
      <c r="U68" s="165"/>
      <c r="V68" s="165"/>
      <c r="W68" s="165"/>
      <c r="X68" s="165"/>
      <c r="Y68" s="165"/>
    </row>
    <row r="69" spans="1:25" ht="15.75" customHeight="1" x14ac:dyDescent="0.25">
      <c r="A69" s="294">
        <v>45</v>
      </c>
      <c r="B69" s="295" t="s">
        <v>2898</v>
      </c>
      <c r="C69" s="318">
        <v>44441</v>
      </c>
      <c r="D69" s="317">
        <v>44464</v>
      </c>
      <c r="E69" s="187">
        <v>2</v>
      </c>
      <c r="F69" s="307">
        <v>134</v>
      </c>
      <c r="G69" s="176">
        <f t="shared" si="1"/>
        <v>268</v>
      </c>
      <c r="H69" s="307">
        <v>50</v>
      </c>
      <c r="I69" s="299">
        <v>0</v>
      </c>
      <c r="J69" s="299">
        <v>0</v>
      </c>
      <c r="K69" s="299">
        <v>5</v>
      </c>
      <c r="L69" s="299">
        <v>20</v>
      </c>
      <c r="M69" s="299">
        <v>25</v>
      </c>
      <c r="N69" s="165"/>
      <c r="O69" s="187">
        <v>50</v>
      </c>
      <c r="P69" s="165"/>
      <c r="Q69" s="165"/>
      <c r="R69" s="165"/>
      <c r="S69" s="165"/>
      <c r="T69" s="165"/>
      <c r="U69" s="165"/>
      <c r="V69" s="165"/>
      <c r="W69" s="165"/>
      <c r="X69" s="165"/>
      <c r="Y69" s="165"/>
    </row>
    <row r="70" spans="1:25" ht="15.75" customHeight="1" x14ac:dyDescent="0.25">
      <c r="A70" s="294">
        <v>46</v>
      </c>
      <c r="B70" s="295" t="s">
        <v>2899</v>
      </c>
      <c r="C70" s="318">
        <v>44445</v>
      </c>
      <c r="D70" s="317">
        <v>44449</v>
      </c>
      <c r="E70" s="187">
        <v>1.5</v>
      </c>
      <c r="F70" s="307">
        <v>18</v>
      </c>
      <c r="G70" s="176">
        <f t="shared" si="1"/>
        <v>27</v>
      </c>
      <c r="H70" s="187">
        <v>18</v>
      </c>
      <c r="I70" s="299">
        <v>0</v>
      </c>
      <c r="J70" s="299">
        <v>0</v>
      </c>
      <c r="K70" s="299">
        <v>0</v>
      </c>
      <c r="L70" s="299">
        <v>8</v>
      </c>
      <c r="M70" s="299">
        <v>10</v>
      </c>
      <c r="N70" s="165"/>
      <c r="O70" s="187">
        <v>18</v>
      </c>
      <c r="P70" s="165"/>
      <c r="Q70" s="165"/>
      <c r="R70" s="165"/>
      <c r="S70" s="165"/>
      <c r="T70" s="165"/>
      <c r="U70" s="165"/>
      <c r="V70" s="165"/>
      <c r="W70" s="165"/>
      <c r="X70" s="165"/>
      <c r="Y70" s="165"/>
    </row>
    <row r="71" spans="1:25" ht="15.75" customHeight="1" x14ac:dyDescent="0.25">
      <c r="A71" s="294">
        <v>47</v>
      </c>
      <c r="B71" s="295" t="s">
        <v>2900</v>
      </c>
      <c r="C71" s="320">
        <v>44520</v>
      </c>
      <c r="D71" s="321">
        <v>44520</v>
      </c>
      <c r="E71" s="187">
        <v>1</v>
      </c>
      <c r="F71" s="298">
        <v>50</v>
      </c>
      <c r="G71" s="176">
        <f t="shared" si="1"/>
        <v>50</v>
      </c>
      <c r="H71" s="322">
        <v>25</v>
      </c>
      <c r="I71" s="299">
        <v>0</v>
      </c>
      <c r="J71" s="299">
        <v>0</v>
      </c>
      <c r="K71" s="299">
        <v>0</v>
      </c>
      <c r="L71" s="299">
        <v>5</v>
      </c>
      <c r="M71" s="299">
        <v>20</v>
      </c>
      <c r="N71" s="165"/>
      <c r="O71" s="323">
        <v>25</v>
      </c>
      <c r="P71" s="165"/>
      <c r="Q71" s="165"/>
      <c r="R71" s="165"/>
      <c r="S71" s="165"/>
      <c r="T71" s="165"/>
      <c r="U71" s="165"/>
      <c r="V71" s="165"/>
      <c r="W71" s="165"/>
      <c r="X71" s="165"/>
      <c r="Y71" s="165"/>
    </row>
    <row r="72" spans="1:25" ht="15.75" customHeight="1" x14ac:dyDescent="0.25">
      <c r="A72" s="294">
        <v>48</v>
      </c>
      <c r="B72" s="310" t="s">
        <v>2901</v>
      </c>
      <c r="C72" s="318">
        <v>44520</v>
      </c>
      <c r="D72" s="317">
        <v>44520</v>
      </c>
      <c r="E72" s="187">
        <v>1</v>
      </c>
      <c r="F72" s="298">
        <v>25</v>
      </c>
      <c r="G72" s="176">
        <f t="shared" si="1"/>
        <v>25</v>
      </c>
      <c r="H72" s="322">
        <v>10</v>
      </c>
      <c r="I72" s="299">
        <v>0</v>
      </c>
      <c r="J72" s="299">
        <v>0</v>
      </c>
      <c r="K72" s="299">
        <v>0</v>
      </c>
      <c r="L72" s="299">
        <v>2</v>
      </c>
      <c r="M72" s="299">
        <v>8</v>
      </c>
      <c r="N72" s="165"/>
      <c r="O72" s="323">
        <v>10</v>
      </c>
      <c r="P72" s="165"/>
      <c r="Q72" s="165"/>
      <c r="R72" s="165"/>
      <c r="S72" s="165"/>
      <c r="T72" s="165"/>
      <c r="U72" s="165"/>
      <c r="V72" s="165"/>
      <c r="W72" s="165"/>
      <c r="X72" s="165"/>
      <c r="Y72" s="165"/>
    </row>
    <row r="73" spans="1:25" ht="15.75" customHeight="1" x14ac:dyDescent="0.25">
      <c r="A73" s="294">
        <v>49</v>
      </c>
      <c r="B73" s="295" t="s">
        <v>2902</v>
      </c>
      <c r="C73" s="320">
        <v>44516</v>
      </c>
      <c r="D73" s="321">
        <v>44516</v>
      </c>
      <c r="E73" s="187">
        <v>1</v>
      </c>
      <c r="F73" s="324">
        <v>25</v>
      </c>
      <c r="G73" s="176">
        <f t="shared" si="1"/>
        <v>25</v>
      </c>
      <c r="H73" s="322">
        <v>5</v>
      </c>
      <c r="I73" s="299">
        <v>0</v>
      </c>
      <c r="J73" s="299">
        <v>0</v>
      </c>
      <c r="K73" s="299">
        <v>0</v>
      </c>
      <c r="L73" s="299">
        <v>0</v>
      </c>
      <c r="M73" s="299">
        <v>5</v>
      </c>
      <c r="N73" s="165"/>
      <c r="O73" s="323">
        <v>5</v>
      </c>
      <c r="P73" s="165"/>
      <c r="Q73" s="165"/>
      <c r="R73" s="165"/>
      <c r="S73" s="165"/>
      <c r="T73" s="165"/>
      <c r="U73" s="165"/>
      <c r="V73" s="165"/>
      <c r="W73" s="165"/>
      <c r="X73" s="165"/>
      <c r="Y73" s="165"/>
    </row>
    <row r="74" spans="1:25" ht="11.25" customHeight="1" x14ac:dyDescent="0.25">
      <c r="A74" s="166"/>
      <c r="B74" s="173"/>
      <c r="C74" s="325"/>
      <c r="D74" s="325"/>
      <c r="E74" s="326"/>
      <c r="F74" s="326"/>
      <c r="G74" s="327"/>
      <c r="H74" s="325"/>
      <c r="I74" s="325"/>
      <c r="J74" s="325"/>
      <c r="K74" s="325"/>
      <c r="L74" s="325"/>
      <c r="M74" s="325"/>
      <c r="N74" s="165"/>
      <c r="O74" s="165"/>
      <c r="P74" s="165"/>
      <c r="Q74" s="165"/>
      <c r="R74" s="165"/>
      <c r="S74" s="165"/>
      <c r="T74" s="165"/>
      <c r="U74" s="165"/>
      <c r="V74" s="165"/>
      <c r="W74" s="165"/>
      <c r="X74" s="165"/>
      <c r="Y74" s="165"/>
    </row>
    <row r="75" spans="1:25" ht="11.25" customHeight="1" x14ac:dyDescent="0.25">
      <c r="A75" s="165"/>
      <c r="B75" s="168"/>
      <c r="C75" s="328"/>
      <c r="D75" s="328"/>
      <c r="E75" s="475"/>
      <c r="F75" s="326"/>
      <c r="G75" s="476">
        <f t="shared" ref="G75:M75" si="2">SUM(G21:G73)</f>
        <v>3327.25</v>
      </c>
      <c r="H75" s="472">
        <f t="shared" si="2"/>
        <v>2176</v>
      </c>
      <c r="I75" s="329">
        <f t="shared" si="2"/>
        <v>0</v>
      </c>
      <c r="J75" s="329">
        <f t="shared" si="2"/>
        <v>0</v>
      </c>
      <c r="K75" s="329">
        <f t="shared" si="2"/>
        <v>61</v>
      </c>
      <c r="L75" s="329">
        <f t="shared" si="2"/>
        <v>692</v>
      </c>
      <c r="M75" s="330">
        <f t="shared" si="2"/>
        <v>1463</v>
      </c>
      <c r="N75" s="165"/>
      <c r="O75" s="165"/>
      <c r="P75" s="165"/>
      <c r="Q75" s="165"/>
      <c r="R75" s="165"/>
      <c r="S75" s="165"/>
      <c r="T75" s="165"/>
      <c r="U75" s="165"/>
      <c r="V75" s="165"/>
      <c r="W75" s="165"/>
      <c r="X75" s="165"/>
      <c r="Y75" s="165"/>
    </row>
    <row r="76" spans="1:25" ht="11.25" customHeight="1" x14ac:dyDescent="0.25">
      <c r="A76" s="165"/>
      <c r="B76" s="331"/>
      <c r="C76" s="332"/>
      <c r="D76" s="332"/>
      <c r="E76" s="373"/>
      <c r="F76" s="333"/>
      <c r="G76" s="399"/>
      <c r="H76" s="420"/>
      <c r="I76" s="473">
        <f>SUM(K75:M75)/H75</f>
        <v>1.0183823529411764</v>
      </c>
      <c r="J76" s="474"/>
      <c r="K76" s="474"/>
      <c r="L76" s="474"/>
      <c r="M76" s="410"/>
      <c r="N76" s="165"/>
      <c r="O76" s="165"/>
      <c r="P76" s="165"/>
      <c r="Q76" s="165"/>
      <c r="R76" s="165"/>
      <c r="S76" s="165"/>
      <c r="T76" s="165"/>
      <c r="U76" s="165"/>
      <c r="V76" s="165"/>
      <c r="W76" s="165"/>
      <c r="X76" s="165"/>
      <c r="Y76" s="165"/>
    </row>
    <row r="77" spans="1:25" ht="11.25" customHeight="1" x14ac:dyDescent="0.25">
      <c r="A77" s="165"/>
      <c r="B77" s="165"/>
      <c r="C77" s="165"/>
      <c r="D77" s="165"/>
      <c r="E77" s="165"/>
      <c r="F77" s="165"/>
      <c r="G77" s="165"/>
      <c r="H77" s="165"/>
      <c r="I77" s="165"/>
      <c r="J77" s="165"/>
      <c r="K77" s="165"/>
      <c r="L77" s="165"/>
      <c r="M77" s="165"/>
      <c r="N77" s="165"/>
      <c r="O77" s="165"/>
      <c r="P77" s="165"/>
      <c r="Q77" s="165"/>
      <c r="R77" s="165"/>
      <c r="S77" s="165"/>
      <c r="T77" s="165"/>
      <c r="U77" s="165"/>
      <c r="V77" s="165"/>
      <c r="W77" s="165"/>
      <c r="X77" s="165"/>
      <c r="Y77" s="165"/>
    </row>
    <row r="78" spans="1:25" ht="11.25" customHeight="1" x14ac:dyDescent="0.25">
      <c r="A78" s="165"/>
      <c r="B78" s="28" t="s">
        <v>56</v>
      </c>
      <c r="C78" s="29"/>
      <c r="D78" s="165"/>
      <c r="E78" s="165"/>
      <c r="F78" s="165"/>
      <c r="G78" s="165"/>
      <c r="H78" s="165"/>
      <c r="I78" s="165"/>
      <c r="J78" s="165"/>
      <c r="K78" s="165"/>
      <c r="L78" s="165"/>
      <c r="M78" s="165"/>
      <c r="N78" s="165"/>
      <c r="O78" s="165"/>
      <c r="P78" s="165"/>
      <c r="Q78" s="165"/>
      <c r="R78" s="165"/>
      <c r="S78" s="165"/>
      <c r="T78" s="165"/>
      <c r="U78" s="165"/>
      <c r="V78" s="165"/>
      <c r="W78" s="165"/>
      <c r="X78" s="165"/>
      <c r="Y78" s="165"/>
    </row>
    <row r="79" spans="1:25" ht="11.25" customHeight="1" x14ac:dyDescent="0.25">
      <c r="A79" s="165"/>
      <c r="B79" s="29"/>
      <c r="C79" s="283"/>
      <c r="D79" s="165"/>
      <c r="E79" s="165"/>
      <c r="F79" s="165"/>
      <c r="G79" s="165"/>
      <c r="H79" s="165"/>
      <c r="I79" s="165"/>
      <c r="J79" s="165"/>
      <c r="K79" s="165"/>
      <c r="L79" s="165"/>
      <c r="M79" s="165"/>
      <c r="N79" s="165"/>
      <c r="O79" s="179">
        <f>K75+L75+M75</f>
        <v>2216</v>
      </c>
      <c r="P79" s="165"/>
      <c r="Q79" s="165"/>
      <c r="R79" s="165"/>
      <c r="S79" s="165"/>
      <c r="T79" s="165"/>
      <c r="U79" s="165"/>
      <c r="V79" s="165"/>
      <c r="W79" s="165"/>
      <c r="X79" s="165"/>
      <c r="Y79" s="165"/>
    </row>
    <row r="80" spans="1:25" ht="15.75" customHeight="1" x14ac:dyDescent="0.25">
      <c r="A80" s="165"/>
      <c r="B80" s="454" t="s">
        <v>2903</v>
      </c>
      <c r="C80" s="373"/>
      <c r="D80" s="78" t="s">
        <v>2369</v>
      </c>
      <c r="E80" s="165"/>
      <c r="F80" s="165"/>
      <c r="G80" s="165"/>
      <c r="H80" s="165"/>
      <c r="I80" s="165"/>
      <c r="J80" s="165"/>
      <c r="K80" s="165"/>
      <c r="L80" s="165"/>
      <c r="M80" s="165"/>
      <c r="N80" s="165"/>
      <c r="O80" s="165"/>
      <c r="P80" s="165"/>
      <c r="Q80" s="165"/>
      <c r="R80" s="165"/>
      <c r="S80" s="165"/>
      <c r="T80" s="165"/>
      <c r="U80" s="165"/>
      <c r="V80" s="165"/>
      <c r="W80" s="165"/>
      <c r="X80" s="165"/>
      <c r="Y80" s="165"/>
    </row>
    <row r="81" spans="1:25" ht="11.25" customHeight="1" x14ac:dyDescent="0.25">
      <c r="A81" s="165"/>
      <c r="B81" s="455" t="s">
        <v>2829</v>
      </c>
      <c r="C81" s="373"/>
      <c r="D81" s="32" t="s">
        <v>59</v>
      </c>
      <c r="E81" s="165"/>
      <c r="F81" s="165"/>
      <c r="G81" s="165"/>
      <c r="H81" s="165"/>
      <c r="I81" s="165"/>
      <c r="J81" s="165"/>
      <c r="K81" s="165"/>
      <c r="L81" s="165"/>
      <c r="M81" s="165"/>
      <c r="N81" s="165"/>
      <c r="O81" s="165"/>
      <c r="P81" s="165"/>
      <c r="Q81" s="165"/>
      <c r="R81" s="165"/>
      <c r="S81" s="165"/>
      <c r="T81" s="165"/>
      <c r="U81" s="165"/>
      <c r="V81" s="165"/>
      <c r="W81" s="165"/>
      <c r="X81" s="165"/>
      <c r="Y81" s="165"/>
    </row>
    <row r="82" spans="1:25" ht="11.25" customHeight="1" x14ac:dyDescent="0.25">
      <c r="A82" s="165"/>
      <c r="B82" s="5"/>
      <c r="C82" s="5"/>
      <c r="D82" s="165"/>
      <c r="E82" s="165"/>
      <c r="F82" s="165"/>
      <c r="G82" s="165"/>
      <c r="H82" s="165"/>
      <c r="I82" s="165"/>
      <c r="J82" s="165"/>
      <c r="K82" s="165"/>
      <c r="L82" s="165"/>
      <c r="M82" s="165"/>
      <c r="N82" s="165"/>
      <c r="O82" s="165"/>
      <c r="P82" s="165"/>
      <c r="Q82" s="165"/>
      <c r="R82" s="165"/>
      <c r="S82" s="165"/>
      <c r="T82" s="165"/>
      <c r="U82" s="165"/>
      <c r="V82" s="165"/>
      <c r="W82" s="165"/>
      <c r="X82" s="165"/>
      <c r="Y82" s="165"/>
    </row>
    <row r="83" spans="1:25" ht="11.25" customHeight="1" x14ac:dyDescent="0.25">
      <c r="A83" s="165"/>
      <c r="B83" s="33" t="s">
        <v>60</v>
      </c>
      <c r="C83" s="5"/>
      <c r="D83" s="165"/>
      <c r="E83" s="165"/>
      <c r="F83" s="165"/>
      <c r="G83" s="165"/>
      <c r="H83" s="165"/>
      <c r="I83" s="165"/>
      <c r="J83" s="165"/>
      <c r="K83" s="165"/>
      <c r="L83" s="165"/>
      <c r="M83" s="165"/>
      <c r="N83" s="165"/>
      <c r="O83" s="165"/>
      <c r="P83" s="165"/>
      <c r="Q83" s="165"/>
      <c r="R83" s="165"/>
      <c r="S83" s="165"/>
      <c r="T83" s="165"/>
      <c r="U83" s="165"/>
      <c r="V83" s="165"/>
      <c r="W83" s="165"/>
      <c r="X83" s="165"/>
      <c r="Y83" s="165"/>
    </row>
    <row r="84" spans="1:25" ht="11.25" customHeight="1" x14ac:dyDescent="0.25">
      <c r="A84" s="165"/>
      <c r="B84" s="29"/>
      <c r="C84" s="283"/>
      <c r="D84" s="165"/>
      <c r="E84" s="165"/>
      <c r="F84" s="165"/>
      <c r="G84" s="165"/>
      <c r="H84" s="165"/>
      <c r="I84" s="165"/>
      <c r="J84" s="165"/>
      <c r="K84" s="165"/>
      <c r="L84" s="165"/>
      <c r="M84" s="165"/>
      <c r="N84" s="165"/>
      <c r="O84" s="165"/>
      <c r="P84" s="165"/>
      <c r="Q84" s="165"/>
      <c r="R84" s="165"/>
      <c r="S84" s="165"/>
      <c r="T84" s="165"/>
      <c r="U84" s="165"/>
      <c r="V84" s="165"/>
      <c r="W84" s="165"/>
      <c r="X84" s="165"/>
      <c r="Y84" s="165"/>
    </row>
    <row r="85" spans="1:25" ht="15.75" customHeight="1" x14ac:dyDescent="0.25">
      <c r="A85" s="165"/>
      <c r="B85" s="454" t="s">
        <v>2830</v>
      </c>
      <c r="C85" s="373"/>
      <c r="D85" s="78" t="s">
        <v>2369</v>
      </c>
      <c r="E85" s="165"/>
      <c r="F85" s="165"/>
      <c r="G85" s="165"/>
      <c r="H85" s="165"/>
      <c r="I85" s="165"/>
      <c r="J85" s="165"/>
      <c r="K85" s="165"/>
      <c r="L85" s="165"/>
      <c r="M85" s="165"/>
      <c r="N85" s="165"/>
      <c r="O85" s="165"/>
      <c r="P85" s="165"/>
      <c r="Q85" s="165"/>
      <c r="R85" s="165"/>
      <c r="S85" s="165"/>
      <c r="T85" s="165"/>
      <c r="U85" s="165"/>
      <c r="V85" s="165"/>
      <c r="W85" s="165"/>
      <c r="X85" s="165"/>
      <c r="Y85" s="165"/>
    </row>
    <row r="86" spans="1:25" ht="11.25" customHeight="1" x14ac:dyDescent="0.25">
      <c r="A86" s="165"/>
      <c r="B86" s="456" t="s">
        <v>2831</v>
      </c>
      <c r="C86" s="373"/>
      <c r="D86" s="32" t="s">
        <v>59</v>
      </c>
      <c r="E86" s="165"/>
      <c r="F86" s="165"/>
      <c r="G86" s="165"/>
      <c r="H86" s="165"/>
      <c r="I86" s="165"/>
      <c r="J86" s="165"/>
      <c r="K86" s="165"/>
      <c r="L86" s="165"/>
      <c r="M86" s="165"/>
      <c r="N86" s="165"/>
      <c r="O86" s="165"/>
      <c r="P86" s="165"/>
      <c r="Q86" s="165"/>
      <c r="R86" s="165"/>
      <c r="S86" s="165"/>
      <c r="T86" s="165"/>
      <c r="U86" s="165"/>
      <c r="V86" s="165"/>
      <c r="W86" s="165"/>
      <c r="X86" s="165"/>
      <c r="Y86" s="165"/>
    </row>
    <row r="87" spans="1:25" ht="11.25" customHeight="1" x14ac:dyDescent="0.25">
      <c r="A87" s="165"/>
      <c r="B87" s="165"/>
      <c r="C87" s="165"/>
      <c r="D87" s="165"/>
      <c r="E87" s="165"/>
      <c r="F87" s="165"/>
      <c r="G87" s="165"/>
      <c r="H87" s="165"/>
      <c r="I87" s="165"/>
      <c r="J87" s="165"/>
      <c r="K87" s="165"/>
      <c r="L87" s="165"/>
      <c r="M87" s="165"/>
      <c r="N87" s="165"/>
      <c r="O87" s="165"/>
      <c r="P87" s="165"/>
      <c r="Q87" s="165"/>
      <c r="R87" s="165"/>
      <c r="S87" s="165"/>
      <c r="T87" s="165"/>
      <c r="U87" s="165"/>
      <c r="V87" s="165"/>
      <c r="W87" s="165"/>
      <c r="X87" s="165"/>
      <c r="Y87" s="165"/>
    </row>
    <row r="88" spans="1:25" ht="11.25" customHeight="1" x14ac:dyDescent="0.25">
      <c r="A88" s="165"/>
      <c r="B88" s="165"/>
      <c r="C88" s="165"/>
      <c r="D88" s="165"/>
      <c r="E88" s="165"/>
      <c r="F88" s="165"/>
      <c r="G88" s="165"/>
      <c r="H88" s="165"/>
      <c r="I88" s="165"/>
      <c r="J88" s="165"/>
      <c r="K88" s="165"/>
      <c r="L88" s="165"/>
      <c r="M88" s="165"/>
      <c r="N88" s="165"/>
      <c r="O88" s="165"/>
      <c r="P88" s="165"/>
      <c r="Q88" s="165"/>
      <c r="R88" s="165"/>
      <c r="S88" s="165"/>
      <c r="T88" s="165"/>
      <c r="U88" s="165"/>
      <c r="V88" s="165"/>
      <c r="W88" s="165"/>
      <c r="X88" s="165"/>
      <c r="Y88" s="165"/>
    </row>
    <row r="89" spans="1:25" ht="11.25" customHeight="1" x14ac:dyDescent="0.25">
      <c r="A89" s="165"/>
      <c r="B89" s="165"/>
      <c r="C89" s="165"/>
      <c r="D89" s="165"/>
      <c r="E89" s="165"/>
      <c r="F89" s="165"/>
      <c r="G89" s="165"/>
      <c r="H89" s="165"/>
      <c r="I89" s="165"/>
      <c r="J89" s="165"/>
      <c r="K89" s="165"/>
      <c r="L89" s="165"/>
      <c r="M89" s="165"/>
      <c r="N89" s="165"/>
      <c r="O89" s="165"/>
      <c r="P89" s="165"/>
      <c r="Q89" s="165"/>
      <c r="R89" s="165"/>
      <c r="S89" s="165"/>
      <c r="T89" s="165"/>
      <c r="U89" s="165"/>
      <c r="V89" s="165"/>
      <c r="W89" s="165"/>
      <c r="X89" s="165"/>
      <c r="Y89" s="165"/>
    </row>
    <row r="90" spans="1:25" ht="11.25" customHeight="1" x14ac:dyDescent="0.25">
      <c r="A90" s="165"/>
      <c r="B90" s="165"/>
      <c r="C90" s="165"/>
      <c r="D90" s="165"/>
      <c r="E90" s="165"/>
      <c r="F90" s="165"/>
      <c r="G90" s="165"/>
      <c r="H90" s="165"/>
      <c r="I90" s="165"/>
      <c r="J90" s="165"/>
      <c r="K90" s="165"/>
      <c r="L90" s="165"/>
      <c r="M90" s="165"/>
      <c r="N90" s="165"/>
      <c r="O90" s="165"/>
      <c r="P90" s="165"/>
      <c r="Q90" s="165"/>
      <c r="R90" s="165"/>
      <c r="S90" s="165"/>
      <c r="T90" s="165"/>
      <c r="U90" s="165"/>
      <c r="V90" s="165"/>
      <c r="W90" s="165"/>
      <c r="X90" s="165"/>
      <c r="Y90" s="165"/>
    </row>
    <row r="91" spans="1:25" ht="11.25" customHeight="1" x14ac:dyDescent="0.25">
      <c r="A91" s="165"/>
      <c r="B91" s="165"/>
      <c r="C91" s="165"/>
      <c r="D91" s="165"/>
      <c r="E91" s="165"/>
      <c r="F91" s="165"/>
      <c r="G91" s="165"/>
      <c r="H91" s="165"/>
      <c r="I91" s="165"/>
      <c r="J91" s="165"/>
      <c r="K91" s="165"/>
      <c r="L91" s="165"/>
      <c r="M91" s="165"/>
      <c r="N91" s="165"/>
      <c r="O91" s="165"/>
      <c r="P91" s="165"/>
      <c r="Q91" s="165"/>
      <c r="R91" s="165"/>
      <c r="S91" s="165"/>
      <c r="T91" s="165"/>
      <c r="U91" s="165"/>
      <c r="V91" s="165"/>
      <c r="W91" s="165"/>
      <c r="X91" s="165"/>
      <c r="Y91" s="165"/>
    </row>
    <row r="92" spans="1:25" ht="11.25" customHeight="1" x14ac:dyDescent="0.25">
      <c r="A92" s="165"/>
      <c r="B92" s="165"/>
      <c r="C92" s="165"/>
      <c r="D92" s="165"/>
      <c r="E92" s="165"/>
      <c r="F92" s="165"/>
      <c r="G92" s="165"/>
      <c r="H92" s="165"/>
      <c r="I92" s="165"/>
      <c r="J92" s="165"/>
      <c r="K92" s="165"/>
      <c r="L92" s="165"/>
      <c r="M92" s="165"/>
      <c r="N92" s="165"/>
      <c r="O92" s="165"/>
      <c r="P92" s="165"/>
      <c r="Q92" s="165"/>
      <c r="R92" s="165"/>
      <c r="S92" s="165"/>
      <c r="T92" s="165"/>
      <c r="U92" s="165"/>
      <c r="V92" s="165"/>
      <c r="W92" s="165"/>
      <c r="X92" s="165"/>
      <c r="Y92" s="165"/>
    </row>
    <row r="93" spans="1:25" ht="11.25" customHeight="1" x14ac:dyDescent="0.25">
      <c r="A93" s="165"/>
      <c r="B93" s="165"/>
      <c r="C93" s="165"/>
      <c r="D93" s="165"/>
      <c r="E93" s="165"/>
      <c r="F93" s="165"/>
      <c r="G93" s="165"/>
      <c r="H93" s="165"/>
      <c r="I93" s="165"/>
      <c r="J93" s="165"/>
      <c r="K93" s="165"/>
      <c r="L93" s="165"/>
      <c r="M93" s="165"/>
      <c r="N93" s="165"/>
      <c r="O93" s="165"/>
      <c r="P93" s="165"/>
      <c r="Q93" s="165"/>
      <c r="R93" s="165"/>
      <c r="S93" s="165"/>
      <c r="T93" s="165"/>
      <c r="U93" s="165"/>
      <c r="V93" s="165"/>
      <c r="W93" s="165"/>
      <c r="X93" s="165"/>
      <c r="Y93" s="165"/>
    </row>
    <row r="94" spans="1:25" ht="11.25" customHeight="1" x14ac:dyDescent="0.25">
      <c r="A94" s="165"/>
      <c r="B94" s="165"/>
      <c r="C94" s="165"/>
      <c r="D94" s="165"/>
      <c r="E94" s="165"/>
      <c r="F94" s="165"/>
      <c r="G94" s="165"/>
      <c r="H94" s="165"/>
      <c r="I94" s="165"/>
      <c r="J94" s="165"/>
      <c r="K94" s="165"/>
      <c r="L94" s="165"/>
      <c r="M94" s="165"/>
      <c r="N94" s="165"/>
      <c r="O94" s="165"/>
      <c r="P94" s="165"/>
      <c r="Q94" s="165"/>
      <c r="R94" s="165"/>
      <c r="S94" s="165"/>
      <c r="T94" s="165"/>
      <c r="U94" s="165"/>
      <c r="V94" s="165"/>
      <c r="W94" s="165"/>
      <c r="X94" s="165"/>
      <c r="Y94" s="165"/>
    </row>
    <row r="95" spans="1:25" ht="11.25" customHeight="1" x14ac:dyDescent="0.25">
      <c r="A95" s="165"/>
      <c r="B95" s="165"/>
      <c r="C95" s="165"/>
      <c r="D95" s="165"/>
      <c r="E95" s="165"/>
      <c r="F95" s="165"/>
      <c r="G95" s="165"/>
      <c r="H95" s="165"/>
      <c r="I95" s="165"/>
      <c r="J95" s="165"/>
      <c r="K95" s="165"/>
      <c r="L95" s="165"/>
      <c r="M95" s="165"/>
      <c r="N95" s="165"/>
      <c r="O95" s="165"/>
      <c r="P95" s="165"/>
      <c r="Q95" s="165"/>
      <c r="R95" s="165"/>
      <c r="S95" s="165"/>
      <c r="T95" s="165"/>
      <c r="U95" s="165"/>
      <c r="V95" s="165"/>
      <c r="W95" s="165"/>
      <c r="X95" s="165"/>
      <c r="Y95" s="165"/>
    </row>
    <row r="96" spans="1:25" ht="11.25" customHeight="1" x14ac:dyDescent="0.25">
      <c r="A96" s="165"/>
      <c r="B96" s="165"/>
      <c r="C96" s="165"/>
      <c r="D96" s="165"/>
      <c r="E96" s="165"/>
      <c r="F96" s="165"/>
      <c r="G96" s="165"/>
      <c r="H96" s="165"/>
      <c r="I96" s="165"/>
      <c r="J96" s="165"/>
      <c r="K96" s="165"/>
      <c r="L96" s="165"/>
      <c r="M96" s="165"/>
      <c r="N96" s="165"/>
      <c r="O96" s="165"/>
      <c r="P96" s="165"/>
      <c r="Q96" s="165"/>
      <c r="R96" s="165"/>
      <c r="S96" s="165"/>
      <c r="T96" s="165"/>
      <c r="U96" s="165"/>
      <c r="V96" s="165"/>
      <c r="W96" s="165"/>
      <c r="X96" s="165"/>
      <c r="Y96" s="165"/>
    </row>
    <row r="97" spans="1:25" ht="11.25" customHeight="1" x14ac:dyDescent="0.25">
      <c r="A97" s="165"/>
      <c r="B97" s="165"/>
      <c r="C97" s="165"/>
      <c r="D97" s="165"/>
      <c r="E97" s="165"/>
      <c r="F97" s="165"/>
      <c r="G97" s="165"/>
      <c r="H97" s="165"/>
      <c r="I97" s="165"/>
      <c r="J97" s="165"/>
      <c r="K97" s="165"/>
      <c r="L97" s="165"/>
      <c r="M97" s="165"/>
      <c r="N97" s="165"/>
      <c r="O97" s="165"/>
      <c r="P97" s="165"/>
      <c r="Q97" s="165"/>
      <c r="R97" s="165"/>
      <c r="S97" s="165"/>
      <c r="T97" s="165"/>
      <c r="U97" s="165"/>
      <c r="V97" s="165"/>
      <c r="W97" s="165"/>
      <c r="X97" s="165"/>
      <c r="Y97" s="165"/>
    </row>
    <row r="98" spans="1:25" ht="11.25" customHeight="1" x14ac:dyDescent="0.25">
      <c r="A98" s="165"/>
      <c r="B98" s="165"/>
      <c r="C98" s="165"/>
      <c r="D98" s="165"/>
      <c r="E98" s="165"/>
      <c r="F98" s="165"/>
      <c r="G98" s="165"/>
      <c r="H98" s="165"/>
      <c r="I98" s="165"/>
      <c r="J98" s="165"/>
      <c r="K98" s="165"/>
      <c r="L98" s="165"/>
      <c r="M98" s="165"/>
      <c r="N98" s="165"/>
      <c r="O98" s="165"/>
      <c r="P98" s="165"/>
      <c r="Q98" s="165"/>
      <c r="R98" s="165"/>
      <c r="S98" s="165"/>
      <c r="T98" s="165"/>
      <c r="U98" s="165"/>
      <c r="V98" s="165"/>
      <c r="W98" s="165"/>
      <c r="X98" s="165"/>
      <c r="Y98" s="165"/>
    </row>
    <row r="99" spans="1:25" ht="11.25" customHeight="1" x14ac:dyDescent="0.25">
      <c r="A99" s="165"/>
      <c r="B99" s="165"/>
      <c r="C99" s="165"/>
      <c r="D99" s="165"/>
      <c r="E99" s="165"/>
      <c r="F99" s="165"/>
      <c r="G99" s="165"/>
      <c r="H99" s="165"/>
      <c r="I99" s="165"/>
      <c r="J99" s="165"/>
      <c r="K99" s="165"/>
      <c r="L99" s="165"/>
      <c r="M99" s="165"/>
      <c r="N99" s="165"/>
      <c r="O99" s="165"/>
      <c r="P99" s="165"/>
      <c r="Q99" s="165"/>
      <c r="R99" s="165"/>
      <c r="S99" s="165"/>
      <c r="T99" s="165"/>
      <c r="U99" s="165"/>
      <c r="V99" s="165"/>
      <c r="W99" s="165"/>
      <c r="X99" s="165"/>
      <c r="Y99" s="165"/>
    </row>
    <row r="100" spans="1:25" ht="11.25" customHeight="1" x14ac:dyDescent="0.25">
      <c r="A100" s="165"/>
      <c r="B100" s="165"/>
      <c r="C100" s="165"/>
      <c r="D100" s="165"/>
      <c r="E100" s="165"/>
      <c r="F100" s="165"/>
      <c r="G100" s="165"/>
      <c r="H100" s="165"/>
      <c r="I100" s="165"/>
      <c r="J100" s="165"/>
      <c r="K100" s="165"/>
      <c r="L100" s="165"/>
      <c r="M100" s="165"/>
      <c r="N100" s="165"/>
      <c r="O100" s="165"/>
      <c r="P100" s="165"/>
      <c r="Q100" s="165"/>
      <c r="R100" s="165"/>
      <c r="S100" s="165"/>
      <c r="T100" s="165"/>
      <c r="U100" s="165"/>
      <c r="V100" s="165"/>
      <c r="W100" s="165"/>
      <c r="X100" s="165"/>
      <c r="Y100" s="165"/>
    </row>
    <row r="101" spans="1:25" ht="11.25" customHeight="1" x14ac:dyDescent="0.25">
      <c r="A101" s="165"/>
      <c r="B101" s="165"/>
      <c r="C101" s="165"/>
      <c r="D101" s="165"/>
      <c r="E101" s="165"/>
      <c r="F101" s="165"/>
      <c r="G101" s="165"/>
      <c r="H101" s="165"/>
      <c r="I101" s="165"/>
      <c r="J101" s="165"/>
      <c r="K101" s="165"/>
      <c r="L101" s="165"/>
      <c r="M101" s="165"/>
      <c r="N101" s="165"/>
      <c r="O101" s="165"/>
      <c r="P101" s="165"/>
      <c r="Q101" s="165"/>
      <c r="R101" s="165"/>
      <c r="S101" s="165"/>
      <c r="T101" s="165"/>
      <c r="U101" s="165"/>
      <c r="V101" s="165"/>
      <c r="W101" s="165"/>
      <c r="X101" s="165"/>
      <c r="Y101" s="165"/>
    </row>
    <row r="102" spans="1:25" ht="11.25" customHeight="1" x14ac:dyDescent="0.25">
      <c r="A102" s="165"/>
      <c r="B102" s="165"/>
      <c r="C102" s="165"/>
      <c r="D102" s="165"/>
      <c r="E102" s="165"/>
      <c r="F102" s="165"/>
      <c r="G102" s="165"/>
      <c r="H102" s="165"/>
      <c r="I102" s="165"/>
      <c r="J102" s="165"/>
      <c r="K102" s="165"/>
      <c r="L102" s="165"/>
      <c r="M102" s="165"/>
      <c r="N102" s="165"/>
      <c r="O102" s="165"/>
      <c r="P102" s="165"/>
      <c r="Q102" s="165"/>
      <c r="R102" s="165"/>
      <c r="S102" s="165"/>
      <c r="T102" s="165"/>
      <c r="U102" s="165"/>
      <c r="V102" s="165"/>
      <c r="W102" s="165"/>
      <c r="X102" s="165"/>
      <c r="Y102" s="165"/>
    </row>
    <row r="103" spans="1:25" ht="11.25" customHeight="1" x14ac:dyDescent="0.25">
      <c r="A103" s="165"/>
      <c r="B103" s="165"/>
      <c r="C103" s="165"/>
      <c r="D103" s="165"/>
      <c r="E103" s="165"/>
      <c r="F103" s="165"/>
      <c r="G103" s="165"/>
      <c r="H103" s="165"/>
      <c r="I103" s="165"/>
      <c r="J103" s="165"/>
      <c r="K103" s="165"/>
      <c r="L103" s="165"/>
      <c r="M103" s="165"/>
      <c r="N103" s="165"/>
      <c r="O103" s="165"/>
      <c r="P103" s="165"/>
      <c r="Q103" s="165"/>
      <c r="R103" s="165"/>
      <c r="S103" s="165"/>
      <c r="T103" s="165"/>
      <c r="U103" s="165"/>
      <c r="V103" s="165"/>
      <c r="W103" s="165"/>
      <c r="X103" s="165"/>
      <c r="Y103" s="165"/>
    </row>
    <row r="104" spans="1:25" ht="11.25" customHeight="1" x14ac:dyDescent="0.25">
      <c r="A104" s="165"/>
      <c r="B104" s="165"/>
      <c r="C104" s="165"/>
      <c r="D104" s="165"/>
      <c r="E104" s="165"/>
      <c r="F104" s="165"/>
      <c r="G104" s="165"/>
      <c r="H104" s="165"/>
      <c r="I104" s="165"/>
      <c r="J104" s="165"/>
      <c r="K104" s="165"/>
      <c r="L104" s="165"/>
      <c r="M104" s="165"/>
      <c r="N104" s="165"/>
      <c r="O104" s="165"/>
      <c r="P104" s="165"/>
      <c r="Q104" s="165"/>
      <c r="R104" s="165"/>
      <c r="S104" s="165"/>
      <c r="T104" s="165"/>
      <c r="U104" s="165"/>
      <c r="V104" s="165"/>
      <c r="W104" s="165"/>
      <c r="X104" s="165"/>
      <c r="Y104" s="165"/>
    </row>
    <row r="105" spans="1:25" ht="11.25" customHeight="1" x14ac:dyDescent="0.25">
      <c r="A105" s="165"/>
      <c r="B105" s="165"/>
      <c r="C105" s="165"/>
      <c r="D105" s="165"/>
      <c r="E105" s="165"/>
      <c r="F105" s="165"/>
      <c r="G105" s="165"/>
      <c r="H105" s="165"/>
      <c r="I105" s="165"/>
      <c r="J105" s="165"/>
      <c r="K105" s="165"/>
      <c r="L105" s="165"/>
      <c r="M105" s="165"/>
      <c r="N105" s="165"/>
      <c r="O105" s="165"/>
      <c r="P105" s="165"/>
      <c r="Q105" s="165"/>
      <c r="R105" s="165"/>
      <c r="S105" s="165"/>
      <c r="T105" s="165"/>
      <c r="U105" s="165"/>
      <c r="V105" s="165"/>
      <c r="W105" s="165"/>
      <c r="X105" s="165"/>
      <c r="Y105" s="165"/>
    </row>
    <row r="106" spans="1:25" ht="11.25" customHeight="1" x14ac:dyDescent="0.25">
      <c r="A106" s="165"/>
      <c r="B106" s="165"/>
      <c r="C106" s="165"/>
      <c r="D106" s="165"/>
      <c r="E106" s="165"/>
      <c r="F106" s="165"/>
      <c r="G106" s="165"/>
      <c r="H106" s="165"/>
      <c r="I106" s="165"/>
      <c r="J106" s="165"/>
      <c r="K106" s="165"/>
      <c r="L106" s="165"/>
      <c r="M106" s="165"/>
      <c r="N106" s="165"/>
      <c r="O106" s="165"/>
      <c r="P106" s="165"/>
      <c r="Q106" s="165"/>
      <c r="R106" s="165"/>
      <c r="S106" s="165"/>
      <c r="T106" s="165"/>
      <c r="U106" s="165"/>
      <c r="V106" s="165"/>
      <c r="W106" s="165"/>
      <c r="X106" s="165"/>
      <c r="Y106" s="165"/>
    </row>
    <row r="107" spans="1:25" ht="11.25" customHeight="1" x14ac:dyDescent="0.25">
      <c r="A107" s="165"/>
      <c r="B107" s="165"/>
      <c r="C107" s="165"/>
      <c r="D107" s="165"/>
      <c r="E107" s="165"/>
      <c r="F107" s="165"/>
      <c r="G107" s="165"/>
      <c r="H107" s="165"/>
      <c r="I107" s="165"/>
      <c r="J107" s="165"/>
      <c r="K107" s="165"/>
      <c r="L107" s="165"/>
      <c r="M107" s="165"/>
      <c r="N107" s="165"/>
      <c r="O107" s="165"/>
      <c r="P107" s="165"/>
      <c r="Q107" s="165"/>
      <c r="R107" s="165"/>
      <c r="S107" s="165"/>
      <c r="T107" s="165"/>
      <c r="U107" s="165"/>
      <c r="V107" s="165"/>
      <c r="W107" s="165"/>
      <c r="X107" s="165"/>
      <c r="Y107" s="165"/>
    </row>
    <row r="108" spans="1:25" ht="11.25" customHeight="1" x14ac:dyDescent="0.25">
      <c r="A108" s="165"/>
      <c r="B108" s="165"/>
      <c r="C108" s="165"/>
      <c r="D108" s="165"/>
      <c r="E108" s="165"/>
      <c r="F108" s="165"/>
      <c r="G108" s="165"/>
      <c r="H108" s="165"/>
      <c r="I108" s="165"/>
      <c r="J108" s="165"/>
      <c r="K108" s="165"/>
      <c r="L108" s="165"/>
      <c r="M108" s="165"/>
      <c r="N108" s="165"/>
      <c r="O108" s="165"/>
      <c r="P108" s="165"/>
      <c r="Q108" s="165"/>
      <c r="R108" s="165"/>
      <c r="S108" s="165"/>
      <c r="T108" s="165"/>
      <c r="U108" s="165"/>
      <c r="V108" s="165"/>
      <c r="W108" s="165"/>
      <c r="X108" s="165"/>
      <c r="Y108" s="165"/>
    </row>
    <row r="109" spans="1:25" ht="11.25" customHeight="1" x14ac:dyDescent="0.25">
      <c r="A109" s="165"/>
      <c r="B109" s="165"/>
      <c r="C109" s="165"/>
      <c r="D109" s="165"/>
      <c r="E109" s="165"/>
      <c r="F109" s="165"/>
      <c r="G109" s="165"/>
      <c r="H109" s="165"/>
      <c r="I109" s="165"/>
      <c r="J109" s="165"/>
      <c r="K109" s="165"/>
      <c r="L109" s="165"/>
      <c r="M109" s="165"/>
      <c r="N109" s="165"/>
      <c r="O109" s="165"/>
      <c r="P109" s="165"/>
      <c r="Q109" s="165"/>
      <c r="R109" s="165"/>
      <c r="S109" s="165"/>
      <c r="T109" s="165"/>
      <c r="U109" s="165"/>
      <c r="V109" s="165"/>
      <c r="W109" s="165"/>
      <c r="X109" s="165"/>
      <c r="Y109" s="165"/>
    </row>
    <row r="110" spans="1:25" ht="11.25" customHeight="1" x14ac:dyDescent="0.25">
      <c r="A110" s="165"/>
      <c r="B110" s="165"/>
      <c r="C110" s="165"/>
      <c r="D110" s="165"/>
      <c r="E110" s="165"/>
      <c r="F110" s="165"/>
      <c r="G110" s="165"/>
      <c r="H110" s="165"/>
      <c r="I110" s="165"/>
      <c r="J110" s="165"/>
      <c r="K110" s="165"/>
      <c r="L110" s="165"/>
      <c r="M110" s="165"/>
      <c r="N110" s="165"/>
      <c r="O110" s="165"/>
      <c r="P110" s="165"/>
      <c r="Q110" s="165"/>
      <c r="R110" s="165"/>
      <c r="S110" s="165"/>
      <c r="T110" s="165"/>
      <c r="U110" s="165"/>
      <c r="V110" s="165"/>
      <c r="W110" s="165"/>
      <c r="X110" s="165"/>
      <c r="Y110" s="165"/>
    </row>
    <row r="111" spans="1:25" ht="11.25" customHeight="1" x14ac:dyDescent="0.25">
      <c r="A111" s="165"/>
      <c r="B111" s="165"/>
      <c r="C111" s="165"/>
      <c r="D111" s="165"/>
      <c r="E111" s="165"/>
      <c r="F111" s="165"/>
      <c r="G111" s="165"/>
      <c r="H111" s="165"/>
      <c r="I111" s="165"/>
      <c r="J111" s="165"/>
      <c r="K111" s="165"/>
      <c r="L111" s="165"/>
      <c r="M111" s="165"/>
      <c r="N111" s="165"/>
      <c r="O111" s="165"/>
      <c r="P111" s="165"/>
      <c r="Q111" s="165"/>
      <c r="R111" s="165"/>
      <c r="S111" s="165"/>
      <c r="T111" s="165"/>
      <c r="U111" s="165"/>
      <c r="V111" s="165"/>
      <c r="W111" s="165"/>
      <c r="X111" s="165"/>
      <c r="Y111" s="165"/>
    </row>
    <row r="112" spans="1:25" ht="11.25" customHeight="1" x14ac:dyDescent="0.25">
      <c r="A112" s="165"/>
      <c r="B112" s="165"/>
      <c r="C112" s="165"/>
      <c r="D112" s="165"/>
      <c r="E112" s="165"/>
      <c r="F112" s="165"/>
      <c r="G112" s="165"/>
      <c r="H112" s="165"/>
      <c r="I112" s="165"/>
      <c r="J112" s="165"/>
      <c r="K112" s="165"/>
      <c r="L112" s="165"/>
      <c r="M112" s="165"/>
      <c r="N112" s="165"/>
      <c r="O112" s="165"/>
      <c r="P112" s="165"/>
      <c r="Q112" s="165"/>
      <c r="R112" s="165"/>
      <c r="S112" s="165"/>
      <c r="T112" s="165"/>
      <c r="U112" s="165"/>
      <c r="V112" s="165"/>
      <c r="W112" s="165"/>
      <c r="X112" s="165"/>
      <c r="Y112" s="165"/>
    </row>
    <row r="113" spans="1:25" ht="11.25" customHeight="1" x14ac:dyDescent="0.25">
      <c r="A113" s="165"/>
      <c r="B113" s="165"/>
      <c r="C113" s="165"/>
      <c r="D113" s="165"/>
      <c r="E113" s="165"/>
      <c r="F113" s="165"/>
      <c r="G113" s="165"/>
      <c r="H113" s="165"/>
      <c r="I113" s="165"/>
      <c r="J113" s="165"/>
      <c r="K113" s="165"/>
      <c r="L113" s="165"/>
      <c r="M113" s="165"/>
      <c r="N113" s="165"/>
      <c r="O113" s="165"/>
      <c r="P113" s="165"/>
      <c r="Q113" s="165"/>
      <c r="R113" s="165"/>
      <c r="S113" s="165"/>
      <c r="T113" s="165"/>
      <c r="U113" s="165"/>
      <c r="V113" s="165"/>
      <c r="W113" s="165"/>
      <c r="X113" s="165"/>
      <c r="Y113" s="165"/>
    </row>
    <row r="114" spans="1:25" ht="11.25" customHeight="1" x14ac:dyDescent="0.25">
      <c r="A114" s="165"/>
      <c r="B114" s="165"/>
      <c r="C114" s="165"/>
      <c r="D114" s="165"/>
      <c r="E114" s="165"/>
      <c r="F114" s="165"/>
      <c r="G114" s="165"/>
      <c r="H114" s="165"/>
      <c r="I114" s="165"/>
      <c r="J114" s="165"/>
      <c r="K114" s="165"/>
      <c r="L114" s="165"/>
      <c r="M114" s="165"/>
      <c r="N114" s="165"/>
      <c r="O114" s="165"/>
      <c r="P114" s="165"/>
      <c r="Q114" s="165"/>
      <c r="R114" s="165"/>
      <c r="S114" s="165"/>
      <c r="T114" s="165"/>
      <c r="U114" s="165"/>
      <c r="V114" s="165"/>
      <c r="W114" s="165"/>
      <c r="X114" s="165"/>
      <c r="Y114" s="165"/>
    </row>
    <row r="115" spans="1:25" ht="11.25" customHeight="1" x14ac:dyDescent="0.25">
      <c r="A115" s="165"/>
      <c r="B115" s="165"/>
      <c r="C115" s="165"/>
      <c r="D115" s="165"/>
      <c r="E115" s="165"/>
      <c r="F115" s="165"/>
      <c r="G115" s="165"/>
      <c r="H115" s="165"/>
      <c r="I115" s="165"/>
      <c r="J115" s="165"/>
      <c r="K115" s="165"/>
      <c r="L115" s="165"/>
      <c r="M115" s="165"/>
      <c r="N115" s="165"/>
      <c r="O115" s="165"/>
      <c r="P115" s="165"/>
      <c r="Q115" s="165"/>
      <c r="R115" s="165"/>
      <c r="S115" s="165"/>
      <c r="T115" s="165"/>
      <c r="U115" s="165"/>
      <c r="V115" s="165"/>
      <c r="W115" s="165"/>
      <c r="X115" s="165"/>
      <c r="Y115" s="165"/>
    </row>
    <row r="116" spans="1:25" ht="11.25" customHeight="1" x14ac:dyDescent="0.25">
      <c r="A116" s="165"/>
      <c r="B116" s="165"/>
      <c r="C116" s="165"/>
      <c r="D116" s="165"/>
      <c r="E116" s="165"/>
      <c r="F116" s="165"/>
      <c r="G116" s="165"/>
      <c r="H116" s="165"/>
      <c r="I116" s="165"/>
      <c r="J116" s="165"/>
      <c r="K116" s="165"/>
      <c r="L116" s="165"/>
      <c r="M116" s="165"/>
      <c r="N116" s="165"/>
      <c r="O116" s="165"/>
      <c r="P116" s="165"/>
      <c r="Q116" s="165"/>
      <c r="R116" s="165"/>
      <c r="S116" s="165"/>
      <c r="T116" s="165"/>
      <c r="U116" s="165"/>
      <c r="V116" s="165"/>
      <c r="W116" s="165"/>
      <c r="X116" s="165"/>
      <c r="Y116" s="165"/>
    </row>
    <row r="117" spans="1:25" ht="11.25" customHeight="1" x14ac:dyDescent="0.25">
      <c r="A117" s="165"/>
      <c r="B117" s="165"/>
      <c r="C117" s="165"/>
      <c r="D117" s="165"/>
      <c r="E117" s="165"/>
      <c r="F117" s="165"/>
      <c r="G117" s="165"/>
      <c r="H117" s="165"/>
      <c r="I117" s="165"/>
      <c r="J117" s="165"/>
      <c r="K117" s="165"/>
      <c r="L117" s="165"/>
      <c r="M117" s="165"/>
      <c r="N117" s="165"/>
      <c r="O117" s="165"/>
      <c r="P117" s="165"/>
      <c r="Q117" s="165"/>
      <c r="R117" s="165"/>
      <c r="S117" s="165"/>
      <c r="T117" s="165"/>
      <c r="U117" s="165"/>
      <c r="V117" s="165"/>
      <c r="W117" s="165"/>
      <c r="X117" s="165"/>
      <c r="Y117" s="165"/>
    </row>
    <row r="118" spans="1:25" ht="11.25" customHeight="1" x14ac:dyDescent="0.25">
      <c r="A118" s="165"/>
      <c r="B118" s="165"/>
      <c r="C118" s="165"/>
      <c r="D118" s="165"/>
      <c r="E118" s="165"/>
      <c r="F118" s="165"/>
      <c r="G118" s="165"/>
      <c r="H118" s="165"/>
      <c r="I118" s="165"/>
      <c r="J118" s="165"/>
      <c r="K118" s="165"/>
      <c r="L118" s="165"/>
      <c r="M118" s="165"/>
      <c r="N118" s="165"/>
      <c r="O118" s="165"/>
      <c r="P118" s="165"/>
      <c r="Q118" s="165"/>
      <c r="R118" s="165"/>
      <c r="S118" s="165"/>
      <c r="T118" s="165"/>
      <c r="U118" s="165"/>
      <c r="V118" s="165"/>
      <c r="W118" s="165"/>
      <c r="X118" s="165"/>
      <c r="Y118" s="165"/>
    </row>
    <row r="119" spans="1:25" ht="11.25" customHeight="1" x14ac:dyDescent="0.25">
      <c r="A119" s="165"/>
      <c r="B119" s="165"/>
      <c r="C119" s="165"/>
      <c r="D119" s="165"/>
      <c r="E119" s="165"/>
      <c r="F119" s="165"/>
      <c r="G119" s="165"/>
      <c r="H119" s="165"/>
      <c r="I119" s="165"/>
      <c r="J119" s="165"/>
      <c r="K119" s="165"/>
      <c r="L119" s="165"/>
      <c r="M119" s="165"/>
      <c r="N119" s="165"/>
      <c r="O119" s="165"/>
      <c r="P119" s="165"/>
      <c r="Q119" s="165"/>
      <c r="R119" s="165"/>
      <c r="S119" s="165"/>
      <c r="T119" s="165"/>
      <c r="U119" s="165"/>
      <c r="V119" s="165"/>
      <c r="W119" s="165"/>
      <c r="X119" s="165"/>
      <c r="Y119" s="165"/>
    </row>
    <row r="120" spans="1:25" ht="11.25" customHeight="1" x14ac:dyDescent="0.25">
      <c r="A120" s="165"/>
      <c r="B120" s="165"/>
      <c r="C120" s="165"/>
      <c r="D120" s="165"/>
      <c r="E120" s="165"/>
      <c r="F120" s="165"/>
      <c r="G120" s="165"/>
      <c r="H120" s="165"/>
      <c r="I120" s="165"/>
      <c r="J120" s="165"/>
      <c r="K120" s="165"/>
      <c r="L120" s="165"/>
      <c r="M120" s="165"/>
      <c r="N120" s="165"/>
      <c r="O120" s="165"/>
      <c r="P120" s="165"/>
      <c r="Q120" s="165"/>
      <c r="R120" s="165"/>
      <c r="S120" s="165"/>
      <c r="T120" s="165"/>
      <c r="U120" s="165"/>
      <c r="V120" s="165"/>
      <c r="W120" s="165"/>
      <c r="X120" s="165"/>
      <c r="Y120" s="165"/>
    </row>
    <row r="121" spans="1:25" ht="11.25" customHeight="1" x14ac:dyDescent="0.25">
      <c r="A121" s="165"/>
      <c r="B121" s="165"/>
      <c r="C121" s="165"/>
      <c r="D121" s="165"/>
      <c r="E121" s="165"/>
      <c r="F121" s="165"/>
      <c r="G121" s="165"/>
      <c r="H121" s="165"/>
      <c r="I121" s="165"/>
      <c r="J121" s="165"/>
      <c r="K121" s="165"/>
      <c r="L121" s="165"/>
      <c r="M121" s="165"/>
      <c r="N121" s="165"/>
      <c r="O121" s="165"/>
      <c r="P121" s="165"/>
      <c r="Q121" s="165"/>
      <c r="R121" s="165"/>
      <c r="S121" s="165"/>
      <c r="T121" s="165"/>
      <c r="U121" s="165"/>
      <c r="V121" s="165"/>
      <c r="W121" s="165"/>
      <c r="X121" s="165"/>
      <c r="Y121" s="165"/>
    </row>
    <row r="122" spans="1:25" ht="11.25" customHeight="1" x14ac:dyDescent="0.25">
      <c r="A122" s="165"/>
      <c r="B122" s="165"/>
      <c r="C122" s="165"/>
      <c r="D122" s="165"/>
      <c r="E122" s="165"/>
      <c r="F122" s="165"/>
      <c r="G122" s="165"/>
      <c r="H122" s="165"/>
      <c r="I122" s="165"/>
      <c r="J122" s="165"/>
      <c r="K122" s="165"/>
      <c r="L122" s="165"/>
      <c r="M122" s="165"/>
      <c r="N122" s="165"/>
      <c r="O122" s="165"/>
      <c r="P122" s="165"/>
      <c r="Q122" s="165"/>
      <c r="R122" s="165"/>
      <c r="S122" s="165"/>
      <c r="T122" s="165"/>
      <c r="U122" s="165"/>
      <c r="V122" s="165"/>
      <c r="W122" s="165"/>
      <c r="X122" s="165"/>
      <c r="Y122" s="165"/>
    </row>
    <row r="123" spans="1:25" ht="11.25" customHeight="1" x14ac:dyDescent="0.25">
      <c r="A123" s="165"/>
      <c r="B123" s="165"/>
      <c r="C123" s="165"/>
      <c r="D123" s="165"/>
      <c r="E123" s="165"/>
      <c r="F123" s="165"/>
      <c r="G123" s="165"/>
      <c r="H123" s="165"/>
      <c r="I123" s="165"/>
      <c r="J123" s="165"/>
      <c r="K123" s="165"/>
      <c r="L123" s="165"/>
      <c r="M123" s="165"/>
      <c r="N123" s="165"/>
      <c r="O123" s="165"/>
      <c r="P123" s="165"/>
      <c r="Q123" s="165"/>
      <c r="R123" s="165"/>
      <c r="S123" s="165"/>
      <c r="T123" s="165"/>
      <c r="U123" s="165"/>
      <c r="V123" s="165"/>
      <c r="W123" s="165"/>
      <c r="X123" s="165"/>
      <c r="Y123" s="165"/>
    </row>
    <row r="124" spans="1:25" ht="11.25" customHeight="1" x14ac:dyDescent="0.25">
      <c r="A124" s="165"/>
      <c r="B124" s="165"/>
      <c r="C124" s="165"/>
      <c r="D124" s="165"/>
      <c r="E124" s="165"/>
      <c r="F124" s="165"/>
      <c r="G124" s="165"/>
      <c r="H124" s="165"/>
      <c r="I124" s="165"/>
      <c r="J124" s="165"/>
      <c r="K124" s="165"/>
      <c r="L124" s="165"/>
      <c r="M124" s="165"/>
      <c r="N124" s="165"/>
      <c r="O124" s="165"/>
      <c r="P124" s="165"/>
      <c r="Q124" s="165"/>
      <c r="R124" s="165"/>
      <c r="S124" s="165"/>
      <c r="T124" s="165"/>
      <c r="U124" s="165"/>
      <c r="V124" s="165"/>
      <c r="W124" s="165"/>
      <c r="X124" s="165"/>
      <c r="Y124" s="165"/>
    </row>
    <row r="125" spans="1:25" ht="11.25" customHeight="1" x14ac:dyDescent="0.25">
      <c r="A125" s="165"/>
      <c r="B125" s="165"/>
      <c r="C125" s="165"/>
      <c r="D125" s="165"/>
      <c r="E125" s="165"/>
      <c r="F125" s="165"/>
      <c r="G125" s="165"/>
      <c r="H125" s="165"/>
      <c r="I125" s="165"/>
      <c r="J125" s="165"/>
      <c r="K125" s="165"/>
      <c r="L125" s="165"/>
      <c r="M125" s="165"/>
      <c r="N125" s="165"/>
      <c r="O125" s="165"/>
      <c r="P125" s="165"/>
      <c r="Q125" s="165"/>
      <c r="R125" s="165"/>
      <c r="S125" s="165"/>
      <c r="T125" s="165"/>
      <c r="U125" s="165"/>
      <c r="V125" s="165"/>
      <c r="W125" s="165"/>
      <c r="X125" s="165"/>
      <c r="Y125" s="165"/>
    </row>
    <row r="126" spans="1:25" ht="11.25" customHeight="1" x14ac:dyDescent="0.25">
      <c r="A126" s="165"/>
      <c r="B126" s="165"/>
      <c r="C126" s="165"/>
      <c r="D126" s="165"/>
      <c r="E126" s="165"/>
      <c r="F126" s="165"/>
      <c r="G126" s="165"/>
      <c r="H126" s="165"/>
      <c r="I126" s="165"/>
      <c r="J126" s="165"/>
      <c r="K126" s="165"/>
      <c r="L126" s="165"/>
      <c r="M126" s="165"/>
      <c r="N126" s="165"/>
      <c r="O126" s="165"/>
      <c r="P126" s="165"/>
      <c r="Q126" s="165"/>
      <c r="R126" s="165"/>
      <c r="S126" s="165"/>
      <c r="T126" s="165"/>
      <c r="U126" s="165"/>
      <c r="V126" s="165"/>
      <c r="W126" s="165"/>
      <c r="X126" s="165"/>
      <c r="Y126" s="165"/>
    </row>
    <row r="127" spans="1:25" ht="11.25" customHeight="1" x14ac:dyDescent="0.25">
      <c r="A127" s="165"/>
      <c r="B127" s="165"/>
      <c r="C127" s="165"/>
      <c r="D127" s="165"/>
      <c r="E127" s="165"/>
      <c r="F127" s="165"/>
      <c r="G127" s="165"/>
      <c r="H127" s="165"/>
      <c r="I127" s="165"/>
      <c r="J127" s="165"/>
      <c r="K127" s="165"/>
      <c r="L127" s="165"/>
      <c r="M127" s="165"/>
      <c r="N127" s="165"/>
      <c r="O127" s="165"/>
      <c r="P127" s="165"/>
      <c r="Q127" s="165"/>
      <c r="R127" s="165"/>
      <c r="S127" s="165"/>
      <c r="T127" s="165"/>
      <c r="U127" s="165"/>
      <c r="V127" s="165"/>
      <c r="W127" s="165"/>
      <c r="X127" s="165"/>
      <c r="Y127" s="165"/>
    </row>
    <row r="128" spans="1:25" ht="11.25" customHeight="1" x14ac:dyDescent="0.25">
      <c r="A128" s="165"/>
      <c r="B128" s="165"/>
      <c r="C128" s="165"/>
      <c r="D128" s="165"/>
      <c r="E128" s="165"/>
      <c r="F128" s="165"/>
      <c r="G128" s="165"/>
      <c r="H128" s="165"/>
      <c r="I128" s="165"/>
      <c r="J128" s="165"/>
      <c r="K128" s="165"/>
      <c r="L128" s="165"/>
      <c r="M128" s="165"/>
      <c r="N128" s="165"/>
      <c r="O128" s="165"/>
      <c r="P128" s="165"/>
      <c r="Q128" s="165"/>
      <c r="R128" s="165"/>
      <c r="S128" s="165"/>
      <c r="T128" s="165"/>
      <c r="U128" s="165"/>
      <c r="V128" s="165"/>
      <c r="W128" s="165"/>
      <c r="X128" s="165"/>
      <c r="Y128" s="165"/>
    </row>
    <row r="129" spans="1:25" ht="11.25" customHeight="1" x14ac:dyDescent="0.25">
      <c r="A129" s="165"/>
      <c r="B129" s="165"/>
      <c r="C129" s="165"/>
      <c r="D129" s="165"/>
      <c r="E129" s="165"/>
      <c r="F129" s="165"/>
      <c r="G129" s="165"/>
      <c r="H129" s="165"/>
      <c r="I129" s="165"/>
      <c r="J129" s="165"/>
      <c r="K129" s="165"/>
      <c r="L129" s="165"/>
      <c r="M129" s="165"/>
      <c r="N129" s="165"/>
      <c r="O129" s="165"/>
      <c r="P129" s="165"/>
      <c r="Q129" s="165"/>
      <c r="R129" s="165"/>
      <c r="S129" s="165"/>
      <c r="T129" s="165"/>
      <c r="U129" s="165"/>
      <c r="V129" s="165"/>
      <c r="W129" s="165"/>
      <c r="X129" s="165"/>
      <c r="Y129" s="165"/>
    </row>
    <row r="130" spans="1:25" ht="11.25" customHeight="1" x14ac:dyDescent="0.25">
      <c r="A130" s="165"/>
      <c r="B130" s="165"/>
      <c r="C130" s="165"/>
      <c r="D130" s="165"/>
      <c r="E130" s="165"/>
      <c r="F130" s="165"/>
      <c r="G130" s="165"/>
      <c r="H130" s="165"/>
      <c r="I130" s="165"/>
      <c r="J130" s="165"/>
      <c r="K130" s="165"/>
      <c r="L130" s="165"/>
      <c r="M130" s="165"/>
      <c r="N130" s="165"/>
      <c r="O130" s="165"/>
      <c r="P130" s="165"/>
      <c r="Q130" s="165"/>
      <c r="R130" s="165"/>
      <c r="S130" s="165"/>
      <c r="T130" s="165"/>
      <c r="U130" s="165"/>
      <c r="V130" s="165"/>
      <c r="W130" s="165"/>
      <c r="X130" s="165"/>
      <c r="Y130" s="165"/>
    </row>
    <row r="131" spans="1:25" ht="11.25" customHeight="1" x14ac:dyDescent="0.25">
      <c r="A131" s="165"/>
      <c r="B131" s="165"/>
      <c r="C131" s="165"/>
      <c r="D131" s="165"/>
      <c r="E131" s="165"/>
      <c r="F131" s="165"/>
      <c r="G131" s="165"/>
      <c r="H131" s="165"/>
      <c r="I131" s="165"/>
      <c r="J131" s="165"/>
      <c r="K131" s="165"/>
      <c r="L131" s="165"/>
      <c r="M131" s="165"/>
      <c r="N131" s="165"/>
      <c r="O131" s="165"/>
      <c r="P131" s="165"/>
      <c r="Q131" s="165"/>
      <c r="R131" s="165"/>
      <c r="S131" s="165"/>
      <c r="T131" s="165"/>
      <c r="U131" s="165"/>
      <c r="V131" s="165"/>
      <c r="W131" s="165"/>
      <c r="X131" s="165"/>
      <c r="Y131" s="165"/>
    </row>
    <row r="132" spans="1:25" ht="11.25" customHeight="1" x14ac:dyDescent="0.25">
      <c r="A132" s="165"/>
      <c r="B132" s="165"/>
      <c r="C132" s="165"/>
      <c r="D132" s="165"/>
      <c r="E132" s="165"/>
      <c r="F132" s="165"/>
      <c r="G132" s="165"/>
      <c r="H132" s="165"/>
      <c r="I132" s="165"/>
      <c r="J132" s="165"/>
      <c r="K132" s="165"/>
      <c r="L132" s="165"/>
      <c r="M132" s="165"/>
      <c r="N132" s="165"/>
      <c r="O132" s="165"/>
      <c r="P132" s="165"/>
      <c r="Q132" s="165"/>
      <c r="R132" s="165"/>
      <c r="S132" s="165"/>
      <c r="T132" s="165"/>
      <c r="U132" s="165"/>
      <c r="V132" s="165"/>
      <c r="W132" s="165"/>
      <c r="X132" s="165"/>
      <c r="Y132" s="165"/>
    </row>
    <row r="133" spans="1:25" ht="11.25" customHeight="1" x14ac:dyDescent="0.25">
      <c r="A133" s="165"/>
      <c r="B133" s="165"/>
      <c r="C133" s="165"/>
      <c r="D133" s="165"/>
      <c r="E133" s="165"/>
      <c r="F133" s="165"/>
      <c r="G133" s="165"/>
      <c r="H133" s="165"/>
      <c r="I133" s="165"/>
      <c r="J133" s="165"/>
      <c r="K133" s="165"/>
      <c r="L133" s="165"/>
      <c r="M133" s="165"/>
      <c r="N133" s="165"/>
      <c r="O133" s="165"/>
      <c r="P133" s="165"/>
      <c r="Q133" s="165"/>
      <c r="R133" s="165"/>
      <c r="S133" s="165"/>
      <c r="T133" s="165"/>
      <c r="U133" s="165"/>
      <c r="V133" s="165"/>
      <c r="W133" s="165"/>
      <c r="X133" s="165"/>
      <c r="Y133" s="165"/>
    </row>
    <row r="134" spans="1:25" ht="11.25" customHeight="1" x14ac:dyDescent="0.25">
      <c r="A134" s="165"/>
      <c r="B134" s="165"/>
      <c r="C134" s="165"/>
      <c r="D134" s="165"/>
      <c r="E134" s="165"/>
      <c r="F134" s="165"/>
      <c r="G134" s="165"/>
      <c r="H134" s="165"/>
      <c r="I134" s="165"/>
      <c r="J134" s="165"/>
      <c r="K134" s="165"/>
      <c r="L134" s="165"/>
      <c r="M134" s="165"/>
      <c r="N134" s="165"/>
      <c r="O134" s="165"/>
      <c r="P134" s="165"/>
      <c r="Q134" s="165"/>
      <c r="R134" s="165"/>
      <c r="S134" s="165"/>
      <c r="T134" s="165"/>
      <c r="U134" s="165"/>
      <c r="V134" s="165"/>
      <c r="W134" s="165"/>
      <c r="X134" s="165"/>
      <c r="Y134" s="165"/>
    </row>
    <row r="135" spans="1:25" ht="11.25" customHeight="1" x14ac:dyDescent="0.25">
      <c r="A135" s="165"/>
      <c r="B135" s="165"/>
      <c r="C135" s="165"/>
      <c r="D135" s="165"/>
      <c r="E135" s="165"/>
      <c r="F135" s="165"/>
      <c r="G135" s="165"/>
      <c r="H135" s="165"/>
      <c r="I135" s="165"/>
      <c r="J135" s="165"/>
      <c r="K135" s="165"/>
      <c r="L135" s="165"/>
      <c r="M135" s="165"/>
      <c r="N135" s="165"/>
      <c r="O135" s="165"/>
      <c r="P135" s="165"/>
      <c r="Q135" s="165"/>
      <c r="R135" s="165"/>
      <c r="S135" s="165"/>
      <c r="T135" s="165"/>
      <c r="U135" s="165"/>
      <c r="V135" s="165"/>
      <c r="W135" s="165"/>
      <c r="X135" s="165"/>
      <c r="Y135" s="165"/>
    </row>
    <row r="136" spans="1:25" ht="11.25" customHeight="1" x14ac:dyDescent="0.25">
      <c r="A136" s="165"/>
      <c r="B136" s="165"/>
      <c r="C136" s="165"/>
      <c r="D136" s="165"/>
      <c r="E136" s="165"/>
      <c r="F136" s="165"/>
      <c r="G136" s="165"/>
      <c r="H136" s="165"/>
      <c r="I136" s="165"/>
      <c r="J136" s="165"/>
      <c r="K136" s="165"/>
      <c r="L136" s="165"/>
      <c r="M136" s="165"/>
      <c r="N136" s="165"/>
      <c r="O136" s="165"/>
      <c r="P136" s="165"/>
      <c r="Q136" s="165"/>
      <c r="R136" s="165"/>
      <c r="S136" s="165"/>
      <c r="T136" s="165"/>
      <c r="U136" s="165"/>
      <c r="V136" s="165"/>
      <c r="W136" s="165"/>
      <c r="X136" s="165"/>
      <c r="Y136" s="165"/>
    </row>
    <row r="137" spans="1:25" ht="11.25" customHeight="1" x14ac:dyDescent="0.25">
      <c r="A137" s="165"/>
      <c r="B137" s="165"/>
      <c r="C137" s="165"/>
      <c r="D137" s="165"/>
      <c r="E137" s="165"/>
      <c r="F137" s="165"/>
      <c r="G137" s="165"/>
      <c r="H137" s="165"/>
      <c r="I137" s="165"/>
      <c r="J137" s="165"/>
      <c r="K137" s="165"/>
      <c r="L137" s="165"/>
      <c r="M137" s="165"/>
      <c r="N137" s="165"/>
      <c r="O137" s="165"/>
      <c r="P137" s="165"/>
      <c r="Q137" s="165"/>
      <c r="R137" s="165"/>
      <c r="S137" s="165"/>
      <c r="T137" s="165"/>
      <c r="U137" s="165"/>
      <c r="V137" s="165"/>
      <c r="W137" s="165"/>
      <c r="X137" s="165"/>
      <c r="Y137" s="165"/>
    </row>
    <row r="138" spans="1:25" ht="11.25" customHeight="1" x14ac:dyDescent="0.25">
      <c r="A138" s="165"/>
      <c r="B138" s="165"/>
      <c r="C138" s="165"/>
      <c r="D138" s="165"/>
      <c r="E138" s="165"/>
      <c r="F138" s="165"/>
      <c r="G138" s="165"/>
      <c r="H138" s="165"/>
      <c r="I138" s="165"/>
      <c r="J138" s="165"/>
      <c r="K138" s="165"/>
      <c r="L138" s="165"/>
      <c r="M138" s="165"/>
      <c r="N138" s="165"/>
      <c r="O138" s="165"/>
      <c r="P138" s="165"/>
      <c r="Q138" s="165"/>
      <c r="R138" s="165"/>
      <c r="S138" s="165"/>
      <c r="T138" s="165"/>
      <c r="U138" s="165"/>
      <c r="V138" s="165"/>
      <c r="W138" s="165"/>
      <c r="X138" s="165"/>
      <c r="Y138" s="165"/>
    </row>
    <row r="139" spans="1:25" ht="11.25" customHeight="1" x14ac:dyDescent="0.25">
      <c r="A139" s="165"/>
      <c r="B139" s="165"/>
      <c r="C139" s="165"/>
      <c r="D139" s="165"/>
      <c r="E139" s="165"/>
      <c r="F139" s="165"/>
      <c r="G139" s="165"/>
      <c r="H139" s="165"/>
      <c r="I139" s="165"/>
      <c r="J139" s="165"/>
      <c r="K139" s="165"/>
      <c r="L139" s="165"/>
      <c r="M139" s="165"/>
      <c r="N139" s="165"/>
      <c r="O139" s="165"/>
      <c r="P139" s="165"/>
      <c r="Q139" s="165"/>
      <c r="R139" s="165"/>
      <c r="S139" s="165"/>
      <c r="T139" s="165"/>
      <c r="U139" s="165"/>
      <c r="V139" s="165"/>
      <c r="W139" s="165"/>
      <c r="X139" s="165"/>
      <c r="Y139" s="165"/>
    </row>
    <row r="140" spans="1:25" ht="11.25" customHeight="1" x14ac:dyDescent="0.25">
      <c r="A140" s="165"/>
      <c r="B140" s="165"/>
      <c r="C140" s="165"/>
      <c r="D140" s="165"/>
      <c r="E140" s="165"/>
      <c r="F140" s="165"/>
      <c r="G140" s="165"/>
      <c r="H140" s="165"/>
      <c r="I140" s="165"/>
      <c r="J140" s="165"/>
      <c r="K140" s="165"/>
      <c r="L140" s="165"/>
      <c r="M140" s="165"/>
      <c r="N140" s="165"/>
      <c r="O140" s="165"/>
      <c r="P140" s="165"/>
      <c r="Q140" s="165"/>
      <c r="R140" s="165"/>
      <c r="S140" s="165"/>
      <c r="T140" s="165"/>
      <c r="U140" s="165"/>
      <c r="V140" s="165"/>
      <c r="W140" s="165"/>
      <c r="X140" s="165"/>
      <c r="Y140" s="165"/>
    </row>
    <row r="141" spans="1:25" ht="11.25" customHeight="1" x14ac:dyDescent="0.25">
      <c r="A141" s="165"/>
      <c r="B141" s="165"/>
      <c r="C141" s="165"/>
      <c r="D141" s="165"/>
      <c r="E141" s="165"/>
      <c r="F141" s="165"/>
      <c r="G141" s="165"/>
      <c r="H141" s="165"/>
      <c r="I141" s="165"/>
      <c r="J141" s="165"/>
      <c r="K141" s="165"/>
      <c r="L141" s="165"/>
      <c r="M141" s="165"/>
      <c r="N141" s="165"/>
      <c r="O141" s="165"/>
      <c r="P141" s="165"/>
      <c r="Q141" s="165"/>
      <c r="R141" s="165"/>
      <c r="S141" s="165"/>
      <c r="T141" s="165"/>
      <c r="U141" s="165"/>
      <c r="V141" s="165"/>
      <c r="W141" s="165"/>
      <c r="X141" s="165"/>
      <c r="Y141" s="165"/>
    </row>
    <row r="142" spans="1:25" ht="11.25" customHeight="1" x14ac:dyDescent="0.25">
      <c r="A142" s="165"/>
      <c r="B142" s="165"/>
      <c r="C142" s="165"/>
      <c r="D142" s="165"/>
      <c r="E142" s="165"/>
      <c r="F142" s="165"/>
      <c r="G142" s="165"/>
      <c r="H142" s="165"/>
      <c r="I142" s="165"/>
      <c r="J142" s="165"/>
      <c r="K142" s="165"/>
      <c r="L142" s="165"/>
      <c r="M142" s="165"/>
      <c r="N142" s="165"/>
      <c r="O142" s="165"/>
      <c r="P142" s="165"/>
      <c r="Q142" s="165"/>
      <c r="R142" s="165"/>
      <c r="S142" s="165"/>
      <c r="T142" s="165"/>
      <c r="U142" s="165"/>
      <c r="V142" s="165"/>
      <c r="W142" s="165"/>
      <c r="X142" s="165"/>
      <c r="Y142" s="165"/>
    </row>
    <row r="143" spans="1:25" ht="11.25" customHeight="1" x14ac:dyDescent="0.25">
      <c r="A143" s="165"/>
      <c r="B143" s="165"/>
      <c r="C143" s="165"/>
      <c r="D143" s="165"/>
      <c r="E143" s="165"/>
      <c r="F143" s="165"/>
      <c r="G143" s="165"/>
      <c r="H143" s="165"/>
      <c r="I143" s="165"/>
      <c r="J143" s="165"/>
      <c r="K143" s="165"/>
      <c r="L143" s="165"/>
      <c r="M143" s="165"/>
      <c r="N143" s="165"/>
      <c r="O143" s="165"/>
      <c r="P143" s="165"/>
      <c r="Q143" s="165"/>
      <c r="R143" s="165"/>
      <c r="S143" s="165"/>
      <c r="T143" s="165"/>
      <c r="U143" s="165"/>
      <c r="V143" s="165"/>
      <c r="W143" s="165"/>
      <c r="X143" s="165"/>
      <c r="Y143" s="165"/>
    </row>
    <row r="144" spans="1:25" ht="11.25" customHeight="1" x14ac:dyDescent="0.25">
      <c r="A144" s="165"/>
      <c r="B144" s="165"/>
      <c r="C144" s="165"/>
      <c r="D144" s="165"/>
      <c r="E144" s="165"/>
      <c r="F144" s="165"/>
      <c r="G144" s="165"/>
      <c r="H144" s="165"/>
      <c r="I144" s="165"/>
      <c r="J144" s="165"/>
      <c r="K144" s="165"/>
      <c r="L144" s="165"/>
      <c r="M144" s="165"/>
      <c r="N144" s="165"/>
      <c r="O144" s="165"/>
      <c r="P144" s="165"/>
      <c r="Q144" s="165"/>
      <c r="R144" s="165"/>
      <c r="S144" s="165"/>
      <c r="T144" s="165"/>
      <c r="U144" s="165"/>
      <c r="V144" s="165"/>
      <c r="W144" s="165"/>
      <c r="X144" s="165"/>
      <c r="Y144" s="165"/>
    </row>
    <row r="145" spans="1:25" ht="11.25" customHeight="1" x14ac:dyDescent="0.25">
      <c r="A145" s="165"/>
      <c r="B145" s="165"/>
      <c r="C145" s="165"/>
      <c r="D145" s="165"/>
      <c r="E145" s="165"/>
      <c r="F145" s="165"/>
      <c r="G145" s="165"/>
      <c r="H145" s="165"/>
      <c r="I145" s="165"/>
      <c r="J145" s="165"/>
      <c r="K145" s="165"/>
      <c r="L145" s="165"/>
      <c r="M145" s="165"/>
      <c r="N145" s="165"/>
      <c r="O145" s="165"/>
      <c r="P145" s="165"/>
      <c r="Q145" s="165"/>
      <c r="R145" s="165"/>
      <c r="S145" s="165"/>
      <c r="T145" s="165"/>
      <c r="U145" s="165"/>
      <c r="V145" s="165"/>
      <c r="W145" s="165"/>
      <c r="X145" s="165"/>
      <c r="Y145" s="165"/>
    </row>
    <row r="146" spans="1:25" ht="11.25" customHeight="1" x14ac:dyDescent="0.25">
      <c r="A146" s="165"/>
      <c r="B146" s="165"/>
      <c r="C146" s="165"/>
      <c r="D146" s="165"/>
      <c r="E146" s="165"/>
      <c r="F146" s="165"/>
      <c r="G146" s="165"/>
      <c r="H146" s="165"/>
      <c r="I146" s="165"/>
      <c r="J146" s="165"/>
      <c r="K146" s="165"/>
      <c r="L146" s="165"/>
      <c r="M146" s="165"/>
      <c r="N146" s="165"/>
      <c r="O146" s="165"/>
      <c r="P146" s="165"/>
      <c r="Q146" s="165"/>
      <c r="R146" s="165"/>
      <c r="S146" s="165"/>
      <c r="T146" s="165"/>
      <c r="U146" s="165"/>
      <c r="V146" s="165"/>
      <c r="W146" s="165"/>
      <c r="X146" s="165"/>
      <c r="Y146" s="165"/>
    </row>
    <row r="147" spans="1:25" ht="11.25" customHeight="1" x14ac:dyDescent="0.25">
      <c r="A147" s="165"/>
      <c r="B147" s="165"/>
      <c r="C147" s="165"/>
      <c r="D147" s="165"/>
      <c r="E147" s="165"/>
      <c r="F147" s="165"/>
      <c r="G147" s="165"/>
      <c r="H147" s="165"/>
      <c r="I147" s="165"/>
      <c r="J147" s="165"/>
      <c r="K147" s="165"/>
      <c r="L147" s="165"/>
      <c r="M147" s="165"/>
      <c r="N147" s="165"/>
      <c r="O147" s="165"/>
      <c r="P147" s="165"/>
      <c r="Q147" s="165"/>
      <c r="R147" s="165"/>
      <c r="S147" s="165"/>
      <c r="T147" s="165"/>
      <c r="U147" s="165"/>
      <c r="V147" s="165"/>
      <c r="W147" s="165"/>
      <c r="X147" s="165"/>
      <c r="Y147" s="165"/>
    </row>
    <row r="148" spans="1:25" ht="11.25" customHeight="1" x14ac:dyDescent="0.25">
      <c r="A148" s="165"/>
      <c r="B148" s="165"/>
      <c r="C148" s="165"/>
      <c r="D148" s="165"/>
      <c r="E148" s="165"/>
      <c r="F148" s="165"/>
      <c r="G148" s="165"/>
      <c r="H148" s="165"/>
      <c r="I148" s="165"/>
      <c r="J148" s="165"/>
      <c r="K148" s="165"/>
      <c r="L148" s="165"/>
      <c r="M148" s="165"/>
      <c r="N148" s="165"/>
      <c r="O148" s="165"/>
      <c r="P148" s="165"/>
      <c r="Q148" s="165"/>
      <c r="R148" s="165"/>
      <c r="S148" s="165"/>
      <c r="T148" s="165"/>
      <c r="U148" s="165"/>
      <c r="V148" s="165"/>
      <c r="W148" s="165"/>
      <c r="X148" s="165"/>
      <c r="Y148" s="165"/>
    </row>
    <row r="149" spans="1:25" ht="11.25" customHeight="1" x14ac:dyDescent="0.25">
      <c r="A149" s="165"/>
      <c r="B149" s="165"/>
      <c r="C149" s="165"/>
      <c r="D149" s="165"/>
      <c r="E149" s="165"/>
      <c r="F149" s="165"/>
      <c r="G149" s="165"/>
      <c r="H149" s="165"/>
      <c r="I149" s="165"/>
      <c r="J149" s="165"/>
      <c r="K149" s="165"/>
      <c r="L149" s="165"/>
      <c r="M149" s="165"/>
      <c r="N149" s="165"/>
      <c r="O149" s="165"/>
      <c r="P149" s="165"/>
      <c r="Q149" s="165"/>
      <c r="R149" s="165"/>
      <c r="S149" s="165"/>
      <c r="T149" s="165"/>
      <c r="U149" s="165"/>
      <c r="V149" s="165"/>
      <c r="W149" s="165"/>
      <c r="X149" s="165"/>
      <c r="Y149" s="165"/>
    </row>
    <row r="150" spans="1:25" ht="11.25" customHeight="1" x14ac:dyDescent="0.25">
      <c r="A150" s="165"/>
      <c r="B150" s="165"/>
      <c r="C150" s="165"/>
      <c r="D150" s="165"/>
      <c r="E150" s="165"/>
      <c r="F150" s="165"/>
      <c r="G150" s="165"/>
      <c r="H150" s="165"/>
      <c r="I150" s="165"/>
      <c r="J150" s="165"/>
      <c r="K150" s="165"/>
      <c r="L150" s="165"/>
      <c r="M150" s="165"/>
      <c r="N150" s="165"/>
      <c r="O150" s="165"/>
      <c r="P150" s="165"/>
      <c r="Q150" s="165"/>
      <c r="R150" s="165"/>
      <c r="S150" s="165"/>
      <c r="T150" s="165"/>
      <c r="U150" s="165"/>
      <c r="V150" s="165"/>
      <c r="W150" s="165"/>
      <c r="X150" s="165"/>
      <c r="Y150" s="165"/>
    </row>
    <row r="151" spans="1:25" ht="11.25" customHeight="1" x14ac:dyDescent="0.25">
      <c r="A151" s="165"/>
      <c r="B151" s="165"/>
      <c r="C151" s="165"/>
      <c r="D151" s="165"/>
      <c r="E151" s="165"/>
      <c r="F151" s="165"/>
      <c r="G151" s="165"/>
      <c r="H151" s="165"/>
      <c r="I151" s="165"/>
      <c r="J151" s="165"/>
      <c r="K151" s="165"/>
      <c r="L151" s="165"/>
      <c r="M151" s="165"/>
      <c r="N151" s="165"/>
      <c r="O151" s="165"/>
      <c r="P151" s="165"/>
      <c r="Q151" s="165"/>
      <c r="R151" s="165"/>
      <c r="S151" s="165"/>
      <c r="T151" s="165"/>
      <c r="U151" s="165"/>
      <c r="V151" s="165"/>
      <c r="W151" s="165"/>
      <c r="X151" s="165"/>
      <c r="Y151" s="165"/>
    </row>
    <row r="152" spans="1:25" ht="11.25" customHeight="1" x14ac:dyDescent="0.25">
      <c r="A152" s="165"/>
      <c r="B152" s="165"/>
      <c r="C152" s="165"/>
      <c r="D152" s="165"/>
      <c r="E152" s="165"/>
      <c r="F152" s="165"/>
      <c r="G152" s="165"/>
      <c r="H152" s="165"/>
      <c r="I152" s="165"/>
      <c r="J152" s="165"/>
      <c r="K152" s="165"/>
      <c r="L152" s="165"/>
      <c r="M152" s="165"/>
      <c r="N152" s="165"/>
      <c r="O152" s="165"/>
      <c r="P152" s="165"/>
      <c r="Q152" s="165"/>
      <c r="R152" s="165"/>
      <c r="S152" s="165"/>
      <c r="T152" s="165"/>
      <c r="U152" s="165"/>
      <c r="V152" s="165"/>
      <c r="W152" s="165"/>
      <c r="X152" s="165"/>
      <c r="Y152" s="165"/>
    </row>
    <row r="153" spans="1:25" ht="11.25" customHeight="1" x14ac:dyDescent="0.25">
      <c r="A153" s="165"/>
      <c r="B153" s="165"/>
      <c r="C153" s="165"/>
      <c r="D153" s="165"/>
      <c r="E153" s="165"/>
      <c r="F153" s="165"/>
      <c r="G153" s="165"/>
      <c r="H153" s="165"/>
      <c r="I153" s="165"/>
      <c r="J153" s="165"/>
      <c r="K153" s="165"/>
      <c r="L153" s="165"/>
      <c r="M153" s="165"/>
      <c r="N153" s="165"/>
      <c r="O153" s="165"/>
      <c r="P153" s="165"/>
      <c r="Q153" s="165"/>
      <c r="R153" s="165"/>
      <c r="S153" s="165"/>
      <c r="T153" s="165"/>
      <c r="U153" s="165"/>
      <c r="V153" s="165"/>
      <c r="W153" s="165"/>
      <c r="X153" s="165"/>
      <c r="Y153" s="165"/>
    </row>
    <row r="154" spans="1:25" ht="11.25" customHeight="1" x14ac:dyDescent="0.25">
      <c r="A154" s="165"/>
      <c r="B154" s="165"/>
      <c r="C154" s="165"/>
      <c r="D154" s="165"/>
      <c r="E154" s="165"/>
      <c r="F154" s="165"/>
      <c r="G154" s="165"/>
      <c r="H154" s="165"/>
      <c r="I154" s="165"/>
      <c r="J154" s="165"/>
      <c r="K154" s="165"/>
      <c r="L154" s="165"/>
      <c r="M154" s="165"/>
      <c r="N154" s="165"/>
      <c r="O154" s="165"/>
      <c r="P154" s="165"/>
      <c r="Q154" s="165"/>
      <c r="R154" s="165"/>
      <c r="S154" s="165"/>
      <c r="T154" s="165"/>
      <c r="U154" s="165"/>
      <c r="V154" s="165"/>
      <c r="W154" s="165"/>
      <c r="X154" s="165"/>
      <c r="Y154" s="165"/>
    </row>
    <row r="155" spans="1:25" ht="11.25" customHeight="1" x14ac:dyDescent="0.25">
      <c r="A155" s="165"/>
      <c r="B155" s="165"/>
      <c r="C155" s="165"/>
      <c r="D155" s="165"/>
      <c r="E155" s="165"/>
      <c r="F155" s="165"/>
      <c r="G155" s="165"/>
      <c r="H155" s="165"/>
      <c r="I155" s="165"/>
      <c r="J155" s="165"/>
      <c r="K155" s="165"/>
      <c r="L155" s="165"/>
      <c r="M155" s="165"/>
      <c r="N155" s="165"/>
      <c r="O155" s="165"/>
      <c r="P155" s="165"/>
      <c r="Q155" s="165"/>
      <c r="R155" s="165"/>
      <c r="S155" s="165"/>
      <c r="T155" s="165"/>
      <c r="U155" s="165"/>
      <c r="V155" s="165"/>
      <c r="W155" s="165"/>
      <c r="X155" s="165"/>
      <c r="Y155" s="165"/>
    </row>
    <row r="156" spans="1:25" ht="11.25" customHeight="1" x14ac:dyDescent="0.25">
      <c r="A156" s="165"/>
      <c r="B156" s="165"/>
      <c r="C156" s="165"/>
      <c r="D156" s="165"/>
      <c r="E156" s="165"/>
      <c r="F156" s="165"/>
      <c r="G156" s="165"/>
      <c r="H156" s="165"/>
      <c r="I156" s="165"/>
      <c r="J156" s="165"/>
      <c r="K156" s="165"/>
      <c r="L156" s="165"/>
      <c r="M156" s="165"/>
      <c r="N156" s="165"/>
      <c r="O156" s="165"/>
      <c r="P156" s="165"/>
      <c r="Q156" s="165"/>
      <c r="R156" s="165"/>
      <c r="S156" s="165"/>
      <c r="T156" s="165"/>
      <c r="U156" s="165"/>
      <c r="V156" s="165"/>
      <c r="W156" s="165"/>
      <c r="X156" s="165"/>
      <c r="Y156" s="165"/>
    </row>
    <row r="157" spans="1:25" ht="11.25" customHeight="1" x14ac:dyDescent="0.25">
      <c r="A157" s="165"/>
      <c r="B157" s="165"/>
      <c r="C157" s="165"/>
      <c r="D157" s="165"/>
      <c r="E157" s="165"/>
      <c r="F157" s="165"/>
      <c r="G157" s="165"/>
      <c r="H157" s="165"/>
      <c r="I157" s="165"/>
      <c r="J157" s="165"/>
      <c r="K157" s="165"/>
      <c r="L157" s="165"/>
      <c r="M157" s="165"/>
      <c r="N157" s="165"/>
      <c r="O157" s="165"/>
      <c r="P157" s="165"/>
      <c r="Q157" s="165"/>
      <c r="R157" s="165"/>
      <c r="S157" s="165"/>
      <c r="T157" s="165"/>
      <c r="U157" s="165"/>
      <c r="V157" s="165"/>
      <c r="W157" s="165"/>
      <c r="X157" s="165"/>
      <c r="Y157" s="165"/>
    </row>
    <row r="158" spans="1:25" ht="11.25" customHeight="1" x14ac:dyDescent="0.25">
      <c r="A158" s="165"/>
      <c r="B158" s="165"/>
      <c r="C158" s="165"/>
      <c r="D158" s="165"/>
      <c r="E158" s="165"/>
      <c r="F158" s="165"/>
      <c r="G158" s="165"/>
      <c r="H158" s="165"/>
      <c r="I158" s="165"/>
      <c r="J158" s="165"/>
      <c r="K158" s="165"/>
      <c r="L158" s="165"/>
      <c r="M158" s="165"/>
      <c r="N158" s="165"/>
      <c r="O158" s="165"/>
      <c r="P158" s="165"/>
      <c r="Q158" s="165"/>
      <c r="R158" s="165"/>
      <c r="S158" s="165"/>
      <c r="T158" s="165"/>
      <c r="U158" s="165"/>
      <c r="V158" s="165"/>
      <c r="W158" s="165"/>
      <c r="X158" s="165"/>
      <c r="Y158" s="165"/>
    </row>
    <row r="159" spans="1:25" ht="11.25" customHeight="1" x14ac:dyDescent="0.25">
      <c r="A159" s="165"/>
      <c r="B159" s="165"/>
      <c r="C159" s="165"/>
      <c r="D159" s="165"/>
      <c r="E159" s="165"/>
      <c r="F159" s="165"/>
      <c r="G159" s="165"/>
      <c r="H159" s="165"/>
      <c r="I159" s="165"/>
      <c r="J159" s="165"/>
      <c r="K159" s="165"/>
      <c r="L159" s="165"/>
      <c r="M159" s="165"/>
      <c r="N159" s="165"/>
      <c r="O159" s="165"/>
      <c r="P159" s="165"/>
      <c r="Q159" s="165"/>
      <c r="R159" s="165"/>
      <c r="S159" s="165"/>
      <c r="T159" s="165"/>
      <c r="U159" s="165"/>
      <c r="V159" s="165"/>
      <c r="W159" s="165"/>
      <c r="X159" s="165"/>
      <c r="Y159" s="165"/>
    </row>
    <row r="160" spans="1:25" ht="11.25" customHeight="1" x14ac:dyDescent="0.25">
      <c r="A160" s="165"/>
      <c r="B160" s="165"/>
      <c r="C160" s="165"/>
      <c r="D160" s="165"/>
      <c r="E160" s="165"/>
      <c r="F160" s="165"/>
      <c r="G160" s="165"/>
      <c r="H160" s="165"/>
      <c r="I160" s="165"/>
      <c r="J160" s="165"/>
      <c r="K160" s="165"/>
      <c r="L160" s="165"/>
      <c r="M160" s="165"/>
      <c r="N160" s="165"/>
      <c r="O160" s="165"/>
      <c r="P160" s="165"/>
      <c r="Q160" s="165"/>
      <c r="R160" s="165"/>
      <c r="S160" s="165"/>
      <c r="T160" s="165"/>
      <c r="U160" s="165"/>
      <c r="V160" s="165"/>
      <c r="W160" s="165"/>
      <c r="X160" s="165"/>
      <c r="Y160" s="165"/>
    </row>
    <row r="161" spans="1:25" ht="11.25" customHeight="1" x14ac:dyDescent="0.25">
      <c r="A161" s="165"/>
      <c r="B161" s="165"/>
      <c r="C161" s="165"/>
      <c r="D161" s="165"/>
      <c r="E161" s="165"/>
      <c r="F161" s="165"/>
      <c r="G161" s="165"/>
      <c r="H161" s="165"/>
      <c r="I161" s="165"/>
      <c r="J161" s="165"/>
      <c r="K161" s="165"/>
      <c r="L161" s="165"/>
      <c r="M161" s="165"/>
      <c r="N161" s="165"/>
      <c r="O161" s="165"/>
      <c r="P161" s="165"/>
      <c r="Q161" s="165"/>
      <c r="R161" s="165"/>
      <c r="S161" s="165"/>
      <c r="T161" s="165"/>
      <c r="U161" s="165"/>
      <c r="V161" s="165"/>
      <c r="W161" s="165"/>
      <c r="X161" s="165"/>
      <c r="Y161" s="165"/>
    </row>
    <row r="162" spans="1:25" ht="11.25" customHeight="1" x14ac:dyDescent="0.25">
      <c r="A162" s="165"/>
      <c r="B162" s="165"/>
      <c r="C162" s="165"/>
      <c r="D162" s="165"/>
      <c r="E162" s="165"/>
      <c r="F162" s="165"/>
      <c r="G162" s="165"/>
      <c r="H162" s="165"/>
      <c r="I162" s="165"/>
      <c r="J162" s="165"/>
      <c r="K162" s="165"/>
      <c r="L162" s="165"/>
      <c r="M162" s="165"/>
      <c r="N162" s="165"/>
      <c r="O162" s="165"/>
      <c r="P162" s="165"/>
      <c r="Q162" s="165"/>
      <c r="R162" s="165"/>
      <c r="S162" s="165"/>
      <c r="T162" s="165"/>
      <c r="U162" s="165"/>
      <c r="V162" s="165"/>
      <c r="W162" s="165"/>
      <c r="X162" s="165"/>
      <c r="Y162" s="165"/>
    </row>
    <row r="163" spans="1:25" ht="11.25" customHeight="1" x14ac:dyDescent="0.25">
      <c r="A163" s="165"/>
      <c r="B163" s="165"/>
      <c r="C163" s="165"/>
      <c r="D163" s="165"/>
      <c r="E163" s="165"/>
      <c r="F163" s="165"/>
      <c r="G163" s="165"/>
      <c r="H163" s="165"/>
      <c r="I163" s="165"/>
      <c r="J163" s="165"/>
      <c r="K163" s="165"/>
      <c r="L163" s="165"/>
      <c r="M163" s="165"/>
      <c r="N163" s="165"/>
      <c r="O163" s="165"/>
      <c r="P163" s="165"/>
      <c r="Q163" s="165"/>
      <c r="R163" s="165"/>
      <c r="S163" s="165"/>
      <c r="T163" s="165"/>
      <c r="U163" s="165"/>
      <c r="V163" s="165"/>
      <c r="W163" s="165"/>
      <c r="X163" s="165"/>
      <c r="Y163" s="165"/>
    </row>
    <row r="164" spans="1:25" ht="11.25" customHeight="1" x14ac:dyDescent="0.25">
      <c r="A164" s="165"/>
      <c r="B164" s="165"/>
      <c r="C164" s="165"/>
      <c r="D164" s="165"/>
      <c r="E164" s="165"/>
      <c r="F164" s="165"/>
      <c r="G164" s="165"/>
      <c r="H164" s="165"/>
      <c r="I164" s="165"/>
      <c r="J164" s="165"/>
      <c r="K164" s="165"/>
      <c r="L164" s="165"/>
      <c r="M164" s="165"/>
      <c r="N164" s="165"/>
      <c r="O164" s="165"/>
      <c r="P164" s="165"/>
      <c r="Q164" s="165"/>
      <c r="R164" s="165"/>
      <c r="S164" s="165"/>
      <c r="T164" s="165"/>
      <c r="U164" s="165"/>
      <c r="V164" s="165"/>
      <c r="W164" s="165"/>
      <c r="X164" s="165"/>
      <c r="Y164" s="165"/>
    </row>
    <row r="165" spans="1:25" ht="11.25" customHeight="1" x14ac:dyDescent="0.25">
      <c r="A165" s="165"/>
      <c r="B165" s="165"/>
      <c r="C165" s="165"/>
      <c r="D165" s="165"/>
      <c r="E165" s="165"/>
      <c r="F165" s="165"/>
      <c r="G165" s="165"/>
      <c r="H165" s="165"/>
      <c r="I165" s="165"/>
      <c r="J165" s="165"/>
      <c r="K165" s="165"/>
      <c r="L165" s="165"/>
      <c r="M165" s="165"/>
      <c r="N165" s="165"/>
      <c r="O165" s="165"/>
      <c r="P165" s="165"/>
      <c r="Q165" s="165"/>
      <c r="R165" s="165"/>
      <c r="S165" s="165"/>
      <c r="T165" s="165"/>
      <c r="U165" s="165"/>
      <c r="V165" s="165"/>
      <c r="W165" s="165"/>
      <c r="X165" s="165"/>
      <c r="Y165" s="165"/>
    </row>
    <row r="166" spans="1:25" ht="11.25" customHeight="1" x14ac:dyDescent="0.25">
      <c r="A166" s="165"/>
      <c r="B166" s="165"/>
      <c r="C166" s="165"/>
      <c r="D166" s="165"/>
      <c r="E166" s="165"/>
      <c r="F166" s="165"/>
      <c r="G166" s="165"/>
      <c r="H166" s="165"/>
      <c r="I166" s="165"/>
      <c r="J166" s="165"/>
      <c r="K166" s="165"/>
      <c r="L166" s="165"/>
      <c r="M166" s="165"/>
      <c r="N166" s="165"/>
      <c r="O166" s="165"/>
      <c r="P166" s="165"/>
      <c r="Q166" s="165"/>
      <c r="R166" s="165"/>
      <c r="S166" s="165"/>
      <c r="T166" s="165"/>
      <c r="U166" s="165"/>
      <c r="V166" s="165"/>
      <c r="W166" s="165"/>
      <c r="X166" s="165"/>
      <c r="Y166" s="165"/>
    </row>
    <row r="167" spans="1:25" ht="11.25" customHeight="1" x14ac:dyDescent="0.25">
      <c r="A167" s="165"/>
      <c r="B167" s="165"/>
      <c r="C167" s="165"/>
      <c r="D167" s="165"/>
      <c r="E167" s="165"/>
      <c r="F167" s="165"/>
      <c r="G167" s="165"/>
      <c r="H167" s="165"/>
      <c r="I167" s="165"/>
      <c r="J167" s="165"/>
      <c r="K167" s="165"/>
      <c r="L167" s="165"/>
      <c r="M167" s="165"/>
      <c r="N167" s="165"/>
      <c r="O167" s="165"/>
      <c r="P167" s="165"/>
      <c r="Q167" s="165"/>
      <c r="R167" s="165"/>
      <c r="S167" s="165"/>
      <c r="T167" s="165"/>
      <c r="U167" s="165"/>
      <c r="V167" s="165"/>
      <c r="W167" s="165"/>
      <c r="X167" s="165"/>
      <c r="Y167" s="165"/>
    </row>
    <row r="168" spans="1:25" ht="11.25" customHeight="1" x14ac:dyDescent="0.25">
      <c r="A168" s="165"/>
      <c r="B168" s="165"/>
      <c r="C168" s="165"/>
      <c r="D168" s="165"/>
      <c r="E168" s="165"/>
      <c r="F168" s="165"/>
      <c r="G168" s="165"/>
      <c r="H168" s="165"/>
      <c r="I168" s="165"/>
      <c r="J168" s="165"/>
      <c r="K168" s="165"/>
      <c r="L168" s="165"/>
      <c r="M168" s="165"/>
      <c r="N168" s="165"/>
      <c r="O168" s="165"/>
      <c r="P168" s="165"/>
      <c r="Q168" s="165"/>
      <c r="R168" s="165"/>
      <c r="S168" s="165"/>
      <c r="T168" s="165"/>
      <c r="U168" s="165"/>
      <c r="V168" s="165"/>
      <c r="W168" s="165"/>
      <c r="X168" s="165"/>
      <c r="Y168" s="165"/>
    </row>
    <row r="169" spans="1:25" ht="11.25" customHeight="1" x14ac:dyDescent="0.25">
      <c r="A169" s="165"/>
      <c r="B169" s="165"/>
      <c r="C169" s="165"/>
      <c r="D169" s="165"/>
      <c r="E169" s="165"/>
      <c r="F169" s="165"/>
      <c r="G169" s="165"/>
      <c r="H169" s="165"/>
      <c r="I169" s="165"/>
      <c r="J169" s="165"/>
      <c r="K169" s="165"/>
      <c r="L169" s="165"/>
      <c r="M169" s="165"/>
      <c r="N169" s="165"/>
      <c r="O169" s="165"/>
      <c r="P169" s="165"/>
      <c r="Q169" s="165"/>
      <c r="R169" s="165"/>
      <c r="S169" s="165"/>
      <c r="T169" s="165"/>
      <c r="U169" s="165"/>
      <c r="V169" s="165"/>
      <c r="W169" s="165"/>
      <c r="X169" s="165"/>
      <c r="Y169" s="165"/>
    </row>
    <row r="170" spans="1:25" ht="11.25" customHeight="1" x14ac:dyDescent="0.25">
      <c r="A170" s="165"/>
      <c r="B170" s="165"/>
      <c r="C170" s="165"/>
      <c r="D170" s="165"/>
      <c r="E170" s="165"/>
      <c r="F170" s="165"/>
      <c r="G170" s="165"/>
      <c r="H170" s="165"/>
      <c r="I170" s="165"/>
      <c r="J170" s="165"/>
      <c r="K170" s="165"/>
      <c r="L170" s="165"/>
      <c r="M170" s="165"/>
      <c r="N170" s="165"/>
      <c r="O170" s="165"/>
      <c r="P170" s="165"/>
      <c r="Q170" s="165"/>
      <c r="R170" s="165"/>
      <c r="S170" s="165"/>
      <c r="T170" s="165"/>
      <c r="U170" s="165"/>
      <c r="V170" s="165"/>
      <c r="W170" s="165"/>
      <c r="X170" s="165"/>
      <c r="Y170" s="165"/>
    </row>
    <row r="171" spans="1:25" ht="11.25" customHeight="1" x14ac:dyDescent="0.25">
      <c r="A171" s="165"/>
      <c r="B171" s="165"/>
      <c r="C171" s="165"/>
      <c r="D171" s="165"/>
      <c r="E171" s="165"/>
      <c r="F171" s="165"/>
      <c r="G171" s="165"/>
      <c r="H171" s="165"/>
      <c r="I171" s="165"/>
      <c r="J171" s="165"/>
      <c r="K171" s="165"/>
      <c r="L171" s="165"/>
      <c r="M171" s="165"/>
      <c r="N171" s="165"/>
      <c r="O171" s="165"/>
      <c r="P171" s="165"/>
      <c r="Q171" s="165"/>
      <c r="R171" s="165"/>
      <c r="S171" s="165"/>
      <c r="T171" s="165"/>
      <c r="U171" s="165"/>
      <c r="V171" s="165"/>
      <c r="W171" s="165"/>
      <c r="X171" s="165"/>
      <c r="Y171" s="165"/>
    </row>
    <row r="172" spans="1:25" ht="11.25" customHeight="1" x14ac:dyDescent="0.25">
      <c r="A172" s="165"/>
      <c r="B172" s="165"/>
      <c r="C172" s="165"/>
      <c r="D172" s="165"/>
      <c r="E172" s="165"/>
      <c r="F172" s="165"/>
      <c r="G172" s="165"/>
      <c r="H172" s="165"/>
      <c r="I172" s="165"/>
      <c r="J172" s="165"/>
      <c r="K172" s="165"/>
      <c r="L172" s="165"/>
      <c r="M172" s="165"/>
      <c r="N172" s="165"/>
      <c r="O172" s="165"/>
      <c r="P172" s="165"/>
      <c r="Q172" s="165"/>
      <c r="R172" s="165"/>
      <c r="S172" s="165"/>
      <c r="T172" s="165"/>
      <c r="U172" s="165"/>
      <c r="V172" s="165"/>
      <c r="W172" s="165"/>
      <c r="X172" s="165"/>
      <c r="Y172" s="165"/>
    </row>
    <row r="173" spans="1:25" ht="11.25" customHeight="1" x14ac:dyDescent="0.25">
      <c r="A173" s="165"/>
      <c r="B173" s="165"/>
      <c r="C173" s="165"/>
      <c r="D173" s="165"/>
      <c r="E173" s="165"/>
      <c r="F173" s="165"/>
      <c r="G173" s="165"/>
      <c r="H173" s="165"/>
      <c r="I173" s="165"/>
      <c r="J173" s="165"/>
      <c r="K173" s="165"/>
      <c r="L173" s="165"/>
      <c r="M173" s="165"/>
      <c r="N173" s="165"/>
      <c r="O173" s="165"/>
      <c r="P173" s="165"/>
      <c r="Q173" s="165"/>
      <c r="R173" s="165"/>
      <c r="S173" s="165"/>
      <c r="T173" s="165"/>
      <c r="U173" s="165"/>
      <c r="V173" s="165"/>
      <c r="W173" s="165"/>
      <c r="X173" s="165"/>
      <c r="Y173" s="165"/>
    </row>
    <row r="174" spans="1:25" ht="11.25" customHeight="1" x14ac:dyDescent="0.25">
      <c r="A174" s="165"/>
      <c r="B174" s="165"/>
      <c r="C174" s="165"/>
      <c r="D174" s="165"/>
      <c r="E174" s="165"/>
      <c r="F174" s="165"/>
      <c r="G174" s="165"/>
      <c r="H174" s="165"/>
      <c r="I174" s="165"/>
      <c r="J174" s="165"/>
      <c r="K174" s="165"/>
      <c r="L174" s="165"/>
      <c r="M174" s="165"/>
      <c r="N174" s="165"/>
      <c r="O174" s="165"/>
      <c r="P174" s="165"/>
      <c r="Q174" s="165"/>
      <c r="R174" s="165"/>
      <c r="S174" s="165"/>
      <c r="T174" s="165"/>
      <c r="U174" s="165"/>
      <c r="V174" s="165"/>
      <c r="W174" s="165"/>
      <c r="X174" s="165"/>
      <c r="Y174" s="165"/>
    </row>
    <row r="175" spans="1:25" ht="11.25" customHeight="1" x14ac:dyDescent="0.25">
      <c r="A175" s="165"/>
      <c r="B175" s="165"/>
      <c r="C175" s="165"/>
      <c r="D175" s="165"/>
      <c r="E175" s="165"/>
      <c r="F175" s="165"/>
      <c r="G175" s="165"/>
      <c r="H175" s="165"/>
      <c r="I175" s="165"/>
      <c r="J175" s="165"/>
      <c r="K175" s="165"/>
      <c r="L175" s="165"/>
      <c r="M175" s="165"/>
      <c r="N175" s="165"/>
      <c r="O175" s="165"/>
      <c r="P175" s="165"/>
      <c r="Q175" s="165"/>
      <c r="R175" s="165"/>
      <c r="S175" s="165"/>
      <c r="T175" s="165"/>
      <c r="U175" s="165"/>
      <c r="V175" s="165"/>
      <c r="W175" s="165"/>
      <c r="X175" s="165"/>
      <c r="Y175" s="165"/>
    </row>
    <row r="176" spans="1:25" ht="11.25" customHeight="1" x14ac:dyDescent="0.25">
      <c r="A176" s="165"/>
      <c r="B176" s="165"/>
      <c r="C176" s="165"/>
      <c r="D176" s="165"/>
      <c r="E176" s="165"/>
      <c r="F176" s="165"/>
      <c r="G176" s="165"/>
      <c r="H176" s="165"/>
      <c r="I176" s="165"/>
      <c r="J176" s="165"/>
      <c r="K176" s="165"/>
      <c r="L176" s="165"/>
      <c r="M176" s="165"/>
      <c r="N176" s="165"/>
      <c r="O176" s="165"/>
      <c r="P176" s="165"/>
      <c r="Q176" s="165"/>
      <c r="R176" s="165"/>
      <c r="S176" s="165"/>
      <c r="T176" s="165"/>
      <c r="U176" s="165"/>
      <c r="V176" s="165"/>
      <c r="W176" s="165"/>
      <c r="X176" s="165"/>
      <c r="Y176" s="165"/>
    </row>
    <row r="177" spans="1:25" ht="11.25" customHeight="1" x14ac:dyDescent="0.25">
      <c r="A177" s="165"/>
      <c r="B177" s="165"/>
      <c r="C177" s="165"/>
      <c r="D177" s="165"/>
      <c r="E177" s="165"/>
      <c r="F177" s="165"/>
      <c r="G177" s="165"/>
      <c r="H177" s="165"/>
      <c r="I177" s="165"/>
      <c r="J177" s="165"/>
      <c r="K177" s="165"/>
      <c r="L177" s="165"/>
      <c r="M177" s="165"/>
      <c r="N177" s="165"/>
      <c r="O177" s="165"/>
      <c r="P177" s="165"/>
      <c r="Q177" s="165"/>
      <c r="R177" s="165"/>
      <c r="S177" s="165"/>
      <c r="T177" s="165"/>
      <c r="U177" s="165"/>
      <c r="V177" s="165"/>
      <c r="W177" s="165"/>
      <c r="X177" s="165"/>
      <c r="Y177" s="165"/>
    </row>
    <row r="178" spans="1:25" ht="11.25" customHeight="1" x14ac:dyDescent="0.25">
      <c r="A178" s="165"/>
      <c r="B178" s="165"/>
      <c r="C178" s="165"/>
      <c r="D178" s="165"/>
      <c r="E178" s="165"/>
      <c r="F178" s="165"/>
      <c r="G178" s="165"/>
      <c r="H178" s="165"/>
      <c r="I178" s="165"/>
      <c r="J178" s="165"/>
      <c r="K178" s="165"/>
      <c r="L178" s="165"/>
      <c r="M178" s="165"/>
      <c r="N178" s="165"/>
      <c r="O178" s="165"/>
      <c r="P178" s="165"/>
      <c r="Q178" s="165"/>
      <c r="R178" s="165"/>
      <c r="S178" s="165"/>
      <c r="T178" s="165"/>
      <c r="U178" s="165"/>
      <c r="V178" s="165"/>
      <c r="W178" s="165"/>
      <c r="X178" s="165"/>
      <c r="Y178" s="165"/>
    </row>
    <row r="179" spans="1:25" ht="11.25" customHeight="1" x14ac:dyDescent="0.25">
      <c r="A179" s="165"/>
      <c r="B179" s="165"/>
      <c r="C179" s="165"/>
      <c r="D179" s="165"/>
      <c r="E179" s="165"/>
      <c r="F179" s="165"/>
      <c r="G179" s="165"/>
      <c r="H179" s="165"/>
      <c r="I179" s="165"/>
      <c r="J179" s="165"/>
      <c r="K179" s="165"/>
      <c r="L179" s="165"/>
      <c r="M179" s="165"/>
      <c r="N179" s="165"/>
      <c r="O179" s="165"/>
      <c r="P179" s="165"/>
      <c r="Q179" s="165"/>
      <c r="R179" s="165"/>
      <c r="S179" s="165"/>
      <c r="T179" s="165"/>
      <c r="U179" s="165"/>
      <c r="V179" s="165"/>
      <c r="W179" s="165"/>
      <c r="X179" s="165"/>
      <c r="Y179" s="165"/>
    </row>
    <row r="180" spans="1:25" ht="11.25" customHeight="1" x14ac:dyDescent="0.25">
      <c r="A180" s="165"/>
      <c r="B180" s="165"/>
      <c r="C180" s="165"/>
      <c r="D180" s="165"/>
      <c r="E180" s="165"/>
      <c r="F180" s="165"/>
      <c r="G180" s="165"/>
      <c r="H180" s="165"/>
      <c r="I180" s="165"/>
      <c r="J180" s="165"/>
      <c r="K180" s="165"/>
      <c r="L180" s="165"/>
      <c r="M180" s="165"/>
      <c r="N180" s="165"/>
      <c r="O180" s="165"/>
      <c r="P180" s="165"/>
      <c r="Q180" s="165"/>
      <c r="R180" s="165"/>
      <c r="S180" s="165"/>
      <c r="T180" s="165"/>
      <c r="U180" s="165"/>
      <c r="V180" s="165"/>
      <c r="W180" s="165"/>
      <c r="X180" s="165"/>
      <c r="Y180" s="165"/>
    </row>
    <row r="181" spans="1:25" ht="11.25" customHeight="1" x14ac:dyDescent="0.25">
      <c r="A181" s="165"/>
      <c r="B181" s="165"/>
      <c r="C181" s="165"/>
      <c r="D181" s="165"/>
      <c r="E181" s="165"/>
      <c r="F181" s="165"/>
      <c r="G181" s="165"/>
      <c r="H181" s="165"/>
      <c r="I181" s="165"/>
      <c r="J181" s="165"/>
      <c r="K181" s="165"/>
      <c r="L181" s="165"/>
      <c r="M181" s="165"/>
      <c r="N181" s="165"/>
      <c r="O181" s="165"/>
      <c r="P181" s="165"/>
      <c r="Q181" s="165"/>
      <c r="R181" s="165"/>
      <c r="S181" s="165"/>
      <c r="T181" s="165"/>
      <c r="U181" s="165"/>
      <c r="V181" s="165"/>
      <c r="W181" s="165"/>
      <c r="X181" s="165"/>
      <c r="Y181" s="165"/>
    </row>
    <row r="182" spans="1:25" ht="11.25" customHeight="1" x14ac:dyDescent="0.25">
      <c r="A182" s="165"/>
      <c r="B182" s="165"/>
      <c r="C182" s="165"/>
      <c r="D182" s="165"/>
      <c r="E182" s="165"/>
      <c r="F182" s="165"/>
      <c r="G182" s="165"/>
      <c r="H182" s="165"/>
      <c r="I182" s="165"/>
      <c r="J182" s="165"/>
      <c r="K182" s="165"/>
      <c r="L182" s="165"/>
      <c r="M182" s="165"/>
      <c r="N182" s="165"/>
      <c r="O182" s="165"/>
      <c r="P182" s="165"/>
      <c r="Q182" s="165"/>
      <c r="R182" s="165"/>
      <c r="S182" s="165"/>
      <c r="T182" s="165"/>
      <c r="U182" s="165"/>
      <c r="V182" s="165"/>
      <c r="W182" s="165"/>
      <c r="X182" s="165"/>
      <c r="Y182" s="165"/>
    </row>
    <row r="183" spans="1:25" ht="11.25" customHeight="1" x14ac:dyDescent="0.25">
      <c r="A183" s="165"/>
      <c r="B183" s="165"/>
      <c r="C183" s="165"/>
      <c r="D183" s="165"/>
      <c r="E183" s="165"/>
      <c r="F183" s="165"/>
      <c r="G183" s="165"/>
      <c r="H183" s="165"/>
      <c r="I183" s="165"/>
      <c r="J183" s="165"/>
      <c r="K183" s="165"/>
      <c r="L183" s="165"/>
      <c r="M183" s="165"/>
      <c r="N183" s="165"/>
      <c r="O183" s="165"/>
      <c r="P183" s="165"/>
      <c r="Q183" s="165"/>
      <c r="R183" s="165"/>
      <c r="S183" s="165"/>
      <c r="T183" s="165"/>
      <c r="U183" s="165"/>
      <c r="V183" s="165"/>
      <c r="W183" s="165"/>
      <c r="X183" s="165"/>
      <c r="Y183" s="165"/>
    </row>
    <row r="184" spans="1:25" ht="11.25" customHeight="1" x14ac:dyDescent="0.25">
      <c r="A184" s="165"/>
      <c r="B184" s="165"/>
      <c r="C184" s="165"/>
      <c r="D184" s="165"/>
      <c r="E184" s="165"/>
      <c r="F184" s="165"/>
      <c r="G184" s="165"/>
      <c r="H184" s="165"/>
      <c r="I184" s="165"/>
      <c r="J184" s="165"/>
      <c r="K184" s="165"/>
      <c r="L184" s="165"/>
      <c r="M184" s="165"/>
      <c r="N184" s="165"/>
      <c r="O184" s="165"/>
      <c r="P184" s="165"/>
      <c r="Q184" s="165"/>
      <c r="R184" s="165"/>
      <c r="S184" s="165"/>
      <c r="T184" s="165"/>
      <c r="U184" s="165"/>
      <c r="V184" s="165"/>
      <c r="W184" s="165"/>
      <c r="X184" s="165"/>
      <c r="Y184" s="165"/>
    </row>
    <row r="185" spans="1:25" ht="11.25" customHeight="1" x14ac:dyDescent="0.25">
      <c r="A185" s="165"/>
      <c r="B185" s="165"/>
      <c r="C185" s="165"/>
      <c r="D185" s="165"/>
      <c r="E185" s="165"/>
      <c r="F185" s="165"/>
      <c r="G185" s="165"/>
      <c r="H185" s="165"/>
      <c r="I185" s="165"/>
      <c r="J185" s="165"/>
      <c r="K185" s="165"/>
      <c r="L185" s="165"/>
      <c r="M185" s="165"/>
      <c r="N185" s="165"/>
      <c r="O185" s="165"/>
      <c r="P185" s="165"/>
      <c r="Q185" s="165"/>
      <c r="R185" s="165"/>
      <c r="S185" s="165"/>
      <c r="T185" s="165"/>
      <c r="U185" s="165"/>
      <c r="V185" s="165"/>
      <c r="W185" s="165"/>
      <c r="X185" s="165"/>
      <c r="Y185" s="165"/>
    </row>
    <row r="186" spans="1:25" ht="11.25" customHeight="1" x14ac:dyDescent="0.25">
      <c r="A186" s="165"/>
      <c r="B186" s="165"/>
      <c r="C186" s="165"/>
      <c r="D186" s="165"/>
      <c r="E186" s="165"/>
      <c r="F186" s="165"/>
      <c r="G186" s="165"/>
      <c r="H186" s="165"/>
      <c r="I186" s="165"/>
      <c r="J186" s="165"/>
      <c r="K186" s="165"/>
      <c r="L186" s="165"/>
      <c r="M186" s="165"/>
      <c r="N186" s="165"/>
      <c r="O186" s="165"/>
      <c r="P186" s="165"/>
      <c r="Q186" s="165"/>
      <c r="R186" s="165"/>
      <c r="S186" s="165"/>
      <c r="T186" s="165"/>
      <c r="U186" s="165"/>
      <c r="V186" s="165"/>
      <c r="W186" s="165"/>
      <c r="X186" s="165"/>
      <c r="Y186" s="165"/>
    </row>
    <row r="187" spans="1:25" ht="11.25" customHeight="1" x14ac:dyDescent="0.25">
      <c r="A187" s="165"/>
      <c r="B187" s="165"/>
      <c r="C187" s="165"/>
      <c r="D187" s="165"/>
      <c r="E187" s="165"/>
      <c r="F187" s="165"/>
      <c r="G187" s="165"/>
      <c r="H187" s="165"/>
      <c r="I187" s="165"/>
      <c r="J187" s="165"/>
      <c r="K187" s="165"/>
      <c r="L187" s="165"/>
      <c r="M187" s="165"/>
      <c r="N187" s="165"/>
      <c r="O187" s="165"/>
      <c r="P187" s="165"/>
      <c r="Q187" s="165"/>
      <c r="R187" s="165"/>
      <c r="S187" s="165"/>
      <c r="T187" s="165"/>
      <c r="U187" s="165"/>
      <c r="V187" s="165"/>
      <c r="W187" s="165"/>
      <c r="X187" s="165"/>
      <c r="Y187" s="165"/>
    </row>
    <row r="188" spans="1:25" ht="11.25" customHeight="1" x14ac:dyDescent="0.25">
      <c r="A188" s="165"/>
      <c r="B188" s="165"/>
      <c r="C188" s="165"/>
      <c r="D188" s="165"/>
      <c r="E188" s="165"/>
      <c r="F188" s="165"/>
      <c r="G188" s="165"/>
      <c r="H188" s="165"/>
      <c r="I188" s="165"/>
      <c r="J188" s="165"/>
      <c r="K188" s="165"/>
      <c r="L188" s="165"/>
      <c r="M188" s="165"/>
      <c r="N188" s="165"/>
      <c r="O188" s="165"/>
      <c r="P188" s="165"/>
      <c r="Q188" s="165"/>
      <c r="R188" s="165"/>
      <c r="S188" s="165"/>
      <c r="T188" s="165"/>
      <c r="U188" s="165"/>
      <c r="V188" s="165"/>
      <c r="W188" s="165"/>
      <c r="X188" s="165"/>
      <c r="Y188" s="165"/>
    </row>
    <row r="189" spans="1:25" ht="11.25" customHeight="1" x14ac:dyDescent="0.25">
      <c r="A189" s="165"/>
      <c r="B189" s="165"/>
      <c r="C189" s="165"/>
      <c r="D189" s="165"/>
      <c r="E189" s="165"/>
      <c r="F189" s="165"/>
      <c r="G189" s="165"/>
      <c r="H189" s="165"/>
      <c r="I189" s="165"/>
      <c r="J189" s="165"/>
      <c r="K189" s="165"/>
      <c r="L189" s="165"/>
      <c r="M189" s="165"/>
      <c r="N189" s="165"/>
      <c r="O189" s="165"/>
      <c r="P189" s="165"/>
      <c r="Q189" s="165"/>
      <c r="R189" s="165"/>
      <c r="S189" s="165"/>
      <c r="T189" s="165"/>
      <c r="U189" s="165"/>
      <c r="V189" s="165"/>
      <c r="W189" s="165"/>
      <c r="X189" s="165"/>
      <c r="Y189" s="165"/>
    </row>
    <row r="190" spans="1:25" ht="11.25" customHeight="1" x14ac:dyDescent="0.25">
      <c r="A190" s="165"/>
      <c r="B190" s="165"/>
      <c r="C190" s="165"/>
      <c r="D190" s="165"/>
      <c r="E190" s="165"/>
      <c r="F190" s="165"/>
      <c r="G190" s="165"/>
      <c r="H190" s="165"/>
      <c r="I190" s="165"/>
      <c r="J190" s="165"/>
      <c r="K190" s="165"/>
      <c r="L190" s="165"/>
      <c r="M190" s="165"/>
      <c r="N190" s="165"/>
      <c r="O190" s="165"/>
      <c r="P190" s="165"/>
      <c r="Q190" s="165"/>
      <c r="R190" s="165"/>
      <c r="S190" s="165"/>
      <c r="T190" s="165"/>
      <c r="U190" s="165"/>
      <c r="V190" s="165"/>
      <c r="W190" s="165"/>
      <c r="X190" s="165"/>
      <c r="Y190" s="165"/>
    </row>
    <row r="191" spans="1:25" ht="11.25" customHeight="1" x14ac:dyDescent="0.25">
      <c r="A191" s="165"/>
      <c r="B191" s="165"/>
      <c r="C191" s="165"/>
      <c r="D191" s="165"/>
      <c r="E191" s="165"/>
      <c r="F191" s="165"/>
      <c r="G191" s="165"/>
      <c r="H191" s="165"/>
      <c r="I191" s="165"/>
      <c r="J191" s="165"/>
      <c r="K191" s="165"/>
      <c r="L191" s="165"/>
      <c r="M191" s="165"/>
      <c r="N191" s="165"/>
      <c r="O191" s="165"/>
      <c r="P191" s="165"/>
      <c r="Q191" s="165"/>
      <c r="R191" s="165"/>
      <c r="S191" s="165"/>
      <c r="T191" s="165"/>
      <c r="U191" s="165"/>
      <c r="V191" s="165"/>
      <c r="W191" s="165"/>
      <c r="X191" s="165"/>
      <c r="Y191" s="165"/>
    </row>
    <row r="192" spans="1:25" ht="11.25" customHeight="1" x14ac:dyDescent="0.25">
      <c r="A192" s="165"/>
      <c r="B192" s="165"/>
      <c r="C192" s="165"/>
      <c r="D192" s="165"/>
      <c r="E192" s="165"/>
      <c r="F192" s="165"/>
      <c r="G192" s="165"/>
      <c r="H192" s="165"/>
      <c r="I192" s="165"/>
      <c r="J192" s="165"/>
      <c r="K192" s="165"/>
      <c r="L192" s="165"/>
      <c r="M192" s="165"/>
      <c r="N192" s="165"/>
      <c r="O192" s="165"/>
      <c r="P192" s="165"/>
      <c r="Q192" s="165"/>
      <c r="R192" s="165"/>
      <c r="S192" s="165"/>
      <c r="T192" s="165"/>
      <c r="U192" s="165"/>
      <c r="V192" s="165"/>
      <c r="W192" s="165"/>
      <c r="X192" s="165"/>
      <c r="Y192" s="165"/>
    </row>
    <row r="193" spans="1:25" ht="11.25" customHeight="1" x14ac:dyDescent="0.25">
      <c r="A193" s="165"/>
      <c r="B193" s="165"/>
      <c r="C193" s="165"/>
      <c r="D193" s="165"/>
      <c r="E193" s="165"/>
      <c r="F193" s="165"/>
      <c r="G193" s="165"/>
      <c r="H193" s="165"/>
      <c r="I193" s="165"/>
      <c r="J193" s="165"/>
      <c r="K193" s="165"/>
      <c r="L193" s="165"/>
      <c r="M193" s="165"/>
      <c r="N193" s="165"/>
      <c r="O193" s="165"/>
      <c r="P193" s="165"/>
      <c r="Q193" s="165"/>
      <c r="R193" s="165"/>
      <c r="S193" s="165"/>
      <c r="T193" s="165"/>
      <c r="U193" s="165"/>
      <c r="V193" s="165"/>
      <c r="W193" s="165"/>
      <c r="X193" s="165"/>
      <c r="Y193" s="165"/>
    </row>
    <row r="194" spans="1:25" ht="11.25" customHeight="1" x14ac:dyDescent="0.25">
      <c r="A194" s="165"/>
      <c r="B194" s="165"/>
      <c r="C194" s="165"/>
      <c r="D194" s="165"/>
      <c r="E194" s="165"/>
      <c r="F194" s="165"/>
      <c r="G194" s="165"/>
      <c r="H194" s="165"/>
      <c r="I194" s="165"/>
      <c r="J194" s="165"/>
      <c r="K194" s="165"/>
      <c r="L194" s="165"/>
      <c r="M194" s="165"/>
      <c r="N194" s="165"/>
      <c r="O194" s="165"/>
      <c r="P194" s="165"/>
      <c r="Q194" s="165"/>
      <c r="R194" s="165"/>
      <c r="S194" s="165"/>
      <c r="T194" s="165"/>
      <c r="U194" s="165"/>
      <c r="V194" s="165"/>
      <c r="W194" s="165"/>
      <c r="X194" s="165"/>
      <c r="Y194" s="165"/>
    </row>
    <row r="195" spans="1:25" ht="11.25" customHeight="1" x14ac:dyDescent="0.25">
      <c r="A195" s="165"/>
      <c r="B195" s="165"/>
      <c r="C195" s="165"/>
      <c r="D195" s="165"/>
      <c r="E195" s="165"/>
      <c r="F195" s="165"/>
      <c r="G195" s="165"/>
      <c r="H195" s="165"/>
      <c r="I195" s="165"/>
      <c r="J195" s="165"/>
      <c r="K195" s="165"/>
      <c r="L195" s="165"/>
      <c r="M195" s="165"/>
      <c r="N195" s="165"/>
      <c r="O195" s="165"/>
      <c r="P195" s="165"/>
      <c r="Q195" s="165"/>
      <c r="R195" s="165"/>
      <c r="S195" s="165"/>
      <c r="T195" s="165"/>
      <c r="U195" s="165"/>
      <c r="V195" s="165"/>
      <c r="W195" s="165"/>
      <c r="X195" s="165"/>
      <c r="Y195" s="165"/>
    </row>
    <row r="196" spans="1:25" ht="11.25" customHeight="1" x14ac:dyDescent="0.25">
      <c r="A196" s="165"/>
      <c r="B196" s="165"/>
      <c r="C196" s="165"/>
      <c r="D196" s="165"/>
      <c r="E196" s="165"/>
      <c r="F196" s="165"/>
      <c r="G196" s="165"/>
      <c r="H196" s="165"/>
      <c r="I196" s="165"/>
      <c r="J196" s="165"/>
      <c r="K196" s="165"/>
      <c r="L196" s="165"/>
      <c r="M196" s="165"/>
      <c r="N196" s="165"/>
      <c r="O196" s="165"/>
      <c r="P196" s="165"/>
      <c r="Q196" s="165"/>
      <c r="R196" s="165"/>
      <c r="S196" s="165"/>
      <c r="T196" s="165"/>
      <c r="U196" s="165"/>
      <c r="V196" s="165"/>
      <c r="W196" s="165"/>
      <c r="X196" s="165"/>
      <c r="Y196" s="165"/>
    </row>
    <row r="197" spans="1:25" ht="11.25" customHeight="1" x14ac:dyDescent="0.25">
      <c r="A197" s="165"/>
      <c r="B197" s="165"/>
      <c r="C197" s="165"/>
      <c r="D197" s="165"/>
      <c r="E197" s="165"/>
      <c r="F197" s="165"/>
      <c r="G197" s="165"/>
      <c r="H197" s="165"/>
      <c r="I197" s="165"/>
      <c r="J197" s="165"/>
      <c r="K197" s="165"/>
      <c r="L197" s="165"/>
      <c r="M197" s="165"/>
      <c r="N197" s="165"/>
      <c r="O197" s="165"/>
      <c r="P197" s="165"/>
      <c r="Q197" s="165"/>
      <c r="R197" s="165"/>
      <c r="S197" s="165"/>
      <c r="T197" s="165"/>
      <c r="U197" s="165"/>
      <c r="V197" s="165"/>
      <c r="W197" s="165"/>
      <c r="X197" s="165"/>
      <c r="Y197" s="165"/>
    </row>
    <row r="198" spans="1:25" ht="11.25" customHeight="1" x14ac:dyDescent="0.25">
      <c r="A198" s="165"/>
      <c r="B198" s="165"/>
      <c r="C198" s="165"/>
      <c r="D198" s="165"/>
      <c r="E198" s="165"/>
      <c r="F198" s="165"/>
      <c r="G198" s="165"/>
      <c r="H198" s="165"/>
      <c r="I198" s="165"/>
      <c r="J198" s="165"/>
      <c r="K198" s="165"/>
      <c r="L198" s="165"/>
      <c r="M198" s="165"/>
      <c r="N198" s="165"/>
      <c r="O198" s="165"/>
      <c r="P198" s="165"/>
      <c r="Q198" s="165"/>
      <c r="R198" s="165"/>
      <c r="S198" s="165"/>
      <c r="T198" s="165"/>
      <c r="U198" s="165"/>
      <c r="V198" s="165"/>
      <c r="W198" s="165"/>
      <c r="X198" s="165"/>
      <c r="Y198" s="165"/>
    </row>
    <row r="199" spans="1:25" ht="11.25" customHeight="1" x14ac:dyDescent="0.25">
      <c r="A199" s="165"/>
      <c r="B199" s="165"/>
      <c r="C199" s="165"/>
      <c r="D199" s="165"/>
      <c r="E199" s="165"/>
      <c r="F199" s="165"/>
      <c r="G199" s="165"/>
      <c r="H199" s="165"/>
      <c r="I199" s="165"/>
      <c r="J199" s="165"/>
      <c r="K199" s="165"/>
      <c r="L199" s="165"/>
      <c r="M199" s="165"/>
      <c r="N199" s="165"/>
      <c r="O199" s="165"/>
      <c r="P199" s="165"/>
      <c r="Q199" s="165"/>
      <c r="R199" s="165"/>
      <c r="S199" s="165"/>
      <c r="T199" s="165"/>
      <c r="U199" s="165"/>
      <c r="V199" s="165"/>
      <c r="W199" s="165"/>
      <c r="X199" s="165"/>
      <c r="Y199" s="165"/>
    </row>
    <row r="200" spans="1:25" ht="11.25" customHeight="1" x14ac:dyDescent="0.25">
      <c r="A200" s="165"/>
      <c r="B200" s="165"/>
      <c r="C200" s="165"/>
      <c r="D200" s="165"/>
      <c r="E200" s="165"/>
      <c r="F200" s="165"/>
      <c r="G200" s="165"/>
      <c r="H200" s="165"/>
      <c r="I200" s="165"/>
      <c r="J200" s="165"/>
      <c r="K200" s="165"/>
      <c r="L200" s="165"/>
      <c r="M200" s="165"/>
      <c r="N200" s="165"/>
      <c r="O200" s="165"/>
      <c r="P200" s="165"/>
      <c r="Q200" s="165"/>
      <c r="R200" s="165"/>
      <c r="S200" s="165"/>
      <c r="T200" s="165"/>
      <c r="U200" s="165"/>
      <c r="V200" s="165"/>
      <c r="W200" s="165"/>
      <c r="X200" s="165"/>
      <c r="Y200" s="165"/>
    </row>
    <row r="201" spans="1:25" ht="11.25" customHeight="1" x14ac:dyDescent="0.25">
      <c r="A201" s="165"/>
      <c r="B201" s="165"/>
      <c r="C201" s="165"/>
      <c r="D201" s="165"/>
      <c r="E201" s="165"/>
      <c r="F201" s="165"/>
      <c r="G201" s="165"/>
      <c r="H201" s="165"/>
      <c r="I201" s="165"/>
      <c r="J201" s="165"/>
      <c r="K201" s="165"/>
      <c r="L201" s="165"/>
      <c r="M201" s="165"/>
      <c r="N201" s="165"/>
      <c r="O201" s="165"/>
      <c r="P201" s="165"/>
      <c r="Q201" s="165"/>
      <c r="R201" s="165"/>
      <c r="S201" s="165"/>
      <c r="T201" s="165"/>
      <c r="U201" s="165"/>
      <c r="V201" s="165"/>
      <c r="W201" s="165"/>
      <c r="X201" s="165"/>
      <c r="Y201" s="165"/>
    </row>
    <row r="202" spans="1:25" ht="11.25" customHeight="1" x14ac:dyDescent="0.25">
      <c r="A202" s="165"/>
      <c r="B202" s="165"/>
      <c r="C202" s="165"/>
      <c r="D202" s="165"/>
      <c r="E202" s="165"/>
      <c r="F202" s="165"/>
      <c r="G202" s="165"/>
      <c r="H202" s="165"/>
      <c r="I202" s="165"/>
      <c r="J202" s="165"/>
      <c r="K202" s="165"/>
      <c r="L202" s="165"/>
      <c r="M202" s="165"/>
      <c r="N202" s="165"/>
      <c r="O202" s="165"/>
      <c r="P202" s="165"/>
      <c r="Q202" s="165"/>
      <c r="R202" s="165"/>
      <c r="S202" s="165"/>
      <c r="T202" s="165"/>
      <c r="U202" s="165"/>
      <c r="V202" s="165"/>
      <c r="W202" s="165"/>
      <c r="X202" s="165"/>
      <c r="Y202" s="165"/>
    </row>
    <row r="203" spans="1:25" ht="11.25" customHeight="1" x14ac:dyDescent="0.25">
      <c r="A203" s="165"/>
      <c r="B203" s="165"/>
      <c r="C203" s="165"/>
      <c r="D203" s="165"/>
      <c r="E203" s="165"/>
      <c r="F203" s="165"/>
      <c r="G203" s="165"/>
      <c r="H203" s="165"/>
      <c r="I203" s="165"/>
      <c r="J203" s="165"/>
      <c r="K203" s="165"/>
      <c r="L203" s="165"/>
      <c r="M203" s="165"/>
      <c r="N203" s="165"/>
      <c r="O203" s="165"/>
      <c r="P203" s="165"/>
      <c r="Q203" s="165"/>
      <c r="R203" s="165"/>
      <c r="S203" s="165"/>
      <c r="T203" s="165"/>
      <c r="U203" s="165"/>
      <c r="V203" s="165"/>
      <c r="W203" s="165"/>
      <c r="X203" s="165"/>
      <c r="Y203" s="165"/>
    </row>
    <row r="204" spans="1:25" ht="11.25" customHeight="1" x14ac:dyDescent="0.25">
      <c r="A204" s="165"/>
      <c r="B204" s="165"/>
      <c r="C204" s="165"/>
      <c r="D204" s="165"/>
      <c r="E204" s="165"/>
      <c r="F204" s="165"/>
      <c r="G204" s="165"/>
      <c r="H204" s="165"/>
      <c r="I204" s="165"/>
      <c r="J204" s="165"/>
      <c r="K204" s="165"/>
      <c r="L204" s="165"/>
      <c r="M204" s="165"/>
      <c r="N204" s="165"/>
      <c r="O204" s="165"/>
      <c r="P204" s="165"/>
      <c r="Q204" s="165"/>
      <c r="R204" s="165"/>
      <c r="S204" s="165"/>
      <c r="T204" s="165"/>
      <c r="U204" s="165"/>
      <c r="V204" s="165"/>
      <c r="W204" s="165"/>
      <c r="X204" s="165"/>
      <c r="Y204" s="165"/>
    </row>
    <row r="205" spans="1:25" ht="11.25" customHeight="1" x14ac:dyDescent="0.25">
      <c r="A205" s="165"/>
      <c r="B205" s="165"/>
      <c r="C205" s="165"/>
      <c r="D205" s="165"/>
      <c r="E205" s="165"/>
      <c r="F205" s="165"/>
      <c r="G205" s="165"/>
      <c r="H205" s="165"/>
      <c r="I205" s="165"/>
      <c r="J205" s="165"/>
      <c r="K205" s="165"/>
      <c r="L205" s="165"/>
      <c r="M205" s="165"/>
      <c r="N205" s="165"/>
      <c r="O205" s="165"/>
      <c r="P205" s="165"/>
      <c r="Q205" s="165"/>
      <c r="R205" s="165"/>
      <c r="S205" s="165"/>
      <c r="T205" s="165"/>
      <c r="U205" s="165"/>
      <c r="V205" s="165"/>
      <c r="W205" s="165"/>
      <c r="X205" s="165"/>
      <c r="Y205" s="165"/>
    </row>
    <row r="206" spans="1:25" ht="11.25" customHeight="1" x14ac:dyDescent="0.25">
      <c r="A206" s="165"/>
      <c r="B206" s="165"/>
      <c r="C206" s="165"/>
      <c r="D206" s="165"/>
      <c r="E206" s="165"/>
      <c r="F206" s="165"/>
      <c r="G206" s="165"/>
      <c r="H206" s="165"/>
      <c r="I206" s="165"/>
      <c r="J206" s="165"/>
      <c r="K206" s="165"/>
      <c r="L206" s="165"/>
      <c r="M206" s="165"/>
      <c r="N206" s="165"/>
      <c r="O206" s="165"/>
      <c r="P206" s="165"/>
      <c r="Q206" s="165"/>
      <c r="R206" s="165"/>
      <c r="S206" s="165"/>
      <c r="T206" s="165"/>
      <c r="U206" s="165"/>
      <c r="V206" s="165"/>
      <c r="W206" s="165"/>
      <c r="X206" s="165"/>
      <c r="Y206" s="165"/>
    </row>
    <row r="207" spans="1:25" ht="11.25" customHeight="1" x14ac:dyDescent="0.25">
      <c r="A207" s="165"/>
      <c r="B207" s="165"/>
      <c r="C207" s="165"/>
      <c r="D207" s="165"/>
      <c r="E207" s="165"/>
      <c r="F207" s="165"/>
      <c r="G207" s="165"/>
      <c r="H207" s="165"/>
      <c r="I207" s="165"/>
      <c r="J207" s="165"/>
      <c r="K207" s="165"/>
      <c r="L207" s="165"/>
      <c r="M207" s="165"/>
      <c r="N207" s="165"/>
      <c r="O207" s="165"/>
      <c r="P207" s="165"/>
      <c r="Q207" s="165"/>
      <c r="R207" s="165"/>
      <c r="S207" s="165"/>
      <c r="T207" s="165"/>
      <c r="U207" s="165"/>
      <c r="V207" s="165"/>
      <c r="W207" s="165"/>
      <c r="X207" s="165"/>
      <c r="Y207" s="165"/>
    </row>
    <row r="208" spans="1:25" ht="11.25" customHeight="1" x14ac:dyDescent="0.25">
      <c r="A208" s="165"/>
      <c r="B208" s="165"/>
      <c r="C208" s="165"/>
      <c r="D208" s="165"/>
      <c r="E208" s="165"/>
      <c r="F208" s="165"/>
      <c r="G208" s="165"/>
      <c r="H208" s="165"/>
      <c r="I208" s="165"/>
      <c r="J208" s="165"/>
      <c r="K208" s="165"/>
      <c r="L208" s="165"/>
      <c r="M208" s="165"/>
      <c r="N208" s="165"/>
      <c r="O208" s="165"/>
      <c r="P208" s="165"/>
      <c r="Q208" s="165"/>
      <c r="R208" s="165"/>
      <c r="S208" s="165"/>
      <c r="T208" s="165"/>
      <c r="U208" s="165"/>
      <c r="V208" s="165"/>
      <c r="W208" s="165"/>
      <c r="X208" s="165"/>
      <c r="Y208" s="165"/>
    </row>
    <row r="209" spans="1:25" ht="11.25" customHeight="1" x14ac:dyDescent="0.25">
      <c r="A209" s="165"/>
      <c r="B209" s="165"/>
      <c r="C209" s="165"/>
      <c r="D209" s="165"/>
      <c r="E209" s="165"/>
      <c r="F209" s="165"/>
      <c r="G209" s="165"/>
      <c r="H209" s="165"/>
      <c r="I209" s="165"/>
      <c r="J209" s="165"/>
      <c r="K209" s="165"/>
      <c r="L209" s="165"/>
      <c r="M209" s="165"/>
      <c r="N209" s="165"/>
      <c r="O209" s="165"/>
      <c r="P209" s="165"/>
      <c r="Q209" s="165"/>
      <c r="R209" s="165"/>
      <c r="S209" s="165"/>
      <c r="T209" s="165"/>
      <c r="U209" s="165"/>
      <c r="V209" s="165"/>
      <c r="W209" s="165"/>
      <c r="X209" s="165"/>
      <c r="Y209" s="165"/>
    </row>
    <row r="210" spans="1:25" ht="11.25" customHeight="1" x14ac:dyDescent="0.25">
      <c r="A210" s="165"/>
      <c r="B210" s="165"/>
      <c r="C210" s="165"/>
      <c r="D210" s="165"/>
      <c r="E210" s="165"/>
      <c r="F210" s="165"/>
      <c r="G210" s="165"/>
      <c r="H210" s="165"/>
      <c r="I210" s="165"/>
      <c r="J210" s="165"/>
      <c r="K210" s="165"/>
      <c r="L210" s="165"/>
      <c r="M210" s="165"/>
      <c r="N210" s="165"/>
      <c r="O210" s="165"/>
      <c r="P210" s="165"/>
      <c r="Q210" s="165"/>
      <c r="R210" s="165"/>
      <c r="S210" s="165"/>
      <c r="T210" s="165"/>
      <c r="U210" s="165"/>
      <c r="V210" s="165"/>
      <c r="W210" s="165"/>
      <c r="X210" s="165"/>
      <c r="Y210" s="165"/>
    </row>
    <row r="211" spans="1:25" ht="11.25" customHeight="1" x14ac:dyDescent="0.25">
      <c r="A211" s="165"/>
      <c r="B211" s="165"/>
      <c r="C211" s="165"/>
      <c r="D211" s="165"/>
      <c r="E211" s="165"/>
      <c r="F211" s="165"/>
      <c r="G211" s="165"/>
      <c r="H211" s="165"/>
      <c r="I211" s="165"/>
      <c r="J211" s="165"/>
      <c r="K211" s="165"/>
      <c r="L211" s="165"/>
      <c r="M211" s="165"/>
      <c r="N211" s="165"/>
      <c r="O211" s="165"/>
      <c r="P211" s="165"/>
      <c r="Q211" s="165"/>
      <c r="R211" s="165"/>
      <c r="S211" s="165"/>
      <c r="T211" s="165"/>
      <c r="U211" s="165"/>
      <c r="V211" s="165"/>
      <c r="W211" s="165"/>
      <c r="X211" s="165"/>
      <c r="Y211" s="165"/>
    </row>
    <row r="212" spans="1:25" ht="11.25" customHeight="1" x14ac:dyDescent="0.25">
      <c r="A212" s="165"/>
      <c r="B212" s="165"/>
      <c r="C212" s="165"/>
      <c r="D212" s="165"/>
      <c r="E212" s="165"/>
      <c r="F212" s="165"/>
      <c r="G212" s="165"/>
      <c r="H212" s="165"/>
      <c r="I212" s="165"/>
      <c r="J212" s="165"/>
      <c r="K212" s="165"/>
      <c r="L212" s="165"/>
      <c r="M212" s="165"/>
      <c r="N212" s="165"/>
      <c r="O212" s="165"/>
      <c r="P212" s="165"/>
      <c r="Q212" s="165"/>
      <c r="R212" s="165"/>
      <c r="S212" s="165"/>
      <c r="T212" s="165"/>
      <c r="U212" s="165"/>
      <c r="V212" s="165"/>
      <c r="W212" s="165"/>
      <c r="X212" s="165"/>
      <c r="Y212" s="165"/>
    </row>
    <row r="213" spans="1:25" ht="11.25" customHeight="1" x14ac:dyDescent="0.25">
      <c r="A213" s="165"/>
      <c r="B213" s="165"/>
      <c r="C213" s="165"/>
      <c r="D213" s="165"/>
      <c r="E213" s="165"/>
      <c r="F213" s="165"/>
      <c r="G213" s="165"/>
      <c r="H213" s="165"/>
      <c r="I213" s="165"/>
      <c r="J213" s="165"/>
      <c r="K213" s="165"/>
      <c r="L213" s="165"/>
      <c r="M213" s="165"/>
      <c r="N213" s="165"/>
      <c r="O213" s="165"/>
      <c r="P213" s="165"/>
      <c r="Q213" s="165"/>
      <c r="R213" s="165"/>
      <c r="S213" s="165"/>
      <c r="T213" s="165"/>
      <c r="U213" s="165"/>
      <c r="V213" s="165"/>
      <c r="W213" s="165"/>
      <c r="X213" s="165"/>
      <c r="Y213" s="165"/>
    </row>
    <row r="214" spans="1:25" ht="11.25" customHeight="1" x14ac:dyDescent="0.25">
      <c r="A214" s="165"/>
      <c r="B214" s="165"/>
      <c r="C214" s="165"/>
      <c r="D214" s="165"/>
      <c r="E214" s="165"/>
      <c r="F214" s="165"/>
      <c r="G214" s="165"/>
      <c r="H214" s="165"/>
      <c r="I214" s="165"/>
      <c r="J214" s="165"/>
      <c r="K214" s="165"/>
      <c r="L214" s="165"/>
      <c r="M214" s="165"/>
      <c r="N214" s="165"/>
      <c r="O214" s="165"/>
      <c r="P214" s="165"/>
      <c r="Q214" s="165"/>
      <c r="R214" s="165"/>
      <c r="S214" s="165"/>
      <c r="T214" s="165"/>
      <c r="U214" s="165"/>
      <c r="V214" s="165"/>
      <c r="W214" s="165"/>
      <c r="X214" s="165"/>
      <c r="Y214" s="165"/>
    </row>
    <row r="215" spans="1:25" ht="11.25" customHeight="1" x14ac:dyDescent="0.25">
      <c r="A215" s="165"/>
      <c r="B215" s="165"/>
      <c r="C215" s="165"/>
      <c r="D215" s="165"/>
      <c r="E215" s="165"/>
      <c r="F215" s="165"/>
      <c r="G215" s="165"/>
      <c r="H215" s="165"/>
      <c r="I215" s="165"/>
      <c r="J215" s="165"/>
      <c r="K215" s="165"/>
      <c r="L215" s="165"/>
      <c r="M215" s="165"/>
      <c r="N215" s="165"/>
      <c r="O215" s="165"/>
      <c r="P215" s="165"/>
      <c r="Q215" s="165"/>
      <c r="R215" s="165"/>
      <c r="S215" s="165"/>
      <c r="T215" s="165"/>
      <c r="U215" s="165"/>
      <c r="V215" s="165"/>
      <c r="W215" s="165"/>
      <c r="X215" s="165"/>
      <c r="Y215" s="165"/>
    </row>
    <row r="216" spans="1:25" ht="11.25" customHeight="1" x14ac:dyDescent="0.25">
      <c r="A216" s="165"/>
      <c r="B216" s="165"/>
      <c r="C216" s="165"/>
      <c r="D216" s="165"/>
      <c r="E216" s="165"/>
      <c r="F216" s="165"/>
      <c r="G216" s="165"/>
      <c r="H216" s="165"/>
      <c r="I216" s="165"/>
      <c r="J216" s="165"/>
      <c r="K216" s="165"/>
      <c r="L216" s="165"/>
      <c r="M216" s="165"/>
      <c r="N216" s="165"/>
      <c r="O216" s="165"/>
      <c r="P216" s="165"/>
      <c r="Q216" s="165"/>
      <c r="R216" s="165"/>
      <c r="S216" s="165"/>
      <c r="T216" s="165"/>
      <c r="U216" s="165"/>
      <c r="V216" s="165"/>
      <c r="W216" s="165"/>
      <c r="X216" s="165"/>
      <c r="Y216" s="165"/>
    </row>
    <row r="217" spans="1:25" ht="11.25" customHeight="1" x14ac:dyDescent="0.25">
      <c r="A217" s="165"/>
      <c r="B217" s="165"/>
      <c r="C217" s="165"/>
      <c r="D217" s="165"/>
      <c r="E217" s="165"/>
      <c r="F217" s="165"/>
      <c r="G217" s="165"/>
      <c r="H217" s="165"/>
      <c r="I217" s="165"/>
      <c r="J217" s="165"/>
      <c r="K217" s="165"/>
      <c r="L217" s="165"/>
      <c r="M217" s="165"/>
      <c r="N217" s="165"/>
      <c r="O217" s="165"/>
      <c r="P217" s="165"/>
      <c r="Q217" s="165"/>
      <c r="R217" s="165"/>
      <c r="S217" s="165"/>
      <c r="T217" s="165"/>
      <c r="U217" s="165"/>
      <c r="V217" s="165"/>
      <c r="W217" s="165"/>
      <c r="X217" s="165"/>
      <c r="Y217" s="165"/>
    </row>
    <row r="218" spans="1:25" ht="11.25" customHeight="1" x14ac:dyDescent="0.25">
      <c r="A218" s="165"/>
      <c r="B218" s="165"/>
      <c r="C218" s="165"/>
      <c r="D218" s="165"/>
      <c r="E218" s="165"/>
      <c r="F218" s="165"/>
      <c r="G218" s="165"/>
      <c r="H218" s="165"/>
      <c r="I218" s="165"/>
      <c r="J218" s="165"/>
      <c r="K218" s="165"/>
      <c r="L218" s="165"/>
      <c r="M218" s="165"/>
      <c r="N218" s="165"/>
      <c r="O218" s="165"/>
      <c r="P218" s="165"/>
      <c r="Q218" s="165"/>
      <c r="R218" s="165"/>
      <c r="S218" s="165"/>
      <c r="T218" s="165"/>
      <c r="U218" s="165"/>
      <c r="V218" s="165"/>
      <c r="W218" s="165"/>
      <c r="X218" s="165"/>
      <c r="Y218" s="165"/>
    </row>
    <row r="219" spans="1:25" ht="11.25" customHeight="1" x14ac:dyDescent="0.25">
      <c r="A219" s="165"/>
      <c r="B219" s="165"/>
      <c r="C219" s="165"/>
      <c r="D219" s="165"/>
      <c r="E219" s="165"/>
      <c r="F219" s="165"/>
      <c r="G219" s="165"/>
      <c r="H219" s="165"/>
      <c r="I219" s="165"/>
      <c r="J219" s="165"/>
      <c r="K219" s="165"/>
      <c r="L219" s="165"/>
      <c r="M219" s="165"/>
      <c r="N219" s="165"/>
      <c r="O219" s="165"/>
      <c r="P219" s="165"/>
      <c r="Q219" s="165"/>
      <c r="R219" s="165"/>
      <c r="S219" s="165"/>
      <c r="T219" s="165"/>
      <c r="U219" s="165"/>
      <c r="V219" s="165"/>
      <c r="W219" s="165"/>
      <c r="X219" s="165"/>
      <c r="Y219" s="165"/>
    </row>
    <row r="220" spans="1:25" ht="11.25" customHeight="1" x14ac:dyDescent="0.25">
      <c r="A220" s="165"/>
      <c r="B220" s="165"/>
      <c r="C220" s="165"/>
      <c r="D220" s="165"/>
      <c r="E220" s="165"/>
      <c r="F220" s="165"/>
      <c r="G220" s="165"/>
      <c r="H220" s="165"/>
      <c r="I220" s="165"/>
      <c r="J220" s="165"/>
      <c r="K220" s="165"/>
      <c r="L220" s="165"/>
      <c r="M220" s="165"/>
      <c r="N220" s="165"/>
      <c r="O220" s="165"/>
      <c r="P220" s="165"/>
      <c r="Q220" s="165"/>
      <c r="R220" s="165"/>
      <c r="S220" s="165"/>
      <c r="T220" s="165"/>
      <c r="U220" s="165"/>
      <c r="V220" s="165"/>
      <c r="W220" s="165"/>
      <c r="X220" s="165"/>
      <c r="Y220" s="165"/>
    </row>
    <row r="221" spans="1:25" ht="11.25" customHeight="1" x14ac:dyDescent="0.25">
      <c r="A221" s="165"/>
      <c r="B221" s="165"/>
      <c r="C221" s="165"/>
      <c r="D221" s="165"/>
      <c r="E221" s="165"/>
      <c r="F221" s="165"/>
      <c r="G221" s="165"/>
      <c r="H221" s="165"/>
      <c r="I221" s="165"/>
      <c r="J221" s="165"/>
      <c r="K221" s="165"/>
      <c r="L221" s="165"/>
      <c r="M221" s="165"/>
      <c r="N221" s="165"/>
      <c r="O221" s="165"/>
      <c r="P221" s="165"/>
      <c r="Q221" s="165"/>
      <c r="R221" s="165"/>
      <c r="S221" s="165"/>
      <c r="T221" s="165"/>
      <c r="U221" s="165"/>
      <c r="V221" s="165"/>
      <c r="W221" s="165"/>
      <c r="X221" s="165"/>
      <c r="Y221" s="165"/>
    </row>
    <row r="222" spans="1:25" ht="11.25" customHeight="1" x14ac:dyDescent="0.25">
      <c r="A222" s="165"/>
      <c r="B222" s="165"/>
      <c r="C222" s="165"/>
      <c r="D222" s="165"/>
      <c r="E222" s="165"/>
      <c r="F222" s="165"/>
      <c r="G222" s="165"/>
      <c r="H222" s="165"/>
      <c r="I222" s="165"/>
      <c r="J222" s="165"/>
      <c r="K222" s="165"/>
      <c r="L222" s="165"/>
      <c r="M222" s="165"/>
      <c r="N222" s="165"/>
      <c r="O222" s="165"/>
      <c r="P222" s="165"/>
      <c r="Q222" s="165"/>
      <c r="R222" s="165"/>
      <c r="S222" s="165"/>
      <c r="T222" s="165"/>
      <c r="U222" s="165"/>
      <c r="V222" s="165"/>
      <c r="W222" s="165"/>
      <c r="X222" s="165"/>
      <c r="Y222" s="165"/>
    </row>
    <row r="223" spans="1:25" ht="11.25" customHeight="1" x14ac:dyDescent="0.25">
      <c r="A223" s="165"/>
      <c r="B223" s="165"/>
      <c r="C223" s="165"/>
      <c r="D223" s="165"/>
      <c r="E223" s="165"/>
      <c r="F223" s="165"/>
      <c r="G223" s="165"/>
      <c r="H223" s="165"/>
      <c r="I223" s="165"/>
      <c r="J223" s="165"/>
      <c r="K223" s="165"/>
      <c r="L223" s="165"/>
      <c r="M223" s="165"/>
      <c r="N223" s="165"/>
      <c r="O223" s="165"/>
      <c r="P223" s="165"/>
      <c r="Q223" s="165"/>
      <c r="R223" s="165"/>
      <c r="S223" s="165"/>
      <c r="T223" s="165"/>
      <c r="U223" s="165"/>
      <c r="V223" s="165"/>
      <c r="W223" s="165"/>
      <c r="X223" s="165"/>
      <c r="Y223" s="165"/>
    </row>
    <row r="224" spans="1:25" ht="11.25" customHeight="1" x14ac:dyDescent="0.25">
      <c r="A224" s="165"/>
      <c r="B224" s="165"/>
      <c r="C224" s="165"/>
      <c r="D224" s="165"/>
      <c r="E224" s="165"/>
      <c r="F224" s="165"/>
      <c r="G224" s="165"/>
      <c r="H224" s="165"/>
      <c r="I224" s="165"/>
      <c r="J224" s="165"/>
      <c r="K224" s="165"/>
      <c r="L224" s="165"/>
      <c r="M224" s="165"/>
      <c r="N224" s="165"/>
      <c r="O224" s="165"/>
      <c r="P224" s="165"/>
      <c r="Q224" s="165"/>
      <c r="R224" s="165"/>
      <c r="S224" s="165"/>
      <c r="T224" s="165"/>
      <c r="U224" s="165"/>
      <c r="V224" s="165"/>
      <c r="W224" s="165"/>
      <c r="X224" s="165"/>
      <c r="Y224" s="165"/>
    </row>
    <row r="225" spans="1:25" ht="11.25" customHeight="1" x14ac:dyDescent="0.25">
      <c r="A225" s="165"/>
      <c r="B225" s="165"/>
      <c r="C225" s="165"/>
      <c r="D225" s="165"/>
      <c r="E225" s="165"/>
      <c r="F225" s="165"/>
      <c r="G225" s="165"/>
      <c r="H225" s="165"/>
      <c r="I225" s="165"/>
      <c r="J225" s="165"/>
      <c r="K225" s="165"/>
      <c r="L225" s="165"/>
      <c r="M225" s="165"/>
      <c r="N225" s="165"/>
      <c r="O225" s="165"/>
      <c r="P225" s="165"/>
      <c r="Q225" s="165"/>
      <c r="R225" s="165"/>
      <c r="S225" s="165"/>
      <c r="T225" s="165"/>
      <c r="U225" s="165"/>
      <c r="V225" s="165"/>
      <c r="W225" s="165"/>
      <c r="X225" s="165"/>
      <c r="Y225" s="165"/>
    </row>
    <row r="226" spans="1:25" ht="11.25" customHeight="1" x14ac:dyDescent="0.25">
      <c r="A226" s="165"/>
      <c r="B226" s="165"/>
      <c r="C226" s="165"/>
      <c r="D226" s="165"/>
      <c r="E226" s="165"/>
      <c r="F226" s="165"/>
      <c r="G226" s="165"/>
      <c r="H226" s="165"/>
      <c r="I226" s="165"/>
      <c r="J226" s="165"/>
      <c r="K226" s="165"/>
      <c r="L226" s="165"/>
      <c r="M226" s="165"/>
      <c r="N226" s="165"/>
      <c r="O226" s="165"/>
      <c r="P226" s="165"/>
      <c r="Q226" s="165"/>
      <c r="R226" s="165"/>
      <c r="S226" s="165"/>
      <c r="T226" s="165"/>
      <c r="U226" s="165"/>
      <c r="V226" s="165"/>
      <c r="W226" s="165"/>
      <c r="X226" s="165"/>
      <c r="Y226" s="165"/>
    </row>
    <row r="227" spans="1:25" ht="11.25" customHeight="1" x14ac:dyDescent="0.25">
      <c r="A227" s="165"/>
      <c r="B227" s="165"/>
      <c r="C227" s="165"/>
      <c r="D227" s="165"/>
      <c r="E227" s="165"/>
      <c r="F227" s="165"/>
      <c r="G227" s="165"/>
      <c r="H227" s="165"/>
      <c r="I227" s="165"/>
      <c r="J227" s="165"/>
      <c r="K227" s="165"/>
      <c r="L227" s="165"/>
      <c r="M227" s="165"/>
      <c r="N227" s="165"/>
      <c r="O227" s="165"/>
      <c r="P227" s="165"/>
      <c r="Q227" s="165"/>
      <c r="R227" s="165"/>
      <c r="S227" s="165"/>
      <c r="T227" s="165"/>
      <c r="U227" s="165"/>
      <c r="V227" s="165"/>
      <c r="W227" s="165"/>
      <c r="X227" s="165"/>
      <c r="Y227" s="165"/>
    </row>
    <row r="228" spans="1:25" ht="11.25" customHeight="1" x14ac:dyDescent="0.25">
      <c r="A228" s="165"/>
      <c r="B228" s="165"/>
      <c r="C228" s="165"/>
      <c r="D228" s="165"/>
      <c r="E228" s="165"/>
      <c r="F228" s="165"/>
      <c r="G228" s="165"/>
      <c r="H228" s="165"/>
      <c r="I228" s="165"/>
      <c r="J228" s="165"/>
      <c r="K228" s="165"/>
      <c r="L228" s="165"/>
      <c r="M228" s="165"/>
      <c r="N228" s="165"/>
      <c r="O228" s="165"/>
      <c r="P228" s="165"/>
      <c r="Q228" s="165"/>
      <c r="R228" s="165"/>
      <c r="S228" s="165"/>
      <c r="T228" s="165"/>
      <c r="U228" s="165"/>
      <c r="V228" s="165"/>
      <c r="W228" s="165"/>
      <c r="X228" s="165"/>
      <c r="Y228" s="165"/>
    </row>
    <row r="229" spans="1:25" ht="11.25" customHeight="1" x14ac:dyDescent="0.25">
      <c r="A229" s="165"/>
      <c r="B229" s="165"/>
      <c r="C229" s="165"/>
      <c r="D229" s="165"/>
      <c r="E229" s="165"/>
      <c r="F229" s="165"/>
      <c r="G229" s="165"/>
      <c r="H229" s="165"/>
      <c r="I229" s="165"/>
      <c r="J229" s="165"/>
      <c r="K229" s="165"/>
      <c r="L229" s="165"/>
      <c r="M229" s="165"/>
      <c r="N229" s="165"/>
      <c r="O229" s="165"/>
      <c r="P229" s="165"/>
      <c r="Q229" s="165"/>
      <c r="R229" s="165"/>
      <c r="S229" s="165"/>
      <c r="T229" s="165"/>
      <c r="U229" s="165"/>
      <c r="V229" s="165"/>
      <c r="W229" s="165"/>
      <c r="X229" s="165"/>
      <c r="Y229" s="165"/>
    </row>
    <row r="230" spans="1:25" ht="11.25" customHeight="1" x14ac:dyDescent="0.25">
      <c r="A230" s="165"/>
      <c r="B230" s="165"/>
      <c r="C230" s="165"/>
      <c r="D230" s="165"/>
      <c r="E230" s="165"/>
      <c r="F230" s="165"/>
      <c r="G230" s="165"/>
      <c r="H230" s="165"/>
      <c r="I230" s="165"/>
      <c r="J230" s="165"/>
      <c r="K230" s="165"/>
      <c r="L230" s="165"/>
      <c r="M230" s="165"/>
      <c r="N230" s="165"/>
      <c r="O230" s="165"/>
      <c r="P230" s="165"/>
      <c r="Q230" s="165"/>
      <c r="R230" s="165"/>
      <c r="S230" s="165"/>
      <c r="T230" s="165"/>
      <c r="U230" s="165"/>
      <c r="V230" s="165"/>
      <c r="W230" s="165"/>
      <c r="X230" s="165"/>
      <c r="Y230" s="165"/>
    </row>
    <row r="231" spans="1:25" ht="11.25" customHeight="1" x14ac:dyDescent="0.25">
      <c r="A231" s="165"/>
      <c r="B231" s="165"/>
      <c r="C231" s="165"/>
      <c r="D231" s="165"/>
      <c r="E231" s="165"/>
      <c r="F231" s="165"/>
      <c r="G231" s="165"/>
      <c r="H231" s="165"/>
      <c r="I231" s="165"/>
      <c r="J231" s="165"/>
      <c r="K231" s="165"/>
      <c r="L231" s="165"/>
      <c r="M231" s="165"/>
      <c r="N231" s="165"/>
      <c r="O231" s="165"/>
      <c r="P231" s="165"/>
      <c r="Q231" s="165"/>
      <c r="R231" s="165"/>
      <c r="S231" s="165"/>
      <c r="T231" s="165"/>
      <c r="U231" s="165"/>
      <c r="V231" s="165"/>
      <c r="W231" s="165"/>
      <c r="X231" s="165"/>
      <c r="Y231" s="165"/>
    </row>
    <row r="232" spans="1:25" ht="11.25" customHeight="1" x14ac:dyDescent="0.25">
      <c r="A232" s="165"/>
      <c r="B232" s="165"/>
      <c r="C232" s="165"/>
      <c r="D232" s="165"/>
      <c r="E232" s="165"/>
      <c r="F232" s="165"/>
      <c r="G232" s="165"/>
      <c r="H232" s="165"/>
      <c r="I232" s="165"/>
      <c r="J232" s="165"/>
      <c r="K232" s="165"/>
      <c r="L232" s="165"/>
      <c r="M232" s="165"/>
      <c r="N232" s="165"/>
      <c r="O232" s="165"/>
      <c r="P232" s="165"/>
      <c r="Q232" s="165"/>
      <c r="R232" s="165"/>
      <c r="S232" s="165"/>
      <c r="T232" s="165"/>
      <c r="U232" s="165"/>
      <c r="V232" s="165"/>
      <c r="W232" s="165"/>
      <c r="X232" s="165"/>
      <c r="Y232" s="165"/>
    </row>
    <row r="233" spans="1:25" ht="11.25" customHeight="1" x14ac:dyDescent="0.25">
      <c r="A233" s="165"/>
      <c r="B233" s="165"/>
      <c r="C233" s="165"/>
      <c r="D233" s="165"/>
      <c r="E233" s="165"/>
      <c r="F233" s="165"/>
      <c r="G233" s="165"/>
      <c r="H233" s="165"/>
      <c r="I233" s="165"/>
      <c r="J233" s="165"/>
      <c r="K233" s="165"/>
      <c r="L233" s="165"/>
      <c r="M233" s="165"/>
      <c r="N233" s="165"/>
      <c r="O233" s="165"/>
      <c r="P233" s="165"/>
      <c r="Q233" s="165"/>
      <c r="R233" s="165"/>
      <c r="S233" s="165"/>
      <c r="T233" s="165"/>
      <c r="U233" s="165"/>
      <c r="V233" s="165"/>
      <c r="W233" s="165"/>
      <c r="X233" s="165"/>
      <c r="Y233" s="165"/>
    </row>
    <row r="234" spans="1:25" ht="11.25" customHeight="1" x14ac:dyDescent="0.25">
      <c r="A234" s="165"/>
      <c r="B234" s="165"/>
      <c r="C234" s="165"/>
      <c r="D234" s="165"/>
      <c r="E234" s="165"/>
      <c r="F234" s="165"/>
      <c r="G234" s="165"/>
      <c r="H234" s="165"/>
      <c r="I234" s="165"/>
      <c r="J234" s="165"/>
      <c r="K234" s="165"/>
      <c r="L234" s="165"/>
      <c r="M234" s="165"/>
      <c r="N234" s="165"/>
      <c r="O234" s="165"/>
      <c r="P234" s="165"/>
      <c r="Q234" s="165"/>
      <c r="R234" s="165"/>
      <c r="S234" s="165"/>
      <c r="T234" s="165"/>
      <c r="U234" s="165"/>
      <c r="V234" s="165"/>
      <c r="W234" s="165"/>
      <c r="X234" s="165"/>
      <c r="Y234" s="165"/>
    </row>
    <row r="235" spans="1:25" ht="11.25" customHeight="1" x14ac:dyDescent="0.25">
      <c r="A235" s="165"/>
      <c r="B235" s="165"/>
      <c r="C235" s="165"/>
      <c r="D235" s="165"/>
      <c r="E235" s="165"/>
      <c r="F235" s="165"/>
      <c r="G235" s="165"/>
      <c r="H235" s="165"/>
      <c r="I235" s="165"/>
      <c r="J235" s="165"/>
      <c r="K235" s="165"/>
      <c r="L235" s="165"/>
      <c r="M235" s="165"/>
      <c r="N235" s="165"/>
      <c r="O235" s="165"/>
      <c r="P235" s="165"/>
      <c r="Q235" s="165"/>
      <c r="R235" s="165"/>
      <c r="S235" s="165"/>
      <c r="T235" s="165"/>
      <c r="U235" s="165"/>
      <c r="V235" s="165"/>
      <c r="W235" s="165"/>
      <c r="X235" s="165"/>
      <c r="Y235" s="165"/>
    </row>
    <row r="236" spans="1:25" ht="11.25" customHeight="1" x14ac:dyDescent="0.25">
      <c r="A236" s="165"/>
      <c r="B236" s="165"/>
      <c r="C236" s="165"/>
      <c r="D236" s="165"/>
      <c r="E236" s="165"/>
      <c r="F236" s="165"/>
      <c r="G236" s="165"/>
      <c r="H236" s="165"/>
      <c r="I236" s="165"/>
      <c r="J236" s="165"/>
      <c r="K236" s="165"/>
      <c r="L236" s="165"/>
      <c r="M236" s="165"/>
      <c r="N236" s="165"/>
      <c r="O236" s="165"/>
      <c r="P236" s="165"/>
      <c r="Q236" s="165"/>
      <c r="R236" s="165"/>
      <c r="S236" s="165"/>
      <c r="T236" s="165"/>
      <c r="U236" s="165"/>
      <c r="V236" s="165"/>
      <c r="W236" s="165"/>
      <c r="X236" s="165"/>
      <c r="Y236" s="165"/>
    </row>
    <row r="237" spans="1:25" ht="11.25" customHeight="1" x14ac:dyDescent="0.25">
      <c r="A237" s="165"/>
      <c r="B237" s="165"/>
      <c r="C237" s="165"/>
      <c r="D237" s="165"/>
      <c r="E237" s="165"/>
      <c r="F237" s="165"/>
      <c r="G237" s="165"/>
      <c r="H237" s="165"/>
      <c r="I237" s="165"/>
      <c r="J237" s="165"/>
      <c r="K237" s="165"/>
      <c r="L237" s="165"/>
      <c r="M237" s="165"/>
      <c r="N237" s="165"/>
      <c r="O237" s="165"/>
      <c r="P237" s="165"/>
      <c r="Q237" s="165"/>
      <c r="R237" s="165"/>
      <c r="S237" s="165"/>
      <c r="T237" s="165"/>
      <c r="U237" s="165"/>
      <c r="V237" s="165"/>
      <c r="W237" s="165"/>
      <c r="X237" s="165"/>
      <c r="Y237" s="165"/>
    </row>
    <row r="238" spans="1:25" ht="11.25" customHeight="1" x14ac:dyDescent="0.25">
      <c r="A238" s="165"/>
      <c r="B238" s="165"/>
      <c r="C238" s="165"/>
      <c r="D238" s="165"/>
      <c r="E238" s="165"/>
      <c r="F238" s="165"/>
      <c r="G238" s="165"/>
      <c r="H238" s="165"/>
      <c r="I238" s="165"/>
      <c r="J238" s="165"/>
      <c r="K238" s="165"/>
      <c r="L238" s="165"/>
      <c r="M238" s="165"/>
      <c r="N238" s="165"/>
      <c r="O238" s="165"/>
      <c r="P238" s="165"/>
      <c r="Q238" s="165"/>
      <c r="R238" s="165"/>
      <c r="S238" s="165"/>
      <c r="T238" s="165"/>
      <c r="U238" s="165"/>
      <c r="V238" s="165"/>
      <c r="W238" s="165"/>
      <c r="X238" s="165"/>
      <c r="Y238" s="165"/>
    </row>
    <row r="239" spans="1:25" ht="11.25" customHeight="1" x14ac:dyDescent="0.25">
      <c r="A239" s="165"/>
      <c r="B239" s="165"/>
      <c r="C239" s="165"/>
      <c r="D239" s="165"/>
      <c r="E239" s="165"/>
      <c r="F239" s="165"/>
      <c r="G239" s="165"/>
      <c r="H239" s="165"/>
      <c r="I239" s="165"/>
      <c r="J239" s="165"/>
      <c r="K239" s="165"/>
      <c r="L239" s="165"/>
      <c r="M239" s="165"/>
      <c r="N239" s="165"/>
      <c r="O239" s="165"/>
      <c r="P239" s="165"/>
      <c r="Q239" s="165"/>
      <c r="R239" s="165"/>
      <c r="S239" s="165"/>
      <c r="T239" s="165"/>
      <c r="U239" s="165"/>
      <c r="V239" s="165"/>
      <c r="W239" s="165"/>
      <c r="X239" s="165"/>
      <c r="Y239" s="165"/>
    </row>
    <row r="240" spans="1:25" ht="11.25" customHeight="1" x14ac:dyDescent="0.25">
      <c r="A240" s="165"/>
      <c r="B240" s="165"/>
      <c r="C240" s="165"/>
      <c r="D240" s="165"/>
      <c r="E240" s="165"/>
      <c r="F240" s="165"/>
      <c r="G240" s="165"/>
      <c r="H240" s="165"/>
      <c r="I240" s="165"/>
      <c r="J240" s="165"/>
      <c r="K240" s="165"/>
      <c r="L240" s="165"/>
      <c r="M240" s="165"/>
      <c r="N240" s="165"/>
      <c r="O240" s="165"/>
      <c r="P240" s="165"/>
      <c r="Q240" s="165"/>
      <c r="R240" s="165"/>
      <c r="S240" s="165"/>
      <c r="T240" s="165"/>
      <c r="U240" s="165"/>
      <c r="V240" s="165"/>
      <c r="W240" s="165"/>
      <c r="X240" s="165"/>
      <c r="Y240" s="165"/>
    </row>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7">
    <mergeCell ref="B81:C81"/>
    <mergeCell ref="B85:C85"/>
    <mergeCell ref="B86:C86"/>
    <mergeCell ref="A23:A24"/>
    <mergeCell ref="B23:B24"/>
    <mergeCell ref="A56:A58"/>
    <mergeCell ref="B56:B58"/>
    <mergeCell ref="B59:B60"/>
    <mergeCell ref="G15:G20"/>
    <mergeCell ref="H15:H20"/>
    <mergeCell ref="H75:H76"/>
    <mergeCell ref="I76:M76"/>
    <mergeCell ref="B80:C80"/>
    <mergeCell ref="E75:E76"/>
    <mergeCell ref="G75:G76"/>
    <mergeCell ref="A14:B14"/>
    <mergeCell ref="C14:D14"/>
    <mergeCell ref="A15:B20"/>
    <mergeCell ref="C15:D17"/>
    <mergeCell ref="F15:F20"/>
    <mergeCell ref="I14:M14"/>
    <mergeCell ref="I15:M17"/>
    <mergeCell ref="I19:I20"/>
    <mergeCell ref="J19:J20"/>
    <mergeCell ref="K19:K20"/>
    <mergeCell ref="L19:L20"/>
    <mergeCell ref="M19:M20"/>
  </mergeCells>
  <printOptions horizontalCentered="1"/>
  <pageMargins left="0.25" right="0" top="0.27" bottom="0.25" header="0" footer="0"/>
  <pageSetup paperSize="14" orientation="landscape"/>
  <rowBreaks count="2" manualBreakCount="2">
    <brk id="58" man="1"/>
    <brk id="31" man="1"/>
  </rowBreaks>
  <drawing r:id="rId1"/>
  <extLst>
    <ext xmlns:x14="http://schemas.microsoft.com/office/spreadsheetml/2009/9/main" uri="{CCE6A557-97BC-4b89-ADB6-D9C93CAAB3DF}">
      <x14:dataValidations xmlns:xm="http://schemas.microsoft.com/office/excel/2006/main" count="2">
        <x14:dataValidation type="list" allowBlank="1" showErrorMessage="1" xr:uid="{00000000-0002-0000-0800-000000000000}">
          <x14:formula1>
            <xm:f>Legend!$A$41:$A$45</xm:f>
          </x14:formula1>
          <xm:sqref>E21:E25</xm:sqref>
        </x14:dataValidation>
        <x14:dataValidation type="list" allowBlank="1" showErrorMessage="1" xr:uid="{00000000-0002-0000-0800-000001000000}">
          <x14:formula1>
            <xm:f>Legend!$A$50:$A$54</xm:f>
          </x14:formula1>
          <xm:sqref>E26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1000"/>
  <sheetViews>
    <sheetView workbookViewId="0"/>
  </sheetViews>
  <sheetFormatPr defaultColWidth="12.59765625" defaultRowHeight="15" customHeight="1" x14ac:dyDescent="0.25"/>
  <cols>
    <col min="1" max="1" width="36.5" customWidth="1"/>
    <col min="2" max="2" width="2.59765625" customWidth="1"/>
    <col min="3" max="3" width="39.19921875" customWidth="1"/>
    <col min="4" max="4" width="11.09765625" customWidth="1"/>
    <col min="5" max="5" width="11.3984375" customWidth="1"/>
    <col min="6" max="7" width="9" customWidth="1"/>
    <col min="8" max="24" width="8.59765625" customWidth="1"/>
  </cols>
  <sheetData>
    <row r="1" spans="1:24" ht="14.25" customHeight="1" x14ac:dyDescent="0.25">
      <c r="A1" s="6" t="s">
        <v>2832</v>
      </c>
      <c r="B1" s="165"/>
      <c r="C1" s="165"/>
      <c r="D1" s="165"/>
      <c r="E1" s="165"/>
      <c r="F1" s="165"/>
      <c r="G1" s="165"/>
      <c r="H1" s="165"/>
      <c r="I1" s="165"/>
      <c r="J1" s="165"/>
      <c r="K1" s="165"/>
      <c r="L1" s="165"/>
      <c r="M1" s="165"/>
      <c r="N1" s="165"/>
      <c r="O1" s="165"/>
      <c r="P1" s="165"/>
      <c r="Q1" s="165"/>
      <c r="R1" s="165"/>
      <c r="S1" s="165"/>
      <c r="T1" s="165"/>
      <c r="U1" s="165"/>
      <c r="V1" s="165"/>
      <c r="W1" s="165"/>
      <c r="X1" s="165"/>
    </row>
    <row r="2" spans="1:24" ht="15" customHeight="1" x14ac:dyDescent="0.25">
      <c r="A2" s="6" t="s">
        <v>2904</v>
      </c>
      <c r="B2" s="165"/>
      <c r="C2" s="165"/>
      <c r="D2" s="165"/>
      <c r="E2" s="165"/>
      <c r="F2" s="165"/>
      <c r="G2" s="165"/>
      <c r="H2" s="165"/>
      <c r="I2" s="165"/>
      <c r="J2" s="165"/>
      <c r="K2" s="165"/>
      <c r="L2" s="165"/>
      <c r="M2" s="165"/>
      <c r="N2" s="165"/>
      <c r="O2" s="165"/>
      <c r="P2" s="165"/>
      <c r="Q2" s="165"/>
      <c r="R2" s="165"/>
      <c r="S2" s="165"/>
      <c r="T2" s="165"/>
      <c r="U2" s="165"/>
      <c r="V2" s="165"/>
      <c r="W2" s="165"/>
      <c r="X2" s="165"/>
    </row>
    <row r="3" spans="1:24" ht="11.25" customHeight="1" x14ac:dyDescent="0.25">
      <c r="A3" s="165"/>
      <c r="B3" s="165"/>
      <c r="C3" s="165"/>
      <c r="D3" s="165"/>
      <c r="E3" s="165"/>
      <c r="F3" s="165"/>
      <c r="G3" s="165"/>
      <c r="H3" s="165"/>
      <c r="I3" s="165"/>
      <c r="J3" s="165"/>
      <c r="K3" s="165"/>
      <c r="L3" s="165"/>
      <c r="M3" s="165"/>
      <c r="N3" s="165"/>
      <c r="O3" s="165"/>
      <c r="P3" s="165"/>
      <c r="Q3" s="165"/>
      <c r="R3" s="165"/>
      <c r="S3" s="165"/>
      <c r="T3" s="165"/>
      <c r="U3" s="165"/>
      <c r="V3" s="165"/>
      <c r="W3" s="165"/>
      <c r="X3" s="165"/>
    </row>
    <row r="4" spans="1:24" ht="11.25" customHeight="1" x14ac:dyDescent="0.25">
      <c r="A4" s="165" t="s">
        <v>2905</v>
      </c>
      <c r="B4" s="165"/>
      <c r="C4" s="165"/>
      <c r="D4" s="165"/>
      <c r="E4" s="165"/>
      <c r="F4" s="165"/>
      <c r="G4" s="165"/>
      <c r="H4" s="165"/>
      <c r="I4" s="165"/>
      <c r="J4" s="165"/>
      <c r="K4" s="165"/>
      <c r="L4" s="165"/>
      <c r="M4" s="165"/>
      <c r="N4" s="165"/>
      <c r="O4" s="165"/>
      <c r="P4" s="165"/>
      <c r="Q4" s="165"/>
      <c r="R4" s="165"/>
      <c r="S4" s="165"/>
      <c r="T4" s="165"/>
      <c r="U4" s="165"/>
      <c r="V4" s="165"/>
      <c r="W4" s="165"/>
      <c r="X4" s="165"/>
    </row>
    <row r="5" spans="1:24" ht="11.25" customHeight="1" x14ac:dyDescent="0.25">
      <c r="A5" s="334" t="s">
        <v>2906</v>
      </c>
      <c r="B5" s="165"/>
      <c r="C5" s="165"/>
      <c r="D5" s="165"/>
      <c r="E5" s="165"/>
      <c r="F5" s="165"/>
      <c r="G5" s="165"/>
      <c r="H5" s="165"/>
      <c r="I5" s="165"/>
      <c r="J5" s="165"/>
      <c r="K5" s="165"/>
      <c r="L5" s="165"/>
      <c r="M5" s="165"/>
      <c r="N5" s="165"/>
      <c r="O5" s="165"/>
      <c r="P5" s="165"/>
      <c r="Q5" s="165"/>
      <c r="R5" s="165"/>
      <c r="S5" s="165"/>
      <c r="T5" s="165"/>
      <c r="U5" s="165"/>
      <c r="V5" s="165"/>
      <c r="W5" s="165"/>
      <c r="X5" s="165"/>
    </row>
    <row r="6" spans="1:24" ht="11.25" customHeight="1" x14ac:dyDescent="0.25">
      <c r="A6" s="165"/>
      <c r="B6" s="165"/>
      <c r="C6" s="165"/>
      <c r="D6" s="165"/>
      <c r="E6" s="165"/>
      <c r="F6" s="165"/>
      <c r="G6" s="165"/>
      <c r="H6" s="165"/>
      <c r="I6" s="165"/>
      <c r="J6" s="165"/>
      <c r="K6" s="165"/>
      <c r="L6" s="165"/>
      <c r="M6" s="165"/>
      <c r="N6" s="165"/>
      <c r="O6" s="165"/>
      <c r="P6" s="165"/>
      <c r="Q6" s="165"/>
      <c r="R6" s="165"/>
      <c r="S6" s="165"/>
      <c r="T6" s="165"/>
      <c r="U6" s="165"/>
      <c r="V6" s="165"/>
      <c r="W6" s="165"/>
      <c r="X6" s="165"/>
    </row>
    <row r="7" spans="1:24" ht="11.25" customHeight="1" x14ac:dyDescent="0.25">
      <c r="A7" s="165" t="s">
        <v>7</v>
      </c>
      <c r="B7" s="165"/>
      <c r="C7" s="165" t="s">
        <v>2907</v>
      </c>
      <c r="D7" s="165"/>
      <c r="E7" s="165"/>
      <c r="F7" s="165"/>
      <c r="G7" s="165"/>
      <c r="H7" s="165"/>
      <c r="I7" s="165"/>
      <c r="J7" s="165"/>
      <c r="K7" s="165"/>
      <c r="L7" s="165"/>
      <c r="M7" s="165"/>
      <c r="N7" s="165"/>
      <c r="O7" s="165"/>
      <c r="P7" s="165"/>
      <c r="Q7" s="165"/>
      <c r="R7" s="165"/>
      <c r="S7" s="165"/>
      <c r="T7" s="165"/>
      <c r="U7" s="165"/>
      <c r="V7" s="165"/>
      <c r="W7" s="165"/>
      <c r="X7" s="165"/>
    </row>
    <row r="8" spans="1:24" ht="11.25" customHeight="1" x14ac:dyDescent="0.25">
      <c r="A8" s="165"/>
      <c r="B8" s="165"/>
      <c r="C8" s="165" t="s">
        <v>2908</v>
      </c>
      <c r="D8" s="165"/>
      <c r="E8" s="165"/>
      <c r="F8" s="165"/>
      <c r="G8" s="165"/>
      <c r="H8" s="165"/>
      <c r="I8" s="165"/>
      <c r="J8" s="165"/>
      <c r="K8" s="165"/>
      <c r="L8" s="165"/>
      <c r="M8" s="165"/>
      <c r="N8" s="165"/>
      <c r="O8" s="165"/>
      <c r="P8" s="165"/>
      <c r="Q8" s="165"/>
      <c r="R8" s="165"/>
      <c r="S8" s="165"/>
      <c r="T8" s="165"/>
      <c r="U8" s="165"/>
      <c r="V8" s="165"/>
      <c r="W8" s="165"/>
      <c r="X8" s="165"/>
    </row>
    <row r="9" spans="1:24" ht="11.25" customHeight="1" x14ac:dyDescent="0.25">
      <c r="A9" s="165"/>
      <c r="B9" s="165"/>
      <c r="C9" s="165"/>
      <c r="D9" s="165"/>
      <c r="E9" s="165"/>
      <c r="F9" s="165"/>
      <c r="G9" s="165"/>
      <c r="H9" s="165"/>
      <c r="I9" s="165"/>
      <c r="J9" s="165"/>
      <c r="K9" s="165"/>
      <c r="L9" s="165"/>
      <c r="M9" s="165"/>
      <c r="N9" s="165"/>
      <c r="O9" s="165"/>
      <c r="P9" s="165"/>
      <c r="Q9" s="165"/>
      <c r="R9" s="165"/>
      <c r="S9" s="165"/>
      <c r="T9" s="165"/>
      <c r="U9" s="165"/>
      <c r="V9" s="165"/>
      <c r="W9" s="165"/>
      <c r="X9" s="165"/>
    </row>
    <row r="10" spans="1:24" ht="16.5" customHeight="1" x14ac:dyDescent="0.25">
      <c r="A10" s="176">
        <v>1</v>
      </c>
      <c r="B10" s="467">
        <v>2</v>
      </c>
      <c r="C10" s="371"/>
      <c r="D10" s="467">
        <v>3</v>
      </c>
      <c r="E10" s="371"/>
      <c r="F10" s="165"/>
      <c r="G10" s="165"/>
      <c r="H10" s="165"/>
      <c r="I10" s="165"/>
      <c r="J10" s="165"/>
      <c r="K10" s="165"/>
      <c r="L10" s="165"/>
      <c r="M10" s="165"/>
      <c r="N10" s="165"/>
      <c r="O10" s="165"/>
      <c r="P10" s="165"/>
      <c r="Q10" s="165"/>
      <c r="R10" s="165"/>
      <c r="S10" s="165"/>
      <c r="T10" s="165"/>
      <c r="U10" s="165"/>
      <c r="V10" s="165"/>
      <c r="W10" s="165"/>
      <c r="X10" s="165"/>
    </row>
    <row r="11" spans="1:24" ht="28.5" customHeight="1" x14ac:dyDescent="0.25">
      <c r="A11" s="471" t="s">
        <v>2909</v>
      </c>
      <c r="B11" s="468" t="s">
        <v>2832</v>
      </c>
      <c r="C11" s="378"/>
      <c r="D11" s="468" t="s">
        <v>2842</v>
      </c>
      <c r="E11" s="378"/>
      <c r="F11" s="175"/>
      <c r="G11" s="175"/>
      <c r="H11" s="175"/>
      <c r="I11" s="175"/>
      <c r="J11" s="175"/>
      <c r="K11" s="175"/>
      <c r="L11" s="175"/>
      <c r="M11" s="175"/>
      <c r="N11" s="175"/>
      <c r="O11" s="175"/>
      <c r="P11" s="175"/>
      <c r="Q11" s="175"/>
      <c r="R11" s="175"/>
      <c r="S11" s="175"/>
      <c r="T11" s="175"/>
      <c r="U11" s="175"/>
      <c r="V11" s="175"/>
      <c r="W11" s="175"/>
      <c r="X11" s="175"/>
    </row>
    <row r="12" spans="1:24" ht="11.25" customHeight="1" x14ac:dyDescent="0.25">
      <c r="A12" s="396"/>
      <c r="B12" s="427"/>
      <c r="C12" s="396"/>
      <c r="D12" s="427"/>
      <c r="E12" s="396"/>
      <c r="F12" s="175"/>
      <c r="G12" s="175"/>
      <c r="H12" s="175"/>
      <c r="I12" s="175"/>
      <c r="J12" s="175"/>
      <c r="K12" s="175"/>
      <c r="L12" s="175"/>
      <c r="M12" s="175"/>
      <c r="N12" s="175"/>
      <c r="O12" s="175"/>
      <c r="P12" s="175"/>
      <c r="Q12" s="175"/>
      <c r="R12" s="175"/>
      <c r="S12" s="175"/>
      <c r="T12" s="175"/>
      <c r="U12" s="175"/>
      <c r="V12" s="175"/>
      <c r="W12" s="175"/>
      <c r="X12" s="175"/>
    </row>
    <row r="13" spans="1:24" ht="10.5" customHeight="1" x14ac:dyDescent="0.25">
      <c r="A13" s="396"/>
      <c r="B13" s="427"/>
      <c r="C13" s="396"/>
      <c r="D13" s="379"/>
      <c r="E13" s="380"/>
      <c r="F13" s="175"/>
      <c r="G13" s="175"/>
      <c r="H13" s="175"/>
      <c r="I13" s="175"/>
      <c r="J13" s="175"/>
      <c r="K13" s="175"/>
      <c r="L13" s="175"/>
      <c r="M13" s="175"/>
      <c r="N13" s="175"/>
      <c r="O13" s="175"/>
      <c r="P13" s="175"/>
      <c r="Q13" s="175"/>
      <c r="R13" s="175"/>
      <c r="S13" s="175"/>
      <c r="T13" s="175"/>
      <c r="U13" s="175"/>
      <c r="V13" s="175"/>
      <c r="W13" s="175"/>
      <c r="X13" s="175"/>
    </row>
    <row r="14" spans="1:24" ht="10.5" customHeight="1" x14ac:dyDescent="0.25">
      <c r="A14" s="396"/>
      <c r="B14" s="427"/>
      <c r="C14" s="396"/>
      <c r="D14" s="287" t="s">
        <v>2851</v>
      </c>
      <c r="E14" s="287" t="s">
        <v>2852</v>
      </c>
      <c r="F14" s="175"/>
      <c r="G14" s="175"/>
      <c r="H14" s="175"/>
      <c r="I14" s="175"/>
      <c r="J14" s="175"/>
      <c r="K14" s="175"/>
      <c r="L14" s="175"/>
      <c r="M14" s="175"/>
      <c r="N14" s="175"/>
      <c r="O14" s="175"/>
      <c r="P14" s="175"/>
      <c r="Q14" s="175"/>
      <c r="R14" s="175"/>
      <c r="S14" s="175"/>
      <c r="T14" s="175"/>
      <c r="U14" s="175"/>
      <c r="V14" s="175"/>
      <c r="W14" s="175"/>
      <c r="X14" s="175"/>
    </row>
    <row r="15" spans="1:24" ht="17.25" customHeight="1" x14ac:dyDescent="0.25">
      <c r="A15" s="380"/>
      <c r="B15" s="379"/>
      <c r="C15" s="380"/>
      <c r="D15" s="288" t="s">
        <v>2416</v>
      </c>
      <c r="E15" s="288" t="s">
        <v>2416</v>
      </c>
      <c r="F15" s="175"/>
      <c r="G15" s="175"/>
      <c r="H15" s="175"/>
      <c r="I15" s="175"/>
      <c r="J15" s="175"/>
      <c r="K15" s="175"/>
      <c r="L15" s="175"/>
      <c r="M15" s="175"/>
      <c r="N15" s="175"/>
      <c r="O15" s="175"/>
      <c r="P15" s="175"/>
      <c r="Q15" s="175"/>
      <c r="R15" s="175"/>
      <c r="S15" s="175"/>
      <c r="T15" s="175"/>
      <c r="U15" s="175"/>
      <c r="V15" s="175"/>
      <c r="W15" s="175"/>
      <c r="X15" s="175"/>
    </row>
    <row r="16" spans="1:24" ht="25.5" x14ac:dyDescent="0.25">
      <c r="A16" s="481" t="s">
        <v>2910</v>
      </c>
      <c r="B16" s="335">
        <v>1</v>
      </c>
      <c r="C16" s="336" t="s">
        <v>2911</v>
      </c>
      <c r="D16" s="337">
        <v>44197</v>
      </c>
      <c r="E16" s="337">
        <v>44561</v>
      </c>
      <c r="F16" s="300"/>
      <c r="G16" s="300"/>
      <c r="H16" s="300"/>
      <c r="I16" s="300"/>
      <c r="J16" s="300"/>
      <c r="K16" s="300"/>
      <c r="L16" s="300"/>
      <c r="M16" s="300"/>
      <c r="N16" s="300"/>
      <c r="O16" s="300"/>
      <c r="P16" s="300"/>
      <c r="Q16" s="300"/>
      <c r="R16" s="300"/>
      <c r="S16" s="300"/>
      <c r="T16" s="300"/>
      <c r="U16" s="300"/>
      <c r="V16" s="300"/>
      <c r="W16" s="300"/>
      <c r="X16" s="300"/>
    </row>
    <row r="17" spans="1:24" ht="38.25" x14ac:dyDescent="0.25">
      <c r="A17" s="383"/>
      <c r="B17" s="335">
        <v>2</v>
      </c>
      <c r="C17" s="336" t="s">
        <v>2481</v>
      </c>
      <c r="D17" s="337">
        <v>44145</v>
      </c>
      <c r="E17" s="337">
        <v>44561</v>
      </c>
      <c r="F17" s="300"/>
      <c r="G17" s="338"/>
      <c r="H17" s="300"/>
      <c r="I17" s="300"/>
      <c r="J17" s="300"/>
      <c r="K17" s="300"/>
      <c r="L17" s="300"/>
      <c r="M17" s="300"/>
      <c r="N17" s="300"/>
      <c r="O17" s="300"/>
      <c r="P17" s="300"/>
      <c r="Q17" s="300"/>
      <c r="R17" s="300"/>
      <c r="S17" s="300"/>
      <c r="T17" s="300"/>
      <c r="U17" s="300"/>
      <c r="V17" s="300"/>
      <c r="W17" s="300"/>
      <c r="X17" s="300"/>
    </row>
    <row r="18" spans="1:24" ht="25.5" x14ac:dyDescent="0.25">
      <c r="A18" s="383"/>
      <c r="B18" s="335">
        <v>3</v>
      </c>
      <c r="C18" s="336" t="s">
        <v>2912</v>
      </c>
      <c r="D18" s="337">
        <v>43070</v>
      </c>
      <c r="E18" s="339" t="s">
        <v>2913</v>
      </c>
      <c r="F18" s="300"/>
      <c r="G18" s="338"/>
      <c r="H18" s="300"/>
      <c r="I18" s="300"/>
      <c r="J18" s="300"/>
      <c r="K18" s="300"/>
      <c r="L18" s="300"/>
      <c r="M18" s="300"/>
      <c r="N18" s="300"/>
      <c r="O18" s="300"/>
      <c r="P18" s="300"/>
      <c r="Q18" s="300"/>
      <c r="R18" s="300"/>
      <c r="S18" s="300"/>
      <c r="T18" s="300"/>
      <c r="U18" s="300"/>
      <c r="V18" s="300"/>
      <c r="W18" s="300"/>
      <c r="X18" s="300"/>
    </row>
    <row r="19" spans="1:24" x14ac:dyDescent="0.25">
      <c r="A19" s="368"/>
      <c r="B19" s="335">
        <v>4</v>
      </c>
      <c r="C19" s="340" t="s">
        <v>2877</v>
      </c>
      <c r="D19" s="337">
        <v>43905</v>
      </c>
      <c r="E19" s="341">
        <v>44227</v>
      </c>
      <c r="F19" s="300"/>
      <c r="G19" s="338"/>
      <c r="H19" s="300"/>
      <c r="I19" s="300"/>
      <c r="J19" s="300"/>
      <c r="K19" s="300"/>
      <c r="L19" s="300"/>
      <c r="M19" s="300"/>
      <c r="N19" s="300"/>
      <c r="O19" s="300"/>
      <c r="P19" s="300"/>
      <c r="Q19" s="300"/>
      <c r="R19" s="300"/>
      <c r="S19" s="300"/>
      <c r="T19" s="300"/>
      <c r="U19" s="300"/>
      <c r="V19" s="300"/>
      <c r="W19" s="300"/>
      <c r="X19" s="300"/>
    </row>
    <row r="20" spans="1:24" ht="63.75" x14ac:dyDescent="0.25">
      <c r="A20" s="186" t="s">
        <v>2914</v>
      </c>
      <c r="B20" s="335">
        <v>1</v>
      </c>
      <c r="C20" s="336" t="s">
        <v>2915</v>
      </c>
      <c r="D20" s="339" t="s">
        <v>2916</v>
      </c>
      <c r="E20" s="342">
        <v>44561</v>
      </c>
      <c r="F20" s="300"/>
      <c r="G20" s="300"/>
      <c r="H20" s="300"/>
      <c r="I20" s="300"/>
      <c r="J20" s="300"/>
      <c r="K20" s="300"/>
      <c r="L20" s="300"/>
      <c r="M20" s="300"/>
      <c r="N20" s="300"/>
      <c r="O20" s="300"/>
      <c r="P20" s="300"/>
      <c r="Q20" s="300"/>
      <c r="R20" s="300"/>
      <c r="S20" s="300"/>
      <c r="T20" s="300"/>
      <c r="U20" s="300"/>
      <c r="V20" s="300"/>
      <c r="W20" s="300"/>
      <c r="X20" s="300"/>
    </row>
    <row r="21" spans="1:24" ht="11.25" customHeight="1" x14ac:dyDescent="0.25">
      <c r="A21" s="165"/>
      <c r="B21" s="165"/>
      <c r="C21" s="165"/>
      <c r="D21" s="165"/>
      <c r="E21" s="165"/>
      <c r="F21" s="165"/>
      <c r="G21" s="165"/>
      <c r="H21" s="165"/>
      <c r="I21" s="165"/>
      <c r="J21" s="165"/>
      <c r="K21" s="165"/>
      <c r="L21" s="165"/>
      <c r="M21" s="165"/>
      <c r="N21" s="165"/>
      <c r="O21" s="165"/>
      <c r="P21" s="165"/>
      <c r="Q21" s="165"/>
      <c r="R21" s="165"/>
      <c r="S21" s="165"/>
      <c r="T21" s="165"/>
      <c r="U21" s="165"/>
      <c r="V21" s="165"/>
      <c r="W21" s="165"/>
      <c r="X21" s="165"/>
    </row>
    <row r="22" spans="1:24" ht="137.25" customHeight="1" x14ac:dyDescent="0.25">
      <c r="A22" s="479" t="s">
        <v>2917</v>
      </c>
      <c r="B22" s="480"/>
      <c r="C22" s="480"/>
      <c r="D22" s="480"/>
      <c r="E22" s="375"/>
      <c r="F22" s="165"/>
      <c r="G22" s="165"/>
      <c r="H22" s="165"/>
      <c r="I22" s="165"/>
      <c r="J22" s="165"/>
      <c r="K22" s="165"/>
      <c r="L22" s="165"/>
      <c r="M22" s="165"/>
      <c r="N22" s="165"/>
      <c r="O22" s="165"/>
      <c r="P22" s="165"/>
      <c r="Q22" s="165"/>
      <c r="R22" s="165"/>
      <c r="S22" s="165"/>
      <c r="T22" s="165"/>
      <c r="U22" s="165"/>
      <c r="V22" s="165"/>
      <c r="W22" s="165"/>
      <c r="X22" s="165"/>
    </row>
    <row r="23" spans="1:24" ht="11.25" customHeight="1" x14ac:dyDescent="0.25">
      <c r="A23" s="165"/>
      <c r="B23" s="165"/>
      <c r="C23" s="165"/>
      <c r="D23" s="165"/>
      <c r="E23" s="165"/>
      <c r="F23" s="165"/>
      <c r="G23" s="165"/>
      <c r="H23" s="165"/>
      <c r="I23" s="165"/>
      <c r="J23" s="165"/>
      <c r="K23" s="165"/>
      <c r="L23" s="165"/>
      <c r="M23" s="165"/>
      <c r="N23" s="165"/>
      <c r="O23" s="165"/>
      <c r="P23" s="165"/>
      <c r="Q23" s="165"/>
      <c r="R23" s="165"/>
      <c r="S23" s="165"/>
      <c r="T23" s="165"/>
      <c r="U23" s="165"/>
      <c r="V23" s="165"/>
      <c r="W23" s="165"/>
      <c r="X23" s="165"/>
    </row>
    <row r="24" spans="1:24" ht="11.25" customHeight="1" x14ac:dyDescent="0.25">
      <c r="A24" s="28" t="s">
        <v>56</v>
      </c>
      <c r="B24" s="29"/>
      <c r="C24" s="5"/>
      <c r="D24" s="165"/>
      <c r="E24" s="165"/>
      <c r="F24" s="165"/>
      <c r="G24" s="165"/>
      <c r="H24" s="165"/>
      <c r="I24" s="165"/>
      <c r="J24" s="165"/>
      <c r="K24" s="165"/>
      <c r="L24" s="165"/>
      <c r="M24" s="165"/>
      <c r="N24" s="165"/>
      <c r="O24" s="165"/>
      <c r="P24" s="165"/>
      <c r="Q24" s="165"/>
      <c r="R24" s="165"/>
      <c r="S24" s="165"/>
      <c r="T24" s="165"/>
      <c r="U24" s="165"/>
      <c r="V24" s="165"/>
      <c r="W24" s="165"/>
      <c r="X24" s="165"/>
    </row>
    <row r="25" spans="1:24" ht="11.25" customHeight="1" x14ac:dyDescent="0.25">
      <c r="A25" s="29"/>
      <c r="B25" s="283"/>
      <c r="C25" s="165"/>
      <c r="D25" s="165"/>
      <c r="E25" s="165"/>
      <c r="F25" s="165"/>
      <c r="G25" s="165"/>
      <c r="H25" s="165"/>
      <c r="I25" s="165"/>
      <c r="J25" s="165"/>
      <c r="K25" s="165"/>
      <c r="L25" s="165"/>
      <c r="M25" s="165"/>
      <c r="N25" s="165"/>
      <c r="O25" s="165"/>
      <c r="P25" s="165"/>
      <c r="Q25" s="165"/>
      <c r="R25" s="165"/>
      <c r="S25" s="165"/>
      <c r="T25" s="165"/>
      <c r="U25" s="165"/>
      <c r="V25" s="165"/>
      <c r="W25" s="165"/>
      <c r="X25" s="165"/>
    </row>
    <row r="26" spans="1:24" ht="14.25" customHeight="1" x14ac:dyDescent="0.25">
      <c r="A26" s="454" t="s">
        <v>2903</v>
      </c>
      <c r="B26" s="373"/>
      <c r="C26" s="78" t="s">
        <v>2369</v>
      </c>
      <c r="D26" s="165"/>
      <c r="E26" s="165"/>
      <c r="F26" s="165"/>
      <c r="G26" s="165"/>
      <c r="H26" s="165"/>
      <c r="I26" s="165"/>
      <c r="J26" s="165"/>
      <c r="K26" s="165"/>
      <c r="L26" s="165"/>
      <c r="M26" s="165"/>
      <c r="N26" s="165"/>
      <c r="O26" s="165"/>
      <c r="P26" s="165"/>
      <c r="Q26" s="165"/>
      <c r="R26" s="165"/>
      <c r="S26" s="165"/>
      <c r="T26" s="165"/>
      <c r="U26" s="165"/>
      <c r="V26" s="165"/>
      <c r="W26" s="165"/>
      <c r="X26" s="165"/>
    </row>
    <row r="27" spans="1:24" ht="11.25" customHeight="1" x14ac:dyDescent="0.25">
      <c r="A27" s="455" t="s">
        <v>2829</v>
      </c>
      <c r="B27" s="373"/>
      <c r="C27" s="32" t="s">
        <v>59</v>
      </c>
      <c r="D27" s="165"/>
      <c r="E27" s="165"/>
      <c r="F27" s="165"/>
      <c r="G27" s="165"/>
      <c r="H27" s="165"/>
      <c r="I27" s="165"/>
      <c r="J27" s="165"/>
      <c r="K27" s="165"/>
      <c r="L27" s="165"/>
      <c r="M27" s="165"/>
      <c r="N27" s="165"/>
      <c r="O27" s="165"/>
      <c r="P27" s="165"/>
      <c r="Q27" s="165"/>
      <c r="R27" s="165"/>
      <c r="S27" s="165"/>
      <c r="T27" s="165"/>
      <c r="U27" s="165"/>
      <c r="V27" s="165"/>
      <c r="W27" s="165"/>
      <c r="X27" s="165"/>
    </row>
    <row r="28" spans="1:24" ht="11.25" customHeight="1" x14ac:dyDescent="0.25">
      <c r="A28" s="5"/>
      <c r="B28" s="5"/>
      <c r="C28" s="5"/>
      <c r="D28" s="165"/>
      <c r="E28" s="165"/>
      <c r="F28" s="165"/>
      <c r="G28" s="165"/>
      <c r="H28" s="165"/>
      <c r="I28" s="165"/>
      <c r="J28" s="165"/>
      <c r="K28" s="165"/>
      <c r="L28" s="165"/>
      <c r="M28" s="165"/>
      <c r="N28" s="165"/>
      <c r="O28" s="165"/>
      <c r="P28" s="165"/>
      <c r="Q28" s="165"/>
      <c r="R28" s="165"/>
      <c r="S28" s="165"/>
      <c r="T28" s="165"/>
      <c r="U28" s="165"/>
      <c r="V28" s="165"/>
      <c r="W28" s="165"/>
      <c r="X28" s="165"/>
    </row>
    <row r="29" spans="1:24" ht="11.25" customHeight="1" x14ac:dyDescent="0.25">
      <c r="A29" s="33" t="s">
        <v>60</v>
      </c>
      <c r="B29" s="5"/>
      <c r="C29" s="5"/>
      <c r="D29" s="165"/>
      <c r="E29" s="165"/>
      <c r="F29" s="165"/>
      <c r="G29" s="165"/>
      <c r="H29" s="165"/>
      <c r="I29" s="165"/>
      <c r="J29" s="165"/>
      <c r="K29" s="165"/>
      <c r="L29" s="165"/>
      <c r="M29" s="165"/>
      <c r="N29" s="165"/>
      <c r="O29" s="165"/>
      <c r="P29" s="165"/>
      <c r="Q29" s="165"/>
      <c r="R29" s="165"/>
      <c r="S29" s="165"/>
      <c r="T29" s="165"/>
      <c r="U29" s="165"/>
      <c r="V29" s="165"/>
      <c r="W29" s="165"/>
      <c r="X29" s="165"/>
    </row>
    <row r="30" spans="1:24" ht="11.25" customHeight="1" x14ac:dyDescent="0.25">
      <c r="A30" s="29"/>
      <c r="B30" s="283"/>
      <c r="C30" s="5"/>
      <c r="D30" s="165"/>
      <c r="E30" s="165"/>
      <c r="F30" s="165"/>
      <c r="G30" s="165"/>
      <c r="H30" s="165"/>
      <c r="I30" s="165"/>
      <c r="J30" s="165"/>
      <c r="K30" s="165"/>
      <c r="L30" s="165"/>
      <c r="M30" s="165"/>
      <c r="N30" s="165"/>
      <c r="O30" s="165"/>
      <c r="P30" s="165"/>
      <c r="Q30" s="165"/>
      <c r="R30" s="165"/>
      <c r="S30" s="165"/>
      <c r="T30" s="165"/>
      <c r="U30" s="165"/>
      <c r="V30" s="165"/>
      <c r="W30" s="165"/>
      <c r="X30" s="165"/>
    </row>
    <row r="31" spans="1:24" ht="17.25" customHeight="1" x14ac:dyDescent="0.25">
      <c r="A31" s="454" t="s">
        <v>2830</v>
      </c>
      <c r="B31" s="373"/>
      <c r="C31" s="78" t="s">
        <v>2369</v>
      </c>
      <c r="D31" s="165"/>
      <c r="E31" s="165"/>
      <c r="F31" s="165"/>
      <c r="G31" s="165"/>
      <c r="H31" s="165"/>
      <c r="I31" s="165"/>
      <c r="J31" s="165"/>
      <c r="K31" s="165"/>
      <c r="L31" s="165"/>
      <c r="M31" s="165"/>
      <c r="N31" s="165"/>
      <c r="O31" s="165"/>
      <c r="P31" s="165"/>
      <c r="Q31" s="165"/>
      <c r="R31" s="165"/>
      <c r="S31" s="165"/>
      <c r="T31" s="165"/>
      <c r="U31" s="165"/>
      <c r="V31" s="165"/>
      <c r="W31" s="165"/>
      <c r="X31" s="165"/>
    </row>
    <row r="32" spans="1:24" ht="11.25" customHeight="1" x14ac:dyDescent="0.25">
      <c r="A32" s="456" t="s">
        <v>2831</v>
      </c>
      <c r="B32" s="373"/>
      <c r="C32" s="32" t="s">
        <v>59</v>
      </c>
      <c r="D32" s="165"/>
      <c r="E32" s="165"/>
      <c r="F32" s="165"/>
      <c r="G32" s="165"/>
      <c r="H32" s="165"/>
      <c r="I32" s="165"/>
      <c r="J32" s="165"/>
      <c r="K32" s="165"/>
      <c r="L32" s="165"/>
      <c r="M32" s="165"/>
      <c r="N32" s="165"/>
      <c r="O32" s="165"/>
      <c r="P32" s="165"/>
      <c r="Q32" s="165"/>
      <c r="R32" s="165"/>
      <c r="S32" s="165"/>
      <c r="T32" s="165"/>
      <c r="U32" s="165"/>
      <c r="V32" s="165"/>
      <c r="W32" s="165"/>
      <c r="X32" s="165"/>
    </row>
    <row r="33" spans="1:24" ht="11.25" customHeight="1" x14ac:dyDescent="0.25">
      <c r="A33" s="165"/>
      <c r="B33" s="165"/>
      <c r="C33" s="165"/>
      <c r="D33" s="165"/>
      <c r="E33" s="165"/>
      <c r="F33" s="165"/>
      <c r="G33" s="165"/>
      <c r="H33" s="165"/>
      <c r="I33" s="165"/>
      <c r="J33" s="165"/>
      <c r="K33" s="165"/>
      <c r="L33" s="165"/>
      <c r="M33" s="165"/>
      <c r="N33" s="165"/>
      <c r="O33" s="165"/>
      <c r="P33" s="165"/>
      <c r="Q33" s="165"/>
      <c r="R33" s="165"/>
      <c r="S33" s="165"/>
      <c r="T33" s="165"/>
      <c r="U33" s="165"/>
      <c r="V33" s="165"/>
      <c r="W33" s="165"/>
      <c r="X33" s="165"/>
    </row>
    <row r="34" spans="1:24" ht="11.25" customHeight="1" x14ac:dyDescent="0.25">
      <c r="A34" s="165"/>
      <c r="B34" s="165"/>
      <c r="C34" s="165"/>
      <c r="D34" s="165"/>
      <c r="E34" s="165"/>
      <c r="F34" s="165"/>
      <c r="G34" s="165"/>
      <c r="H34" s="165"/>
      <c r="I34" s="165"/>
      <c r="J34" s="165"/>
      <c r="K34" s="165"/>
      <c r="L34" s="165"/>
      <c r="M34" s="165"/>
      <c r="N34" s="165"/>
      <c r="O34" s="165"/>
      <c r="P34" s="165"/>
      <c r="Q34" s="165"/>
      <c r="R34" s="165"/>
      <c r="S34" s="165"/>
      <c r="T34" s="165"/>
      <c r="U34" s="165"/>
      <c r="V34" s="165"/>
      <c r="W34" s="165"/>
      <c r="X34" s="165"/>
    </row>
    <row r="35" spans="1:24" ht="11.25" customHeight="1" x14ac:dyDescent="0.25">
      <c r="A35" s="165"/>
      <c r="B35" s="165"/>
      <c r="C35" s="165"/>
      <c r="D35" s="165"/>
      <c r="E35" s="165"/>
      <c r="F35" s="165"/>
      <c r="G35" s="165"/>
      <c r="H35" s="165"/>
      <c r="I35" s="165"/>
      <c r="J35" s="165"/>
      <c r="K35" s="165"/>
      <c r="L35" s="165"/>
      <c r="M35" s="165"/>
      <c r="N35" s="165"/>
      <c r="O35" s="165"/>
      <c r="P35" s="165"/>
      <c r="Q35" s="165"/>
      <c r="R35" s="165"/>
      <c r="S35" s="165"/>
      <c r="T35" s="165"/>
      <c r="U35" s="165"/>
      <c r="V35" s="165"/>
      <c r="W35" s="165"/>
      <c r="X35" s="165"/>
    </row>
    <row r="36" spans="1:24" ht="11.25" customHeight="1" x14ac:dyDescent="0.25">
      <c r="A36" s="165"/>
      <c r="B36" s="165"/>
      <c r="C36" s="165"/>
      <c r="D36" s="165"/>
      <c r="E36" s="165"/>
      <c r="F36" s="165"/>
      <c r="G36" s="165"/>
      <c r="H36" s="165"/>
      <c r="I36" s="165"/>
      <c r="J36" s="165"/>
      <c r="K36" s="165"/>
      <c r="L36" s="165"/>
      <c r="M36" s="165"/>
      <c r="N36" s="165"/>
      <c r="O36" s="165"/>
      <c r="P36" s="165"/>
      <c r="Q36" s="165"/>
      <c r="R36" s="165"/>
      <c r="S36" s="165"/>
      <c r="T36" s="165"/>
      <c r="U36" s="165"/>
      <c r="V36" s="165"/>
      <c r="W36" s="165"/>
      <c r="X36" s="165"/>
    </row>
    <row r="37" spans="1:24" ht="11.25" customHeight="1" x14ac:dyDescent="0.25">
      <c r="A37" s="165"/>
      <c r="B37" s="165"/>
      <c r="C37" s="165"/>
      <c r="D37" s="165"/>
      <c r="E37" s="165"/>
      <c r="F37" s="165"/>
      <c r="G37" s="165"/>
      <c r="H37" s="165"/>
      <c r="I37" s="165"/>
      <c r="J37" s="165"/>
      <c r="K37" s="165"/>
      <c r="L37" s="165"/>
      <c r="M37" s="165"/>
      <c r="N37" s="165"/>
      <c r="O37" s="165"/>
      <c r="P37" s="165"/>
      <c r="Q37" s="165"/>
      <c r="R37" s="165"/>
      <c r="S37" s="165"/>
      <c r="T37" s="165"/>
      <c r="U37" s="165"/>
      <c r="V37" s="165"/>
      <c r="W37" s="165"/>
      <c r="X37" s="165"/>
    </row>
    <row r="38" spans="1:24" ht="11.25" customHeight="1" x14ac:dyDescent="0.25">
      <c r="A38" s="165"/>
      <c r="B38" s="165"/>
      <c r="C38" s="165"/>
      <c r="D38" s="165"/>
      <c r="E38" s="165"/>
      <c r="F38" s="165"/>
      <c r="G38" s="165"/>
      <c r="H38" s="165"/>
      <c r="I38" s="165"/>
      <c r="J38" s="165"/>
      <c r="K38" s="165"/>
      <c r="L38" s="165"/>
      <c r="M38" s="165"/>
      <c r="N38" s="165"/>
      <c r="O38" s="165"/>
      <c r="P38" s="165"/>
      <c r="Q38" s="165"/>
      <c r="R38" s="165"/>
      <c r="S38" s="165"/>
      <c r="T38" s="165"/>
      <c r="U38" s="165"/>
      <c r="V38" s="165"/>
      <c r="W38" s="165"/>
      <c r="X38" s="165"/>
    </row>
    <row r="39" spans="1:24" ht="11.25" customHeight="1" x14ac:dyDescent="0.25">
      <c r="A39" s="165"/>
      <c r="B39" s="165"/>
      <c r="C39" s="165"/>
      <c r="D39" s="165"/>
      <c r="E39" s="165"/>
      <c r="F39" s="165"/>
      <c r="G39" s="165"/>
      <c r="H39" s="165"/>
      <c r="I39" s="165"/>
      <c r="J39" s="165"/>
      <c r="K39" s="165"/>
      <c r="L39" s="165"/>
      <c r="M39" s="165"/>
      <c r="N39" s="165"/>
      <c r="O39" s="165"/>
      <c r="P39" s="165"/>
      <c r="Q39" s="165"/>
      <c r="R39" s="165"/>
      <c r="S39" s="165"/>
      <c r="T39" s="165"/>
      <c r="U39" s="165"/>
      <c r="V39" s="165"/>
      <c r="W39" s="165"/>
      <c r="X39" s="165"/>
    </row>
    <row r="40" spans="1:24" ht="11.25" customHeight="1" x14ac:dyDescent="0.25">
      <c r="A40" s="165"/>
      <c r="B40" s="165"/>
      <c r="C40" s="165"/>
      <c r="D40" s="165"/>
      <c r="E40" s="165"/>
      <c r="F40" s="165"/>
      <c r="G40" s="165"/>
      <c r="H40" s="165"/>
      <c r="I40" s="165"/>
      <c r="J40" s="165"/>
      <c r="K40" s="165"/>
      <c r="L40" s="165"/>
      <c r="M40" s="165"/>
      <c r="N40" s="165"/>
      <c r="O40" s="165"/>
      <c r="P40" s="165"/>
      <c r="Q40" s="165"/>
      <c r="R40" s="165"/>
      <c r="S40" s="165"/>
      <c r="T40" s="165"/>
      <c r="U40" s="165"/>
      <c r="V40" s="165"/>
      <c r="W40" s="165"/>
      <c r="X40" s="165"/>
    </row>
    <row r="41" spans="1:24" ht="11.25" customHeight="1" x14ac:dyDescent="0.25">
      <c r="A41" s="165"/>
      <c r="B41" s="165"/>
      <c r="C41" s="165"/>
      <c r="D41" s="165"/>
      <c r="E41" s="165"/>
      <c r="F41" s="165"/>
      <c r="G41" s="165"/>
      <c r="H41" s="165"/>
      <c r="I41" s="165"/>
      <c r="J41" s="165"/>
      <c r="K41" s="165"/>
      <c r="L41" s="165"/>
      <c r="M41" s="165"/>
      <c r="N41" s="165"/>
      <c r="O41" s="165"/>
      <c r="P41" s="165"/>
      <c r="Q41" s="165"/>
      <c r="R41" s="165"/>
      <c r="S41" s="165"/>
      <c r="T41" s="165"/>
      <c r="U41" s="165"/>
      <c r="V41" s="165"/>
      <c r="W41" s="165"/>
      <c r="X41" s="165"/>
    </row>
    <row r="42" spans="1:24" ht="11.25" customHeight="1" x14ac:dyDescent="0.25">
      <c r="A42" s="165"/>
      <c r="B42" s="165"/>
      <c r="C42" s="165"/>
      <c r="D42" s="165"/>
      <c r="E42" s="165"/>
      <c r="F42" s="165"/>
      <c r="G42" s="165"/>
      <c r="H42" s="165"/>
      <c r="I42" s="165"/>
      <c r="J42" s="165"/>
      <c r="K42" s="165"/>
      <c r="L42" s="165"/>
      <c r="M42" s="165"/>
      <c r="N42" s="165"/>
      <c r="O42" s="165"/>
      <c r="P42" s="165"/>
      <c r="Q42" s="165"/>
      <c r="R42" s="165"/>
      <c r="S42" s="165"/>
      <c r="T42" s="165"/>
      <c r="U42" s="165"/>
      <c r="V42" s="165"/>
      <c r="W42" s="165"/>
      <c r="X42" s="165"/>
    </row>
    <row r="43" spans="1:24" ht="11.25" customHeight="1" x14ac:dyDescent="0.25">
      <c r="A43" s="165"/>
      <c r="B43" s="165"/>
      <c r="C43" s="165"/>
      <c r="D43" s="165"/>
      <c r="E43" s="165"/>
      <c r="F43" s="165"/>
      <c r="G43" s="165"/>
      <c r="H43" s="165"/>
      <c r="I43" s="165"/>
      <c r="J43" s="165"/>
      <c r="K43" s="165"/>
      <c r="L43" s="165"/>
      <c r="M43" s="165"/>
      <c r="N43" s="165"/>
      <c r="O43" s="165"/>
      <c r="P43" s="165"/>
      <c r="Q43" s="165"/>
      <c r="R43" s="165"/>
      <c r="S43" s="165"/>
      <c r="T43" s="165"/>
      <c r="U43" s="165"/>
      <c r="V43" s="165"/>
      <c r="W43" s="165"/>
      <c r="X43" s="165"/>
    </row>
    <row r="44" spans="1:24" ht="11.25" customHeight="1" x14ac:dyDescent="0.25">
      <c r="A44" s="165"/>
      <c r="B44" s="165"/>
      <c r="C44" s="165"/>
      <c r="D44" s="165"/>
      <c r="E44" s="165"/>
      <c r="F44" s="165"/>
      <c r="G44" s="165"/>
      <c r="H44" s="165"/>
      <c r="I44" s="165"/>
      <c r="J44" s="165"/>
      <c r="K44" s="165"/>
      <c r="L44" s="165"/>
      <c r="M44" s="165"/>
      <c r="N44" s="165"/>
      <c r="O44" s="165"/>
      <c r="P44" s="165"/>
      <c r="Q44" s="165"/>
      <c r="R44" s="165"/>
      <c r="S44" s="165"/>
      <c r="T44" s="165"/>
      <c r="U44" s="165"/>
      <c r="V44" s="165"/>
      <c r="W44" s="165"/>
      <c r="X44" s="165"/>
    </row>
    <row r="45" spans="1:24" ht="11.25" customHeight="1" x14ac:dyDescent="0.25">
      <c r="A45" s="165"/>
      <c r="B45" s="165"/>
      <c r="C45" s="165"/>
      <c r="D45" s="165"/>
      <c r="E45" s="165"/>
      <c r="F45" s="165"/>
      <c r="G45" s="165"/>
      <c r="H45" s="165"/>
      <c r="I45" s="165"/>
      <c r="J45" s="165"/>
      <c r="K45" s="165"/>
      <c r="L45" s="165"/>
      <c r="M45" s="165"/>
      <c r="N45" s="165"/>
      <c r="O45" s="165"/>
      <c r="P45" s="165"/>
      <c r="Q45" s="165"/>
      <c r="R45" s="165"/>
      <c r="S45" s="165"/>
      <c r="T45" s="165"/>
      <c r="U45" s="165"/>
      <c r="V45" s="165"/>
      <c r="W45" s="165"/>
      <c r="X45" s="165"/>
    </row>
    <row r="46" spans="1:24" ht="11.25" customHeight="1" x14ac:dyDescent="0.25">
      <c r="A46" s="165"/>
      <c r="B46" s="165"/>
      <c r="C46" s="165"/>
      <c r="D46" s="165"/>
      <c r="E46" s="165"/>
      <c r="F46" s="165"/>
      <c r="G46" s="165"/>
      <c r="H46" s="165"/>
      <c r="I46" s="165"/>
      <c r="J46" s="165"/>
      <c r="K46" s="165"/>
      <c r="L46" s="165"/>
      <c r="M46" s="165"/>
      <c r="N46" s="165"/>
      <c r="O46" s="165"/>
      <c r="P46" s="165"/>
      <c r="Q46" s="165"/>
      <c r="R46" s="165"/>
      <c r="S46" s="165"/>
      <c r="T46" s="165"/>
      <c r="U46" s="165"/>
      <c r="V46" s="165"/>
      <c r="W46" s="165"/>
      <c r="X46" s="165"/>
    </row>
    <row r="47" spans="1:24" ht="11.25" customHeight="1" x14ac:dyDescent="0.25">
      <c r="A47" s="165"/>
      <c r="B47" s="165"/>
      <c r="C47" s="165"/>
      <c r="D47" s="165"/>
      <c r="E47" s="165"/>
      <c r="F47" s="165"/>
      <c r="G47" s="165"/>
      <c r="H47" s="165"/>
      <c r="I47" s="165"/>
      <c r="J47" s="165"/>
      <c r="K47" s="165"/>
      <c r="L47" s="165"/>
      <c r="M47" s="165"/>
      <c r="N47" s="165"/>
      <c r="O47" s="165"/>
      <c r="P47" s="165"/>
      <c r="Q47" s="165"/>
      <c r="R47" s="165"/>
      <c r="S47" s="165"/>
      <c r="T47" s="165"/>
      <c r="U47" s="165"/>
      <c r="V47" s="165"/>
      <c r="W47" s="165"/>
      <c r="X47" s="165"/>
    </row>
    <row r="48" spans="1:24" ht="11.25" customHeight="1" x14ac:dyDescent="0.25">
      <c r="A48" s="165"/>
      <c r="B48" s="165"/>
      <c r="C48" s="165"/>
      <c r="D48" s="165"/>
      <c r="E48" s="165"/>
      <c r="F48" s="165"/>
      <c r="G48" s="165"/>
      <c r="H48" s="165"/>
      <c r="I48" s="165"/>
      <c r="J48" s="165"/>
      <c r="K48" s="165"/>
      <c r="L48" s="165"/>
      <c r="M48" s="165"/>
      <c r="N48" s="165"/>
      <c r="O48" s="165"/>
      <c r="P48" s="165"/>
      <c r="Q48" s="165"/>
      <c r="R48" s="165"/>
      <c r="S48" s="165"/>
      <c r="T48" s="165"/>
      <c r="U48" s="165"/>
      <c r="V48" s="165"/>
      <c r="W48" s="165"/>
      <c r="X48" s="165"/>
    </row>
    <row r="49" spans="1:24" ht="11.25" customHeight="1" x14ac:dyDescent="0.25">
      <c r="A49" s="165"/>
      <c r="B49" s="165"/>
      <c r="C49" s="165"/>
      <c r="D49" s="165"/>
      <c r="E49" s="165"/>
      <c r="F49" s="165"/>
      <c r="G49" s="165"/>
      <c r="H49" s="165"/>
      <c r="I49" s="165"/>
      <c r="J49" s="165"/>
      <c r="K49" s="165"/>
      <c r="L49" s="165"/>
      <c r="M49" s="165"/>
      <c r="N49" s="165"/>
      <c r="O49" s="165"/>
      <c r="P49" s="165"/>
      <c r="Q49" s="165"/>
      <c r="R49" s="165"/>
      <c r="S49" s="165"/>
      <c r="T49" s="165"/>
      <c r="U49" s="165"/>
      <c r="V49" s="165"/>
      <c r="W49" s="165"/>
      <c r="X49" s="165"/>
    </row>
    <row r="50" spans="1:24" ht="11.25" customHeight="1" x14ac:dyDescent="0.25">
      <c r="A50" s="165"/>
      <c r="B50" s="165"/>
      <c r="C50" s="165"/>
      <c r="D50" s="165"/>
      <c r="E50" s="165"/>
      <c r="F50" s="165"/>
      <c r="G50" s="165"/>
      <c r="H50" s="165"/>
      <c r="I50" s="165"/>
      <c r="J50" s="165"/>
      <c r="K50" s="165"/>
      <c r="L50" s="165"/>
      <c r="M50" s="165"/>
      <c r="N50" s="165"/>
      <c r="O50" s="165"/>
      <c r="P50" s="165"/>
      <c r="Q50" s="165"/>
      <c r="R50" s="165"/>
      <c r="S50" s="165"/>
      <c r="T50" s="165"/>
      <c r="U50" s="165"/>
      <c r="V50" s="165"/>
      <c r="W50" s="165"/>
      <c r="X50" s="165"/>
    </row>
    <row r="51" spans="1:24" ht="11.25" customHeight="1" x14ac:dyDescent="0.25">
      <c r="A51" s="165"/>
      <c r="B51" s="165"/>
      <c r="C51" s="165"/>
      <c r="D51" s="165"/>
      <c r="E51" s="165"/>
      <c r="F51" s="165"/>
      <c r="G51" s="165"/>
      <c r="H51" s="165"/>
      <c r="I51" s="165"/>
      <c r="J51" s="165"/>
      <c r="K51" s="165"/>
      <c r="L51" s="165"/>
      <c r="M51" s="165"/>
      <c r="N51" s="165"/>
      <c r="O51" s="165"/>
      <c r="P51" s="165"/>
      <c r="Q51" s="165"/>
      <c r="R51" s="165"/>
      <c r="S51" s="165"/>
      <c r="T51" s="165"/>
      <c r="U51" s="165"/>
      <c r="V51" s="165"/>
      <c r="W51" s="165"/>
      <c r="X51" s="165"/>
    </row>
    <row r="52" spans="1:24" ht="11.25" customHeight="1" x14ac:dyDescent="0.25">
      <c r="A52" s="165"/>
      <c r="B52" s="165"/>
      <c r="C52" s="165"/>
      <c r="D52" s="165"/>
      <c r="E52" s="165"/>
      <c r="F52" s="165"/>
      <c r="G52" s="165"/>
      <c r="H52" s="165"/>
      <c r="I52" s="165"/>
      <c r="J52" s="165"/>
      <c r="K52" s="165"/>
      <c r="L52" s="165"/>
      <c r="M52" s="165"/>
      <c r="N52" s="165"/>
      <c r="O52" s="165"/>
      <c r="P52" s="165"/>
      <c r="Q52" s="165"/>
      <c r="R52" s="165"/>
      <c r="S52" s="165"/>
      <c r="T52" s="165"/>
      <c r="U52" s="165"/>
      <c r="V52" s="165"/>
      <c r="W52" s="165"/>
      <c r="X52" s="165"/>
    </row>
    <row r="53" spans="1:24" ht="11.25" customHeight="1" x14ac:dyDescent="0.25">
      <c r="A53" s="165"/>
      <c r="B53" s="165"/>
      <c r="C53" s="165"/>
      <c r="D53" s="165"/>
      <c r="E53" s="165"/>
      <c r="F53" s="165"/>
      <c r="G53" s="165"/>
      <c r="H53" s="165"/>
      <c r="I53" s="165"/>
      <c r="J53" s="165"/>
      <c r="K53" s="165"/>
      <c r="L53" s="165"/>
      <c r="M53" s="165"/>
      <c r="N53" s="165"/>
      <c r="O53" s="165"/>
      <c r="P53" s="165"/>
      <c r="Q53" s="165"/>
      <c r="R53" s="165"/>
      <c r="S53" s="165"/>
      <c r="T53" s="165"/>
      <c r="U53" s="165"/>
      <c r="V53" s="165"/>
      <c r="W53" s="165"/>
      <c r="X53" s="165"/>
    </row>
    <row r="54" spans="1:24" ht="11.25" customHeight="1" x14ac:dyDescent="0.25">
      <c r="A54" s="165"/>
      <c r="B54" s="165"/>
      <c r="C54" s="165"/>
      <c r="D54" s="165"/>
      <c r="E54" s="165"/>
      <c r="F54" s="165"/>
      <c r="G54" s="165"/>
      <c r="H54" s="165"/>
      <c r="I54" s="165"/>
      <c r="J54" s="165"/>
      <c r="K54" s="165"/>
      <c r="L54" s="165"/>
      <c r="M54" s="165"/>
      <c r="N54" s="165"/>
      <c r="O54" s="165"/>
      <c r="P54" s="165"/>
      <c r="Q54" s="165"/>
      <c r="R54" s="165"/>
      <c r="S54" s="165"/>
      <c r="T54" s="165"/>
      <c r="U54" s="165"/>
      <c r="V54" s="165"/>
      <c r="W54" s="165"/>
      <c r="X54" s="165"/>
    </row>
    <row r="55" spans="1:24" ht="11.25" customHeight="1" x14ac:dyDescent="0.25">
      <c r="A55" s="165"/>
      <c r="B55" s="165"/>
      <c r="C55" s="165"/>
      <c r="D55" s="165"/>
      <c r="E55" s="165"/>
      <c r="F55" s="165"/>
      <c r="G55" s="165"/>
      <c r="H55" s="165"/>
      <c r="I55" s="165"/>
      <c r="J55" s="165"/>
      <c r="K55" s="165"/>
      <c r="L55" s="165"/>
      <c r="M55" s="165"/>
      <c r="N55" s="165"/>
      <c r="O55" s="165"/>
      <c r="P55" s="165"/>
      <c r="Q55" s="165"/>
      <c r="R55" s="165"/>
      <c r="S55" s="165"/>
      <c r="T55" s="165"/>
      <c r="U55" s="165"/>
      <c r="V55" s="165"/>
      <c r="W55" s="165"/>
      <c r="X55" s="165"/>
    </row>
    <row r="56" spans="1:24" ht="11.25" customHeight="1" x14ac:dyDescent="0.25">
      <c r="A56" s="165"/>
      <c r="B56" s="165"/>
      <c r="C56" s="165"/>
      <c r="D56" s="165"/>
      <c r="E56" s="165"/>
      <c r="F56" s="165"/>
      <c r="G56" s="165"/>
      <c r="H56" s="165"/>
      <c r="I56" s="165"/>
      <c r="J56" s="165"/>
      <c r="K56" s="165"/>
      <c r="L56" s="165"/>
      <c r="M56" s="165"/>
      <c r="N56" s="165"/>
      <c r="O56" s="165"/>
      <c r="P56" s="165"/>
      <c r="Q56" s="165"/>
      <c r="R56" s="165"/>
      <c r="S56" s="165"/>
      <c r="T56" s="165"/>
      <c r="U56" s="165"/>
      <c r="V56" s="165"/>
      <c r="W56" s="165"/>
      <c r="X56" s="165"/>
    </row>
    <row r="57" spans="1:24" ht="11.25" customHeight="1" x14ac:dyDescent="0.25">
      <c r="A57" s="165"/>
      <c r="B57" s="165"/>
      <c r="C57" s="165"/>
      <c r="D57" s="165"/>
      <c r="E57" s="165"/>
      <c r="F57" s="165"/>
      <c r="G57" s="165"/>
      <c r="H57" s="165"/>
      <c r="I57" s="165"/>
      <c r="J57" s="165"/>
      <c r="K57" s="165"/>
      <c r="L57" s="165"/>
      <c r="M57" s="165"/>
      <c r="N57" s="165"/>
      <c r="O57" s="165"/>
      <c r="P57" s="165"/>
      <c r="Q57" s="165"/>
      <c r="R57" s="165"/>
      <c r="S57" s="165"/>
      <c r="T57" s="165"/>
      <c r="U57" s="165"/>
      <c r="V57" s="165"/>
      <c r="W57" s="165"/>
      <c r="X57" s="165"/>
    </row>
    <row r="58" spans="1:24" ht="11.25" customHeight="1" x14ac:dyDescent="0.25">
      <c r="A58" s="165"/>
      <c r="B58" s="165"/>
      <c r="C58" s="165"/>
      <c r="D58" s="165"/>
      <c r="E58" s="165"/>
      <c r="F58" s="165"/>
      <c r="G58" s="165"/>
      <c r="H58" s="165"/>
      <c r="I58" s="165"/>
      <c r="J58" s="165"/>
      <c r="K58" s="165"/>
      <c r="L58" s="165"/>
      <c r="M58" s="165"/>
      <c r="N58" s="165"/>
      <c r="O58" s="165"/>
      <c r="P58" s="165"/>
      <c r="Q58" s="165"/>
      <c r="R58" s="165"/>
      <c r="S58" s="165"/>
      <c r="T58" s="165"/>
      <c r="U58" s="165"/>
      <c r="V58" s="165"/>
      <c r="W58" s="165"/>
      <c r="X58" s="165"/>
    </row>
    <row r="59" spans="1:24" ht="11.25" customHeight="1" x14ac:dyDescent="0.25">
      <c r="A59" s="165"/>
      <c r="B59" s="165"/>
      <c r="C59" s="165"/>
      <c r="D59" s="165"/>
      <c r="E59" s="165"/>
      <c r="F59" s="165"/>
      <c r="G59" s="165"/>
      <c r="H59" s="165"/>
      <c r="I59" s="165"/>
      <c r="J59" s="165"/>
      <c r="K59" s="165"/>
      <c r="L59" s="165"/>
      <c r="M59" s="165"/>
      <c r="N59" s="165"/>
      <c r="O59" s="165"/>
      <c r="P59" s="165"/>
      <c r="Q59" s="165"/>
      <c r="R59" s="165"/>
      <c r="S59" s="165"/>
      <c r="T59" s="165"/>
      <c r="U59" s="165"/>
      <c r="V59" s="165"/>
      <c r="W59" s="165"/>
      <c r="X59" s="165"/>
    </row>
    <row r="60" spans="1:24" ht="11.25" customHeight="1" x14ac:dyDescent="0.25">
      <c r="A60" s="165"/>
      <c r="B60" s="165"/>
      <c r="C60" s="165"/>
      <c r="D60" s="165"/>
      <c r="E60" s="165"/>
      <c r="F60" s="165"/>
      <c r="G60" s="165"/>
      <c r="H60" s="165"/>
      <c r="I60" s="165"/>
      <c r="J60" s="165"/>
      <c r="K60" s="165"/>
      <c r="L60" s="165"/>
      <c r="M60" s="165"/>
      <c r="N60" s="165"/>
      <c r="O60" s="165"/>
      <c r="P60" s="165"/>
      <c r="Q60" s="165"/>
      <c r="R60" s="165"/>
      <c r="S60" s="165"/>
      <c r="T60" s="165"/>
      <c r="U60" s="165"/>
      <c r="V60" s="165"/>
      <c r="W60" s="165"/>
      <c r="X60" s="165"/>
    </row>
    <row r="61" spans="1:24" ht="11.25" customHeight="1" x14ac:dyDescent="0.25">
      <c r="A61" s="165"/>
      <c r="B61" s="165"/>
      <c r="C61" s="165"/>
      <c r="D61" s="165"/>
      <c r="E61" s="165"/>
      <c r="F61" s="165"/>
      <c r="G61" s="165"/>
      <c r="H61" s="165"/>
      <c r="I61" s="165"/>
      <c r="J61" s="165"/>
      <c r="K61" s="165"/>
      <c r="L61" s="165"/>
      <c r="M61" s="165"/>
      <c r="N61" s="165"/>
      <c r="O61" s="165"/>
      <c r="P61" s="165"/>
      <c r="Q61" s="165"/>
      <c r="R61" s="165"/>
      <c r="S61" s="165"/>
      <c r="T61" s="165"/>
      <c r="U61" s="165"/>
      <c r="V61" s="165"/>
      <c r="W61" s="165"/>
      <c r="X61" s="165"/>
    </row>
    <row r="62" spans="1:24" ht="11.25" customHeight="1" x14ac:dyDescent="0.25">
      <c r="A62" s="165"/>
      <c r="B62" s="165"/>
      <c r="C62" s="165"/>
      <c r="D62" s="165"/>
      <c r="E62" s="165"/>
      <c r="F62" s="165"/>
      <c r="G62" s="165"/>
      <c r="H62" s="165"/>
      <c r="I62" s="165"/>
      <c r="J62" s="165"/>
      <c r="K62" s="165"/>
      <c r="L62" s="165"/>
      <c r="M62" s="165"/>
      <c r="N62" s="165"/>
      <c r="O62" s="165"/>
      <c r="P62" s="165"/>
      <c r="Q62" s="165"/>
      <c r="R62" s="165"/>
      <c r="S62" s="165"/>
      <c r="T62" s="165"/>
      <c r="U62" s="165"/>
      <c r="V62" s="165"/>
      <c r="W62" s="165"/>
      <c r="X62" s="165"/>
    </row>
    <row r="63" spans="1:24" ht="11.25" customHeight="1" x14ac:dyDescent="0.25">
      <c r="A63" s="165"/>
      <c r="B63" s="165"/>
      <c r="C63" s="165"/>
      <c r="D63" s="165"/>
      <c r="E63" s="165"/>
      <c r="F63" s="165"/>
      <c r="G63" s="165"/>
      <c r="H63" s="165"/>
      <c r="I63" s="165"/>
      <c r="J63" s="165"/>
      <c r="K63" s="165"/>
      <c r="L63" s="165"/>
      <c r="M63" s="165"/>
      <c r="N63" s="165"/>
      <c r="O63" s="165"/>
      <c r="P63" s="165"/>
      <c r="Q63" s="165"/>
      <c r="R63" s="165"/>
      <c r="S63" s="165"/>
      <c r="T63" s="165"/>
      <c r="U63" s="165"/>
      <c r="V63" s="165"/>
      <c r="W63" s="165"/>
      <c r="X63" s="165"/>
    </row>
    <row r="64" spans="1:24" ht="11.25" customHeight="1" x14ac:dyDescent="0.25">
      <c r="A64" s="165"/>
      <c r="B64" s="165"/>
      <c r="C64" s="165"/>
      <c r="D64" s="165"/>
      <c r="E64" s="165"/>
      <c r="F64" s="165"/>
      <c r="G64" s="165"/>
      <c r="H64" s="165"/>
      <c r="I64" s="165"/>
      <c r="J64" s="165"/>
      <c r="K64" s="165"/>
      <c r="L64" s="165"/>
      <c r="M64" s="165"/>
      <c r="N64" s="165"/>
      <c r="O64" s="165"/>
      <c r="P64" s="165"/>
      <c r="Q64" s="165"/>
      <c r="R64" s="165"/>
      <c r="S64" s="165"/>
      <c r="T64" s="165"/>
      <c r="U64" s="165"/>
      <c r="V64" s="165"/>
      <c r="W64" s="165"/>
      <c r="X64" s="165"/>
    </row>
    <row r="65" spans="1:24" ht="11.25" customHeight="1" x14ac:dyDescent="0.25">
      <c r="A65" s="165"/>
      <c r="B65" s="165"/>
      <c r="C65" s="165"/>
      <c r="D65" s="165"/>
      <c r="E65" s="165"/>
      <c r="F65" s="165"/>
      <c r="G65" s="165"/>
      <c r="H65" s="165"/>
      <c r="I65" s="165"/>
      <c r="J65" s="165"/>
      <c r="K65" s="165"/>
      <c r="L65" s="165"/>
      <c r="M65" s="165"/>
      <c r="N65" s="165"/>
      <c r="O65" s="165"/>
      <c r="P65" s="165"/>
      <c r="Q65" s="165"/>
      <c r="R65" s="165"/>
      <c r="S65" s="165"/>
      <c r="T65" s="165"/>
      <c r="U65" s="165"/>
      <c r="V65" s="165"/>
      <c r="W65" s="165"/>
      <c r="X65" s="165"/>
    </row>
    <row r="66" spans="1:24" ht="11.25" customHeight="1" x14ac:dyDescent="0.25">
      <c r="A66" s="165"/>
      <c r="B66" s="165"/>
      <c r="C66" s="165"/>
      <c r="D66" s="165"/>
      <c r="E66" s="165"/>
      <c r="F66" s="165"/>
      <c r="G66" s="165"/>
      <c r="H66" s="165"/>
      <c r="I66" s="165"/>
      <c r="J66" s="165"/>
      <c r="K66" s="165"/>
      <c r="L66" s="165"/>
      <c r="M66" s="165"/>
      <c r="N66" s="165"/>
      <c r="O66" s="165"/>
      <c r="P66" s="165"/>
      <c r="Q66" s="165"/>
      <c r="R66" s="165"/>
      <c r="S66" s="165"/>
      <c r="T66" s="165"/>
      <c r="U66" s="165"/>
      <c r="V66" s="165"/>
      <c r="W66" s="165"/>
      <c r="X66" s="165"/>
    </row>
    <row r="67" spans="1:24" ht="11.25" customHeight="1" x14ac:dyDescent="0.25">
      <c r="A67" s="165"/>
      <c r="B67" s="165"/>
      <c r="C67" s="165"/>
      <c r="D67" s="165"/>
      <c r="E67" s="165"/>
      <c r="F67" s="165"/>
      <c r="G67" s="165"/>
      <c r="H67" s="165"/>
      <c r="I67" s="165"/>
      <c r="J67" s="165"/>
      <c r="K67" s="165"/>
      <c r="L67" s="165"/>
      <c r="M67" s="165"/>
      <c r="N67" s="165"/>
      <c r="O67" s="165"/>
      <c r="P67" s="165"/>
      <c r="Q67" s="165"/>
      <c r="R67" s="165"/>
      <c r="S67" s="165"/>
      <c r="T67" s="165"/>
      <c r="U67" s="165"/>
      <c r="V67" s="165"/>
      <c r="W67" s="165"/>
      <c r="X67" s="165"/>
    </row>
    <row r="68" spans="1:24" ht="11.25" customHeight="1" x14ac:dyDescent="0.25">
      <c r="A68" s="165"/>
      <c r="B68" s="165"/>
      <c r="C68" s="165"/>
      <c r="D68" s="165"/>
      <c r="E68" s="165"/>
      <c r="F68" s="165"/>
      <c r="G68" s="165"/>
      <c r="H68" s="165"/>
      <c r="I68" s="165"/>
      <c r="J68" s="165"/>
      <c r="K68" s="165"/>
      <c r="L68" s="165"/>
      <c r="M68" s="165"/>
      <c r="N68" s="165"/>
      <c r="O68" s="165"/>
      <c r="P68" s="165"/>
      <c r="Q68" s="165"/>
      <c r="R68" s="165"/>
      <c r="S68" s="165"/>
      <c r="T68" s="165"/>
      <c r="U68" s="165"/>
      <c r="V68" s="165"/>
      <c r="W68" s="165"/>
      <c r="X68" s="165"/>
    </row>
    <row r="69" spans="1:24" ht="11.25" customHeight="1" x14ac:dyDescent="0.25">
      <c r="A69" s="165"/>
      <c r="B69" s="165"/>
      <c r="C69" s="165"/>
      <c r="D69" s="165"/>
      <c r="E69" s="165"/>
      <c r="F69" s="165"/>
      <c r="G69" s="165"/>
      <c r="H69" s="165"/>
      <c r="I69" s="165"/>
      <c r="J69" s="165"/>
      <c r="K69" s="165"/>
      <c r="L69" s="165"/>
      <c r="M69" s="165"/>
      <c r="N69" s="165"/>
      <c r="O69" s="165"/>
      <c r="P69" s="165"/>
      <c r="Q69" s="165"/>
      <c r="R69" s="165"/>
      <c r="S69" s="165"/>
      <c r="T69" s="165"/>
      <c r="U69" s="165"/>
      <c r="V69" s="165"/>
      <c r="W69" s="165"/>
      <c r="X69" s="165"/>
    </row>
    <row r="70" spans="1:24" ht="11.25" customHeight="1" x14ac:dyDescent="0.25">
      <c r="A70" s="165"/>
      <c r="B70" s="165"/>
      <c r="C70" s="165"/>
      <c r="D70" s="165"/>
      <c r="E70" s="165"/>
      <c r="F70" s="165"/>
      <c r="G70" s="165"/>
      <c r="H70" s="165"/>
      <c r="I70" s="165"/>
      <c r="J70" s="165"/>
      <c r="K70" s="165"/>
      <c r="L70" s="165"/>
      <c r="M70" s="165"/>
      <c r="N70" s="165"/>
      <c r="O70" s="165"/>
      <c r="P70" s="165"/>
      <c r="Q70" s="165"/>
      <c r="R70" s="165"/>
      <c r="S70" s="165"/>
      <c r="T70" s="165"/>
      <c r="U70" s="165"/>
      <c r="V70" s="165"/>
      <c r="W70" s="165"/>
      <c r="X70" s="165"/>
    </row>
    <row r="71" spans="1:24" ht="11.25" customHeight="1" x14ac:dyDescent="0.25">
      <c r="A71" s="165"/>
      <c r="B71" s="165"/>
      <c r="C71" s="165"/>
      <c r="D71" s="165"/>
      <c r="E71" s="165"/>
      <c r="F71" s="165"/>
      <c r="G71" s="165"/>
      <c r="H71" s="165"/>
      <c r="I71" s="165"/>
      <c r="J71" s="165"/>
      <c r="K71" s="165"/>
      <c r="L71" s="165"/>
      <c r="M71" s="165"/>
      <c r="N71" s="165"/>
      <c r="O71" s="165"/>
      <c r="P71" s="165"/>
      <c r="Q71" s="165"/>
      <c r="R71" s="165"/>
      <c r="S71" s="165"/>
      <c r="T71" s="165"/>
      <c r="U71" s="165"/>
      <c r="V71" s="165"/>
      <c r="W71" s="165"/>
      <c r="X71" s="165"/>
    </row>
    <row r="72" spans="1:24" ht="11.25" customHeight="1" x14ac:dyDescent="0.25">
      <c r="A72" s="165"/>
      <c r="B72" s="165"/>
      <c r="C72" s="165"/>
      <c r="D72" s="165"/>
      <c r="E72" s="165"/>
      <c r="F72" s="165"/>
      <c r="G72" s="165"/>
      <c r="H72" s="165"/>
      <c r="I72" s="165"/>
      <c r="J72" s="165"/>
      <c r="K72" s="165"/>
      <c r="L72" s="165"/>
      <c r="M72" s="165"/>
      <c r="N72" s="165"/>
      <c r="O72" s="165"/>
      <c r="P72" s="165"/>
      <c r="Q72" s="165"/>
      <c r="R72" s="165"/>
      <c r="S72" s="165"/>
      <c r="T72" s="165"/>
      <c r="U72" s="165"/>
      <c r="V72" s="165"/>
      <c r="W72" s="165"/>
      <c r="X72" s="165"/>
    </row>
    <row r="73" spans="1:24" ht="11.25" customHeight="1" x14ac:dyDescent="0.25">
      <c r="A73" s="165"/>
      <c r="B73" s="165"/>
      <c r="C73" s="165"/>
      <c r="D73" s="165"/>
      <c r="E73" s="165"/>
      <c r="F73" s="165"/>
      <c r="G73" s="165"/>
      <c r="H73" s="165"/>
      <c r="I73" s="165"/>
      <c r="J73" s="165"/>
      <c r="K73" s="165"/>
      <c r="L73" s="165"/>
      <c r="M73" s="165"/>
      <c r="N73" s="165"/>
      <c r="O73" s="165"/>
      <c r="P73" s="165"/>
      <c r="Q73" s="165"/>
      <c r="R73" s="165"/>
      <c r="S73" s="165"/>
      <c r="T73" s="165"/>
      <c r="U73" s="165"/>
      <c r="V73" s="165"/>
      <c r="W73" s="165"/>
      <c r="X73" s="165"/>
    </row>
    <row r="74" spans="1:24" ht="11.25" customHeight="1" x14ac:dyDescent="0.25">
      <c r="A74" s="165"/>
      <c r="B74" s="165"/>
      <c r="C74" s="165"/>
      <c r="D74" s="165"/>
      <c r="E74" s="165"/>
      <c r="F74" s="165"/>
      <c r="G74" s="165"/>
      <c r="H74" s="165"/>
      <c r="I74" s="165"/>
      <c r="J74" s="165"/>
      <c r="K74" s="165"/>
      <c r="L74" s="165"/>
      <c r="M74" s="165"/>
      <c r="N74" s="165"/>
      <c r="O74" s="165"/>
      <c r="P74" s="165"/>
      <c r="Q74" s="165"/>
      <c r="R74" s="165"/>
      <c r="S74" s="165"/>
      <c r="T74" s="165"/>
      <c r="U74" s="165"/>
      <c r="V74" s="165"/>
      <c r="W74" s="165"/>
      <c r="X74" s="165"/>
    </row>
    <row r="75" spans="1:24" ht="11.25" customHeight="1" x14ac:dyDescent="0.25">
      <c r="A75" s="165"/>
      <c r="B75" s="165"/>
      <c r="C75" s="165"/>
      <c r="D75" s="165"/>
      <c r="E75" s="165"/>
      <c r="F75" s="165"/>
      <c r="G75" s="165"/>
      <c r="H75" s="165"/>
      <c r="I75" s="165"/>
      <c r="J75" s="165"/>
      <c r="K75" s="165"/>
      <c r="L75" s="165"/>
      <c r="M75" s="165"/>
      <c r="N75" s="165"/>
      <c r="O75" s="165"/>
      <c r="P75" s="165"/>
      <c r="Q75" s="165"/>
      <c r="R75" s="165"/>
      <c r="S75" s="165"/>
      <c r="T75" s="165"/>
      <c r="U75" s="165"/>
      <c r="V75" s="165"/>
      <c r="W75" s="165"/>
      <c r="X75" s="165"/>
    </row>
    <row r="76" spans="1:24" ht="11.25" customHeight="1" x14ac:dyDescent="0.25">
      <c r="A76" s="165"/>
      <c r="B76" s="165"/>
      <c r="C76" s="165"/>
      <c r="D76" s="165"/>
      <c r="E76" s="165"/>
      <c r="F76" s="165"/>
      <c r="G76" s="165"/>
      <c r="H76" s="165"/>
      <c r="I76" s="165"/>
      <c r="J76" s="165"/>
      <c r="K76" s="165"/>
      <c r="L76" s="165"/>
      <c r="M76" s="165"/>
      <c r="N76" s="165"/>
      <c r="O76" s="165"/>
      <c r="P76" s="165"/>
      <c r="Q76" s="165"/>
      <c r="R76" s="165"/>
      <c r="S76" s="165"/>
      <c r="T76" s="165"/>
      <c r="U76" s="165"/>
      <c r="V76" s="165"/>
      <c r="W76" s="165"/>
      <c r="X76" s="165"/>
    </row>
    <row r="77" spans="1:24" ht="11.25" customHeight="1" x14ac:dyDescent="0.25">
      <c r="A77" s="165"/>
      <c r="B77" s="165"/>
      <c r="C77" s="165"/>
      <c r="D77" s="165"/>
      <c r="E77" s="165"/>
      <c r="F77" s="165"/>
      <c r="G77" s="165"/>
      <c r="H77" s="165"/>
      <c r="I77" s="165"/>
      <c r="J77" s="165"/>
      <c r="K77" s="165"/>
      <c r="L77" s="165"/>
      <c r="M77" s="165"/>
      <c r="N77" s="165"/>
      <c r="O77" s="165"/>
      <c r="P77" s="165"/>
      <c r="Q77" s="165"/>
      <c r="R77" s="165"/>
      <c r="S77" s="165"/>
      <c r="T77" s="165"/>
      <c r="U77" s="165"/>
      <c r="V77" s="165"/>
      <c r="W77" s="165"/>
      <c r="X77" s="165"/>
    </row>
    <row r="78" spans="1:24" ht="11.25" customHeight="1" x14ac:dyDescent="0.25">
      <c r="A78" s="165"/>
      <c r="B78" s="165"/>
      <c r="C78" s="165"/>
      <c r="D78" s="165"/>
      <c r="E78" s="165"/>
      <c r="F78" s="165"/>
      <c r="G78" s="165"/>
      <c r="H78" s="165"/>
      <c r="I78" s="165"/>
      <c r="J78" s="165"/>
      <c r="K78" s="165"/>
      <c r="L78" s="165"/>
      <c r="M78" s="165"/>
      <c r="N78" s="165"/>
      <c r="O78" s="165"/>
      <c r="P78" s="165"/>
      <c r="Q78" s="165"/>
      <c r="R78" s="165"/>
      <c r="S78" s="165"/>
      <c r="T78" s="165"/>
      <c r="U78" s="165"/>
      <c r="V78" s="165"/>
      <c r="W78" s="165"/>
      <c r="X78" s="165"/>
    </row>
    <row r="79" spans="1:24" ht="11.25" customHeight="1" x14ac:dyDescent="0.25">
      <c r="A79" s="165"/>
      <c r="B79" s="165"/>
      <c r="C79" s="165"/>
      <c r="D79" s="165"/>
      <c r="E79" s="165"/>
      <c r="F79" s="165"/>
      <c r="G79" s="165"/>
      <c r="H79" s="165"/>
      <c r="I79" s="165"/>
      <c r="J79" s="165"/>
      <c r="K79" s="165"/>
      <c r="L79" s="165"/>
      <c r="M79" s="165"/>
      <c r="N79" s="165"/>
      <c r="O79" s="165"/>
      <c r="P79" s="165"/>
      <c r="Q79" s="165"/>
      <c r="R79" s="165"/>
      <c r="S79" s="165"/>
      <c r="T79" s="165"/>
      <c r="U79" s="165"/>
      <c r="V79" s="165"/>
      <c r="W79" s="165"/>
      <c r="X79" s="165"/>
    </row>
    <row r="80" spans="1:24" ht="11.25" customHeight="1" x14ac:dyDescent="0.25">
      <c r="A80" s="165"/>
      <c r="B80" s="165"/>
      <c r="C80" s="165"/>
      <c r="D80" s="165"/>
      <c r="E80" s="165"/>
      <c r="F80" s="165"/>
      <c r="G80" s="165"/>
      <c r="H80" s="165"/>
      <c r="I80" s="165"/>
      <c r="J80" s="165"/>
      <c r="K80" s="165"/>
      <c r="L80" s="165"/>
      <c r="M80" s="165"/>
      <c r="N80" s="165"/>
      <c r="O80" s="165"/>
      <c r="P80" s="165"/>
      <c r="Q80" s="165"/>
      <c r="R80" s="165"/>
      <c r="S80" s="165"/>
      <c r="T80" s="165"/>
      <c r="U80" s="165"/>
      <c r="V80" s="165"/>
      <c r="W80" s="165"/>
      <c r="X80" s="165"/>
    </row>
    <row r="81" spans="1:24" ht="11.25" customHeight="1" x14ac:dyDescent="0.25">
      <c r="A81" s="165"/>
      <c r="B81" s="165"/>
      <c r="C81" s="165"/>
      <c r="D81" s="165"/>
      <c r="E81" s="165"/>
      <c r="F81" s="165"/>
      <c r="G81" s="165"/>
      <c r="H81" s="165"/>
      <c r="I81" s="165"/>
      <c r="J81" s="165"/>
      <c r="K81" s="165"/>
      <c r="L81" s="165"/>
      <c r="M81" s="165"/>
      <c r="N81" s="165"/>
      <c r="O81" s="165"/>
      <c r="P81" s="165"/>
      <c r="Q81" s="165"/>
      <c r="R81" s="165"/>
      <c r="S81" s="165"/>
      <c r="T81" s="165"/>
      <c r="U81" s="165"/>
      <c r="V81" s="165"/>
      <c r="W81" s="165"/>
      <c r="X81" s="165"/>
    </row>
    <row r="82" spans="1:24" ht="11.25" customHeight="1" x14ac:dyDescent="0.25">
      <c r="A82" s="165"/>
      <c r="B82" s="165"/>
      <c r="C82" s="165"/>
      <c r="D82" s="165"/>
      <c r="E82" s="165"/>
      <c r="F82" s="165"/>
      <c r="G82" s="165"/>
      <c r="H82" s="165"/>
      <c r="I82" s="165"/>
      <c r="J82" s="165"/>
      <c r="K82" s="165"/>
      <c r="L82" s="165"/>
      <c r="M82" s="165"/>
      <c r="N82" s="165"/>
      <c r="O82" s="165"/>
      <c r="P82" s="165"/>
      <c r="Q82" s="165"/>
      <c r="R82" s="165"/>
      <c r="S82" s="165"/>
      <c r="T82" s="165"/>
      <c r="U82" s="165"/>
      <c r="V82" s="165"/>
      <c r="W82" s="165"/>
      <c r="X82" s="165"/>
    </row>
    <row r="83" spans="1:24" ht="11.25" customHeight="1" x14ac:dyDescent="0.25">
      <c r="A83" s="165"/>
      <c r="B83" s="165"/>
      <c r="C83" s="165"/>
      <c r="D83" s="165"/>
      <c r="E83" s="165"/>
      <c r="F83" s="165"/>
      <c r="G83" s="165"/>
      <c r="H83" s="165"/>
      <c r="I83" s="165"/>
      <c r="J83" s="165"/>
      <c r="K83" s="165"/>
      <c r="L83" s="165"/>
      <c r="M83" s="165"/>
      <c r="N83" s="165"/>
      <c r="O83" s="165"/>
      <c r="P83" s="165"/>
      <c r="Q83" s="165"/>
      <c r="R83" s="165"/>
      <c r="S83" s="165"/>
      <c r="T83" s="165"/>
      <c r="U83" s="165"/>
      <c r="V83" s="165"/>
      <c r="W83" s="165"/>
      <c r="X83" s="165"/>
    </row>
    <row r="84" spans="1:24" ht="11.25" customHeight="1" x14ac:dyDescent="0.25">
      <c r="A84" s="165"/>
      <c r="B84" s="165"/>
      <c r="C84" s="165"/>
      <c r="D84" s="165"/>
      <c r="E84" s="165"/>
      <c r="F84" s="165"/>
      <c r="G84" s="165"/>
      <c r="H84" s="165"/>
      <c r="I84" s="165"/>
      <c r="J84" s="165"/>
      <c r="K84" s="165"/>
      <c r="L84" s="165"/>
      <c r="M84" s="165"/>
      <c r="N84" s="165"/>
      <c r="O84" s="165"/>
      <c r="P84" s="165"/>
      <c r="Q84" s="165"/>
      <c r="R84" s="165"/>
      <c r="S84" s="165"/>
      <c r="T84" s="165"/>
      <c r="U84" s="165"/>
      <c r="V84" s="165"/>
      <c r="W84" s="165"/>
      <c r="X84" s="165"/>
    </row>
    <row r="85" spans="1:24" ht="11.25" customHeight="1" x14ac:dyDescent="0.25">
      <c r="A85" s="165"/>
      <c r="B85" s="165"/>
      <c r="C85" s="165"/>
      <c r="D85" s="165"/>
      <c r="E85" s="165"/>
      <c r="F85" s="165"/>
      <c r="G85" s="165"/>
      <c r="H85" s="165"/>
      <c r="I85" s="165"/>
      <c r="J85" s="165"/>
      <c r="K85" s="165"/>
      <c r="L85" s="165"/>
      <c r="M85" s="165"/>
      <c r="N85" s="165"/>
      <c r="O85" s="165"/>
      <c r="P85" s="165"/>
      <c r="Q85" s="165"/>
      <c r="R85" s="165"/>
      <c r="S85" s="165"/>
      <c r="T85" s="165"/>
      <c r="U85" s="165"/>
      <c r="V85" s="165"/>
      <c r="W85" s="165"/>
      <c r="X85" s="165"/>
    </row>
    <row r="86" spans="1:24" ht="11.25" customHeight="1" x14ac:dyDescent="0.25">
      <c r="A86" s="165"/>
      <c r="B86" s="165"/>
      <c r="C86" s="165"/>
      <c r="D86" s="165"/>
      <c r="E86" s="165"/>
      <c r="F86" s="165"/>
      <c r="G86" s="165"/>
      <c r="H86" s="165"/>
      <c r="I86" s="165"/>
      <c r="J86" s="165"/>
      <c r="K86" s="165"/>
      <c r="L86" s="165"/>
      <c r="M86" s="165"/>
      <c r="N86" s="165"/>
      <c r="O86" s="165"/>
      <c r="P86" s="165"/>
      <c r="Q86" s="165"/>
      <c r="R86" s="165"/>
      <c r="S86" s="165"/>
      <c r="T86" s="165"/>
      <c r="U86" s="165"/>
      <c r="V86" s="165"/>
      <c r="W86" s="165"/>
      <c r="X86" s="165"/>
    </row>
    <row r="87" spans="1:24" ht="11.25" customHeight="1" x14ac:dyDescent="0.25">
      <c r="A87" s="165"/>
      <c r="B87" s="165"/>
      <c r="C87" s="165"/>
      <c r="D87" s="165"/>
      <c r="E87" s="165"/>
      <c r="F87" s="165"/>
      <c r="G87" s="165"/>
      <c r="H87" s="165"/>
      <c r="I87" s="165"/>
      <c r="J87" s="165"/>
      <c r="K87" s="165"/>
      <c r="L87" s="165"/>
      <c r="M87" s="165"/>
      <c r="N87" s="165"/>
      <c r="O87" s="165"/>
      <c r="P87" s="165"/>
      <c r="Q87" s="165"/>
      <c r="R87" s="165"/>
      <c r="S87" s="165"/>
      <c r="T87" s="165"/>
      <c r="U87" s="165"/>
      <c r="V87" s="165"/>
      <c r="W87" s="165"/>
      <c r="X87" s="165"/>
    </row>
    <row r="88" spans="1:24" ht="11.25" customHeight="1" x14ac:dyDescent="0.25">
      <c r="A88" s="165"/>
      <c r="B88" s="165"/>
      <c r="C88" s="165"/>
      <c r="D88" s="165"/>
      <c r="E88" s="165"/>
      <c r="F88" s="165"/>
      <c r="G88" s="165"/>
      <c r="H88" s="165"/>
      <c r="I88" s="165"/>
      <c r="J88" s="165"/>
      <c r="K88" s="165"/>
      <c r="L88" s="165"/>
      <c r="M88" s="165"/>
      <c r="N88" s="165"/>
      <c r="O88" s="165"/>
      <c r="P88" s="165"/>
      <c r="Q88" s="165"/>
      <c r="R88" s="165"/>
      <c r="S88" s="165"/>
      <c r="T88" s="165"/>
      <c r="U88" s="165"/>
      <c r="V88" s="165"/>
      <c r="W88" s="165"/>
      <c r="X88" s="165"/>
    </row>
    <row r="89" spans="1:24" ht="11.25" customHeight="1" x14ac:dyDescent="0.25">
      <c r="A89" s="165"/>
      <c r="B89" s="165"/>
      <c r="C89" s="165"/>
      <c r="D89" s="165"/>
      <c r="E89" s="165"/>
      <c r="F89" s="165"/>
      <c r="G89" s="165"/>
      <c r="H89" s="165"/>
      <c r="I89" s="165"/>
      <c r="J89" s="165"/>
      <c r="K89" s="165"/>
      <c r="L89" s="165"/>
      <c r="M89" s="165"/>
      <c r="N89" s="165"/>
      <c r="O89" s="165"/>
      <c r="P89" s="165"/>
      <c r="Q89" s="165"/>
      <c r="R89" s="165"/>
      <c r="S89" s="165"/>
      <c r="T89" s="165"/>
      <c r="U89" s="165"/>
      <c r="V89" s="165"/>
      <c r="W89" s="165"/>
      <c r="X89" s="165"/>
    </row>
    <row r="90" spans="1:24" ht="11.25" customHeight="1" x14ac:dyDescent="0.25">
      <c r="A90" s="165"/>
      <c r="B90" s="165"/>
      <c r="C90" s="165"/>
      <c r="D90" s="165"/>
      <c r="E90" s="165"/>
      <c r="F90" s="165"/>
      <c r="G90" s="165"/>
      <c r="H90" s="165"/>
      <c r="I90" s="165"/>
      <c r="J90" s="165"/>
      <c r="K90" s="165"/>
      <c r="L90" s="165"/>
      <c r="M90" s="165"/>
      <c r="N90" s="165"/>
      <c r="O90" s="165"/>
      <c r="P90" s="165"/>
      <c r="Q90" s="165"/>
      <c r="R90" s="165"/>
      <c r="S90" s="165"/>
      <c r="T90" s="165"/>
      <c r="U90" s="165"/>
      <c r="V90" s="165"/>
      <c r="W90" s="165"/>
      <c r="X90" s="165"/>
    </row>
    <row r="91" spans="1:24" ht="11.25" customHeight="1" x14ac:dyDescent="0.25">
      <c r="A91" s="165"/>
      <c r="B91" s="165"/>
      <c r="C91" s="165"/>
      <c r="D91" s="165"/>
      <c r="E91" s="165"/>
      <c r="F91" s="165"/>
      <c r="G91" s="165"/>
      <c r="H91" s="165"/>
      <c r="I91" s="165"/>
      <c r="J91" s="165"/>
      <c r="K91" s="165"/>
      <c r="L91" s="165"/>
      <c r="M91" s="165"/>
      <c r="N91" s="165"/>
      <c r="O91" s="165"/>
      <c r="P91" s="165"/>
      <c r="Q91" s="165"/>
      <c r="R91" s="165"/>
      <c r="S91" s="165"/>
      <c r="T91" s="165"/>
      <c r="U91" s="165"/>
      <c r="V91" s="165"/>
      <c r="W91" s="165"/>
      <c r="X91" s="165"/>
    </row>
    <row r="92" spans="1:24" ht="11.25" customHeight="1" x14ac:dyDescent="0.25">
      <c r="A92" s="165"/>
      <c r="B92" s="165"/>
      <c r="C92" s="165"/>
      <c r="D92" s="165"/>
      <c r="E92" s="165"/>
      <c r="F92" s="165"/>
      <c r="G92" s="165"/>
      <c r="H92" s="165"/>
      <c r="I92" s="165"/>
      <c r="J92" s="165"/>
      <c r="K92" s="165"/>
      <c r="L92" s="165"/>
      <c r="M92" s="165"/>
      <c r="N92" s="165"/>
      <c r="O92" s="165"/>
      <c r="P92" s="165"/>
      <c r="Q92" s="165"/>
      <c r="R92" s="165"/>
      <c r="S92" s="165"/>
      <c r="T92" s="165"/>
      <c r="U92" s="165"/>
      <c r="V92" s="165"/>
      <c r="W92" s="165"/>
      <c r="X92" s="165"/>
    </row>
    <row r="93" spans="1:24" ht="11.25" customHeight="1" x14ac:dyDescent="0.25">
      <c r="A93" s="165"/>
      <c r="B93" s="165"/>
      <c r="C93" s="165"/>
      <c r="D93" s="165"/>
      <c r="E93" s="165"/>
      <c r="F93" s="165"/>
      <c r="G93" s="165"/>
      <c r="H93" s="165"/>
      <c r="I93" s="165"/>
      <c r="J93" s="165"/>
      <c r="K93" s="165"/>
      <c r="L93" s="165"/>
      <c r="M93" s="165"/>
      <c r="N93" s="165"/>
      <c r="O93" s="165"/>
      <c r="P93" s="165"/>
      <c r="Q93" s="165"/>
      <c r="R93" s="165"/>
      <c r="S93" s="165"/>
      <c r="T93" s="165"/>
      <c r="U93" s="165"/>
      <c r="V93" s="165"/>
      <c r="W93" s="165"/>
      <c r="X93" s="165"/>
    </row>
    <row r="94" spans="1:24" ht="11.25" customHeight="1" x14ac:dyDescent="0.25">
      <c r="A94" s="165"/>
      <c r="B94" s="165"/>
      <c r="C94" s="165"/>
      <c r="D94" s="165"/>
      <c r="E94" s="165"/>
      <c r="F94" s="165"/>
      <c r="G94" s="165"/>
      <c r="H94" s="165"/>
      <c r="I94" s="165"/>
      <c r="J94" s="165"/>
      <c r="K94" s="165"/>
      <c r="L94" s="165"/>
      <c r="M94" s="165"/>
      <c r="N94" s="165"/>
      <c r="O94" s="165"/>
      <c r="P94" s="165"/>
      <c r="Q94" s="165"/>
      <c r="R94" s="165"/>
      <c r="S94" s="165"/>
      <c r="T94" s="165"/>
      <c r="U94" s="165"/>
      <c r="V94" s="165"/>
      <c r="W94" s="165"/>
      <c r="X94" s="165"/>
    </row>
    <row r="95" spans="1:24" ht="11.25" customHeight="1" x14ac:dyDescent="0.25">
      <c r="A95" s="165"/>
      <c r="B95" s="165"/>
      <c r="C95" s="165"/>
      <c r="D95" s="165"/>
      <c r="E95" s="165"/>
      <c r="F95" s="165"/>
      <c r="G95" s="165"/>
      <c r="H95" s="165"/>
      <c r="I95" s="165"/>
      <c r="J95" s="165"/>
      <c r="K95" s="165"/>
      <c r="L95" s="165"/>
      <c r="M95" s="165"/>
      <c r="N95" s="165"/>
      <c r="O95" s="165"/>
      <c r="P95" s="165"/>
      <c r="Q95" s="165"/>
      <c r="R95" s="165"/>
      <c r="S95" s="165"/>
      <c r="T95" s="165"/>
      <c r="U95" s="165"/>
      <c r="V95" s="165"/>
      <c r="W95" s="165"/>
      <c r="X95" s="165"/>
    </row>
    <row r="96" spans="1:24" ht="11.25" customHeight="1" x14ac:dyDescent="0.25">
      <c r="A96" s="165"/>
      <c r="B96" s="165"/>
      <c r="C96" s="165"/>
      <c r="D96" s="165"/>
      <c r="E96" s="165"/>
      <c r="F96" s="165"/>
      <c r="G96" s="165"/>
      <c r="H96" s="165"/>
      <c r="I96" s="165"/>
      <c r="J96" s="165"/>
      <c r="K96" s="165"/>
      <c r="L96" s="165"/>
      <c r="M96" s="165"/>
      <c r="N96" s="165"/>
      <c r="O96" s="165"/>
      <c r="P96" s="165"/>
      <c r="Q96" s="165"/>
      <c r="R96" s="165"/>
      <c r="S96" s="165"/>
      <c r="T96" s="165"/>
      <c r="U96" s="165"/>
      <c r="V96" s="165"/>
      <c r="W96" s="165"/>
      <c r="X96" s="165"/>
    </row>
    <row r="97" spans="1:24" ht="11.25" customHeight="1" x14ac:dyDescent="0.25">
      <c r="A97" s="165"/>
      <c r="B97" s="165"/>
      <c r="C97" s="165"/>
      <c r="D97" s="165"/>
      <c r="E97" s="165"/>
      <c r="F97" s="165"/>
      <c r="G97" s="165"/>
      <c r="H97" s="165"/>
      <c r="I97" s="165"/>
      <c r="J97" s="165"/>
      <c r="K97" s="165"/>
      <c r="L97" s="165"/>
      <c r="M97" s="165"/>
      <c r="N97" s="165"/>
      <c r="O97" s="165"/>
      <c r="P97" s="165"/>
      <c r="Q97" s="165"/>
      <c r="R97" s="165"/>
      <c r="S97" s="165"/>
      <c r="T97" s="165"/>
      <c r="U97" s="165"/>
      <c r="V97" s="165"/>
      <c r="W97" s="165"/>
      <c r="X97" s="165"/>
    </row>
    <row r="98" spans="1:24" ht="11.25" customHeight="1" x14ac:dyDescent="0.25">
      <c r="A98" s="165"/>
      <c r="B98" s="165"/>
      <c r="C98" s="165"/>
      <c r="D98" s="165"/>
      <c r="E98" s="165"/>
      <c r="F98" s="165"/>
      <c r="G98" s="165"/>
      <c r="H98" s="165"/>
      <c r="I98" s="165"/>
      <c r="J98" s="165"/>
      <c r="K98" s="165"/>
      <c r="L98" s="165"/>
      <c r="M98" s="165"/>
      <c r="N98" s="165"/>
      <c r="O98" s="165"/>
      <c r="P98" s="165"/>
      <c r="Q98" s="165"/>
      <c r="R98" s="165"/>
      <c r="S98" s="165"/>
      <c r="T98" s="165"/>
      <c r="U98" s="165"/>
      <c r="V98" s="165"/>
      <c r="W98" s="165"/>
      <c r="X98" s="165"/>
    </row>
    <row r="99" spans="1:24" ht="11.25" customHeight="1" x14ac:dyDescent="0.25">
      <c r="A99" s="165"/>
      <c r="B99" s="165"/>
      <c r="C99" s="165"/>
      <c r="D99" s="165"/>
      <c r="E99" s="165"/>
      <c r="F99" s="165"/>
      <c r="G99" s="165"/>
      <c r="H99" s="165"/>
      <c r="I99" s="165"/>
      <c r="J99" s="165"/>
      <c r="K99" s="165"/>
      <c r="L99" s="165"/>
      <c r="M99" s="165"/>
      <c r="N99" s="165"/>
      <c r="O99" s="165"/>
      <c r="P99" s="165"/>
      <c r="Q99" s="165"/>
      <c r="R99" s="165"/>
      <c r="S99" s="165"/>
      <c r="T99" s="165"/>
      <c r="U99" s="165"/>
      <c r="V99" s="165"/>
      <c r="W99" s="165"/>
      <c r="X99" s="165"/>
    </row>
    <row r="100" spans="1:24" ht="11.25" customHeight="1" x14ac:dyDescent="0.25">
      <c r="A100" s="165"/>
      <c r="B100" s="165"/>
      <c r="C100" s="165"/>
      <c r="D100" s="165"/>
      <c r="E100" s="165"/>
      <c r="F100" s="165"/>
      <c r="G100" s="165"/>
      <c r="H100" s="165"/>
      <c r="I100" s="165"/>
      <c r="J100" s="165"/>
      <c r="K100" s="165"/>
      <c r="L100" s="165"/>
      <c r="M100" s="165"/>
      <c r="N100" s="165"/>
      <c r="O100" s="165"/>
      <c r="P100" s="165"/>
      <c r="Q100" s="165"/>
      <c r="R100" s="165"/>
      <c r="S100" s="165"/>
      <c r="T100" s="165"/>
      <c r="U100" s="165"/>
      <c r="V100" s="165"/>
      <c r="W100" s="165"/>
      <c r="X100" s="165"/>
    </row>
    <row r="101" spans="1:24" ht="11.25" customHeight="1" x14ac:dyDescent="0.25">
      <c r="A101" s="165"/>
      <c r="B101" s="165"/>
      <c r="C101" s="165"/>
      <c r="D101" s="165"/>
      <c r="E101" s="165"/>
      <c r="F101" s="165"/>
      <c r="G101" s="165"/>
      <c r="H101" s="165"/>
      <c r="I101" s="165"/>
      <c r="J101" s="165"/>
      <c r="K101" s="165"/>
      <c r="L101" s="165"/>
      <c r="M101" s="165"/>
      <c r="N101" s="165"/>
      <c r="O101" s="165"/>
      <c r="P101" s="165"/>
      <c r="Q101" s="165"/>
      <c r="R101" s="165"/>
      <c r="S101" s="165"/>
      <c r="T101" s="165"/>
      <c r="U101" s="165"/>
      <c r="V101" s="165"/>
      <c r="W101" s="165"/>
      <c r="X101" s="165"/>
    </row>
    <row r="102" spans="1:24" ht="11.25" customHeight="1" x14ac:dyDescent="0.25">
      <c r="A102" s="165"/>
      <c r="B102" s="165"/>
      <c r="C102" s="165"/>
      <c r="D102" s="165"/>
      <c r="E102" s="165"/>
      <c r="F102" s="165"/>
      <c r="G102" s="165"/>
      <c r="H102" s="165"/>
      <c r="I102" s="165"/>
      <c r="J102" s="165"/>
      <c r="K102" s="165"/>
      <c r="L102" s="165"/>
      <c r="M102" s="165"/>
      <c r="N102" s="165"/>
      <c r="O102" s="165"/>
      <c r="P102" s="165"/>
      <c r="Q102" s="165"/>
      <c r="R102" s="165"/>
      <c r="S102" s="165"/>
      <c r="T102" s="165"/>
      <c r="U102" s="165"/>
      <c r="V102" s="165"/>
      <c r="W102" s="165"/>
      <c r="X102" s="165"/>
    </row>
    <row r="103" spans="1:24" ht="11.25" customHeight="1" x14ac:dyDescent="0.25">
      <c r="A103" s="165"/>
      <c r="B103" s="165"/>
      <c r="C103" s="165"/>
      <c r="D103" s="165"/>
      <c r="E103" s="165"/>
      <c r="F103" s="165"/>
      <c r="G103" s="165"/>
      <c r="H103" s="165"/>
      <c r="I103" s="165"/>
      <c r="J103" s="165"/>
      <c r="K103" s="165"/>
      <c r="L103" s="165"/>
      <c r="M103" s="165"/>
      <c r="N103" s="165"/>
      <c r="O103" s="165"/>
      <c r="P103" s="165"/>
      <c r="Q103" s="165"/>
      <c r="R103" s="165"/>
      <c r="S103" s="165"/>
      <c r="T103" s="165"/>
      <c r="U103" s="165"/>
      <c r="V103" s="165"/>
      <c r="W103" s="165"/>
      <c r="X103" s="165"/>
    </row>
    <row r="104" spans="1:24" ht="11.25" customHeight="1" x14ac:dyDescent="0.25">
      <c r="A104" s="165"/>
      <c r="B104" s="165"/>
      <c r="C104" s="165"/>
      <c r="D104" s="165"/>
      <c r="E104" s="165"/>
      <c r="F104" s="165"/>
      <c r="G104" s="165"/>
      <c r="H104" s="165"/>
      <c r="I104" s="165"/>
      <c r="J104" s="165"/>
      <c r="K104" s="165"/>
      <c r="L104" s="165"/>
      <c r="M104" s="165"/>
      <c r="N104" s="165"/>
      <c r="O104" s="165"/>
      <c r="P104" s="165"/>
      <c r="Q104" s="165"/>
      <c r="R104" s="165"/>
      <c r="S104" s="165"/>
      <c r="T104" s="165"/>
      <c r="U104" s="165"/>
      <c r="V104" s="165"/>
      <c r="W104" s="165"/>
      <c r="X104" s="165"/>
    </row>
    <row r="105" spans="1:24" ht="11.25" customHeight="1" x14ac:dyDescent="0.25">
      <c r="A105" s="165"/>
      <c r="B105" s="165"/>
      <c r="C105" s="165"/>
      <c r="D105" s="165"/>
      <c r="E105" s="165"/>
      <c r="F105" s="165"/>
      <c r="G105" s="165"/>
      <c r="H105" s="165"/>
      <c r="I105" s="165"/>
      <c r="J105" s="165"/>
      <c r="K105" s="165"/>
      <c r="L105" s="165"/>
      <c r="M105" s="165"/>
      <c r="N105" s="165"/>
      <c r="O105" s="165"/>
      <c r="P105" s="165"/>
      <c r="Q105" s="165"/>
      <c r="R105" s="165"/>
      <c r="S105" s="165"/>
      <c r="T105" s="165"/>
      <c r="U105" s="165"/>
      <c r="V105" s="165"/>
      <c r="W105" s="165"/>
      <c r="X105" s="165"/>
    </row>
    <row r="106" spans="1:24" ht="11.25" customHeight="1" x14ac:dyDescent="0.25">
      <c r="A106" s="165"/>
      <c r="B106" s="165"/>
      <c r="C106" s="165"/>
      <c r="D106" s="165"/>
      <c r="E106" s="165"/>
      <c r="F106" s="165"/>
      <c r="G106" s="165"/>
      <c r="H106" s="165"/>
      <c r="I106" s="165"/>
      <c r="J106" s="165"/>
      <c r="K106" s="165"/>
      <c r="L106" s="165"/>
      <c r="M106" s="165"/>
      <c r="N106" s="165"/>
      <c r="O106" s="165"/>
      <c r="P106" s="165"/>
      <c r="Q106" s="165"/>
      <c r="R106" s="165"/>
      <c r="S106" s="165"/>
      <c r="T106" s="165"/>
      <c r="U106" s="165"/>
      <c r="V106" s="165"/>
      <c r="W106" s="165"/>
      <c r="X106" s="165"/>
    </row>
    <row r="107" spans="1:24" ht="11.25" customHeight="1" x14ac:dyDescent="0.25">
      <c r="A107" s="165"/>
      <c r="B107" s="165"/>
      <c r="C107" s="165"/>
      <c r="D107" s="165"/>
      <c r="E107" s="165"/>
      <c r="F107" s="165"/>
      <c r="G107" s="165"/>
      <c r="H107" s="165"/>
      <c r="I107" s="165"/>
      <c r="J107" s="165"/>
      <c r="K107" s="165"/>
      <c r="L107" s="165"/>
      <c r="M107" s="165"/>
      <c r="N107" s="165"/>
      <c r="O107" s="165"/>
      <c r="P107" s="165"/>
      <c r="Q107" s="165"/>
      <c r="R107" s="165"/>
      <c r="S107" s="165"/>
      <c r="T107" s="165"/>
      <c r="U107" s="165"/>
      <c r="V107" s="165"/>
      <c r="W107" s="165"/>
      <c r="X107" s="165"/>
    </row>
    <row r="108" spans="1:24" ht="11.25" customHeight="1" x14ac:dyDescent="0.25">
      <c r="A108" s="165"/>
      <c r="B108" s="165"/>
      <c r="C108" s="165"/>
      <c r="D108" s="165"/>
      <c r="E108" s="165"/>
      <c r="F108" s="165"/>
      <c r="G108" s="165"/>
      <c r="H108" s="165"/>
      <c r="I108" s="165"/>
      <c r="J108" s="165"/>
      <c r="K108" s="165"/>
      <c r="L108" s="165"/>
      <c r="M108" s="165"/>
      <c r="N108" s="165"/>
      <c r="O108" s="165"/>
      <c r="P108" s="165"/>
      <c r="Q108" s="165"/>
      <c r="R108" s="165"/>
      <c r="S108" s="165"/>
      <c r="T108" s="165"/>
      <c r="U108" s="165"/>
      <c r="V108" s="165"/>
      <c r="W108" s="165"/>
      <c r="X108" s="165"/>
    </row>
    <row r="109" spans="1:24" ht="11.25" customHeight="1" x14ac:dyDescent="0.25">
      <c r="A109" s="165"/>
      <c r="B109" s="165"/>
      <c r="C109" s="165"/>
      <c r="D109" s="165"/>
      <c r="E109" s="165"/>
      <c r="F109" s="165"/>
      <c r="G109" s="165"/>
      <c r="H109" s="165"/>
      <c r="I109" s="165"/>
      <c r="J109" s="165"/>
      <c r="K109" s="165"/>
      <c r="L109" s="165"/>
      <c r="M109" s="165"/>
      <c r="N109" s="165"/>
      <c r="O109" s="165"/>
      <c r="P109" s="165"/>
      <c r="Q109" s="165"/>
      <c r="R109" s="165"/>
      <c r="S109" s="165"/>
      <c r="T109" s="165"/>
      <c r="U109" s="165"/>
      <c r="V109" s="165"/>
      <c r="W109" s="165"/>
      <c r="X109" s="165"/>
    </row>
    <row r="110" spans="1:24" ht="11.25" customHeight="1" x14ac:dyDescent="0.25">
      <c r="A110" s="165"/>
      <c r="B110" s="165"/>
      <c r="C110" s="165"/>
      <c r="D110" s="165"/>
      <c r="E110" s="165"/>
      <c r="F110" s="165"/>
      <c r="G110" s="165"/>
      <c r="H110" s="165"/>
      <c r="I110" s="165"/>
      <c r="J110" s="165"/>
      <c r="K110" s="165"/>
      <c r="L110" s="165"/>
      <c r="M110" s="165"/>
      <c r="N110" s="165"/>
      <c r="O110" s="165"/>
      <c r="P110" s="165"/>
      <c r="Q110" s="165"/>
      <c r="R110" s="165"/>
      <c r="S110" s="165"/>
      <c r="T110" s="165"/>
      <c r="U110" s="165"/>
      <c r="V110" s="165"/>
      <c r="W110" s="165"/>
      <c r="X110" s="165"/>
    </row>
    <row r="111" spans="1:24" ht="11.25" customHeight="1" x14ac:dyDescent="0.25">
      <c r="A111" s="165"/>
      <c r="B111" s="165"/>
      <c r="C111" s="165"/>
      <c r="D111" s="165"/>
      <c r="E111" s="165"/>
      <c r="F111" s="165"/>
      <c r="G111" s="165"/>
      <c r="H111" s="165"/>
      <c r="I111" s="165"/>
      <c r="J111" s="165"/>
      <c r="K111" s="165"/>
      <c r="L111" s="165"/>
      <c r="M111" s="165"/>
      <c r="N111" s="165"/>
      <c r="O111" s="165"/>
      <c r="P111" s="165"/>
      <c r="Q111" s="165"/>
      <c r="R111" s="165"/>
      <c r="S111" s="165"/>
      <c r="T111" s="165"/>
      <c r="U111" s="165"/>
      <c r="V111" s="165"/>
      <c r="W111" s="165"/>
      <c r="X111" s="165"/>
    </row>
    <row r="112" spans="1:24" ht="11.25" customHeight="1" x14ac:dyDescent="0.25">
      <c r="A112" s="165"/>
      <c r="B112" s="165"/>
      <c r="C112" s="165"/>
      <c r="D112" s="165"/>
      <c r="E112" s="165"/>
      <c r="F112" s="165"/>
      <c r="G112" s="165"/>
      <c r="H112" s="165"/>
      <c r="I112" s="165"/>
      <c r="J112" s="165"/>
      <c r="K112" s="165"/>
      <c r="L112" s="165"/>
      <c r="M112" s="165"/>
      <c r="N112" s="165"/>
      <c r="O112" s="165"/>
      <c r="P112" s="165"/>
      <c r="Q112" s="165"/>
      <c r="R112" s="165"/>
      <c r="S112" s="165"/>
      <c r="T112" s="165"/>
      <c r="U112" s="165"/>
      <c r="V112" s="165"/>
      <c r="W112" s="165"/>
      <c r="X112" s="165"/>
    </row>
    <row r="113" spans="1:24" ht="11.25" customHeight="1" x14ac:dyDescent="0.25">
      <c r="A113" s="165"/>
      <c r="B113" s="165"/>
      <c r="C113" s="165"/>
      <c r="D113" s="165"/>
      <c r="E113" s="165"/>
      <c r="F113" s="165"/>
      <c r="G113" s="165"/>
      <c r="H113" s="165"/>
      <c r="I113" s="165"/>
      <c r="J113" s="165"/>
      <c r="K113" s="165"/>
      <c r="L113" s="165"/>
      <c r="M113" s="165"/>
      <c r="N113" s="165"/>
      <c r="O113" s="165"/>
      <c r="P113" s="165"/>
      <c r="Q113" s="165"/>
      <c r="R113" s="165"/>
      <c r="S113" s="165"/>
      <c r="T113" s="165"/>
      <c r="U113" s="165"/>
      <c r="V113" s="165"/>
      <c r="W113" s="165"/>
      <c r="X113" s="165"/>
    </row>
    <row r="114" spans="1:24" ht="11.25" customHeight="1" x14ac:dyDescent="0.25">
      <c r="A114" s="165"/>
      <c r="B114" s="165"/>
      <c r="C114" s="165"/>
      <c r="D114" s="165"/>
      <c r="E114" s="165"/>
      <c r="F114" s="165"/>
      <c r="G114" s="165"/>
      <c r="H114" s="165"/>
      <c r="I114" s="165"/>
      <c r="J114" s="165"/>
      <c r="K114" s="165"/>
      <c r="L114" s="165"/>
      <c r="M114" s="165"/>
      <c r="N114" s="165"/>
      <c r="O114" s="165"/>
      <c r="P114" s="165"/>
      <c r="Q114" s="165"/>
      <c r="R114" s="165"/>
      <c r="S114" s="165"/>
      <c r="T114" s="165"/>
      <c r="U114" s="165"/>
      <c r="V114" s="165"/>
      <c r="W114" s="165"/>
      <c r="X114" s="165"/>
    </row>
    <row r="115" spans="1:24" ht="11.25" customHeight="1" x14ac:dyDescent="0.25">
      <c r="A115" s="165"/>
      <c r="B115" s="165"/>
      <c r="C115" s="165"/>
      <c r="D115" s="165"/>
      <c r="E115" s="165"/>
      <c r="F115" s="165"/>
      <c r="G115" s="165"/>
      <c r="H115" s="165"/>
      <c r="I115" s="165"/>
      <c r="J115" s="165"/>
      <c r="K115" s="165"/>
      <c r="L115" s="165"/>
      <c r="M115" s="165"/>
      <c r="N115" s="165"/>
      <c r="O115" s="165"/>
      <c r="P115" s="165"/>
      <c r="Q115" s="165"/>
      <c r="R115" s="165"/>
      <c r="S115" s="165"/>
      <c r="T115" s="165"/>
      <c r="U115" s="165"/>
      <c r="V115" s="165"/>
      <c r="W115" s="165"/>
      <c r="X115" s="165"/>
    </row>
    <row r="116" spans="1:24" ht="11.25" customHeight="1" x14ac:dyDescent="0.25">
      <c r="A116" s="165"/>
      <c r="B116" s="165"/>
      <c r="C116" s="165"/>
      <c r="D116" s="165"/>
      <c r="E116" s="165"/>
      <c r="F116" s="165"/>
      <c r="G116" s="165"/>
      <c r="H116" s="165"/>
      <c r="I116" s="165"/>
      <c r="J116" s="165"/>
      <c r="K116" s="165"/>
      <c r="L116" s="165"/>
      <c r="M116" s="165"/>
      <c r="N116" s="165"/>
      <c r="O116" s="165"/>
      <c r="P116" s="165"/>
      <c r="Q116" s="165"/>
      <c r="R116" s="165"/>
      <c r="S116" s="165"/>
      <c r="T116" s="165"/>
      <c r="U116" s="165"/>
      <c r="V116" s="165"/>
      <c r="W116" s="165"/>
      <c r="X116" s="165"/>
    </row>
    <row r="117" spans="1:24" ht="11.25" customHeight="1" x14ac:dyDescent="0.25">
      <c r="A117" s="165"/>
      <c r="B117" s="165"/>
      <c r="C117" s="165"/>
      <c r="D117" s="165"/>
      <c r="E117" s="165"/>
      <c r="F117" s="165"/>
      <c r="G117" s="165"/>
      <c r="H117" s="165"/>
      <c r="I117" s="165"/>
      <c r="J117" s="165"/>
      <c r="K117" s="165"/>
      <c r="L117" s="165"/>
      <c r="M117" s="165"/>
      <c r="N117" s="165"/>
      <c r="O117" s="165"/>
      <c r="P117" s="165"/>
      <c r="Q117" s="165"/>
      <c r="R117" s="165"/>
      <c r="S117" s="165"/>
      <c r="T117" s="165"/>
      <c r="U117" s="165"/>
      <c r="V117" s="165"/>
      <c r="W117" s="165"/>
      <c r="X117" s="165"/>
    </row>
    <row r="118" spans="1:24" ht="11.25" customHeight="1" x14ac:dyDescent="0.25">
      <c r="A118" s="165"/>
      <c r="B118" s="165"/>
      <c r="C118" s="165"/>
      <c r="D118" s="165"/>
      <c r="E118" s="165"/>
      <c r="F118" s="165"/>
      <c r="G118" s="165"/>
      <c r="H118" s="165"/>
      <c r="I118" s="165"/>
      <c r="J118" s="165"/>
      <c r="K118" s="165"/>
      <c r="L118" s="165"/>
      <c r="M118" s="165"/>
      <c r="N118" s="165"/>
      <c r="O118" s="165"/>
      <c r="P118" s="165"/>
      <c r="Q118" s="165"/>
      <c r="R118" s="165"/>
      <c r="S118" s="165"/>
      <c r="T118" s="165"/>
      <c r="U118" s="165"/>
      <c r="V118" s="165"/>
      <c r="W118" s="165"/>
      <c r="X118" s="165"/>
    </row>
    <row r="119" spans="1:24" ht="11.25" customHeight="1" x14ac:dyDescent="0.25">
      <c r="A119" s="165"/>
      <c r="B119" s="165"/>
      <c r="C119" s="165"/>
      <c r="D119" s="165"/>
      <c r="E119" s="165"/>
      <c r="F119" s="165"/>
      <c r="G119" s="165"/>
      <c r="H119" s="165"/>
      <c r="I119" s="165"/>
      <c r="J119" s="165"/>
      <c r="K119" s="165"/>
      <c r="L119" s="165"/>
      <c r="M119" s="165"/>
      <c r="N119" s="165"/>
      <c r="O119" s="165"/>
      <c r="P119" s="165"/>
      <c r="Q119" s="165"/>
      <c r="R119" s="165"/>
      <c r="S119" s="165"/>
      <c r="T119" s="165"/>
      <c r="U119" s="165"/>
      <c r="V119" s="165"/>
      <c r="W119" s="165"/>
      <c r="X119" s="165"/>
    </row>
    <row r="120" spans="1:24" ht="11.25" customHeight="1" x14ac:dyDescent="0.25">
      <c r="A120" s="165"/>
      <c r="B120" s="165"/>
      <c r="C120" s="165"/>
      <c r="D120" s="165"/>
      <c r="E120" s="165"/>
      <c r="F120" s="165"/>
      <c r="G120" s="165"/>
      <c r="H120" s="165"/>
      <c r="I120" s="165"/>
      <c r="J120" s="165"/>
      <c r="K120" s="165"/>
      <c r="L120" s="165"/>
      <c r="M120" s="165"/>
      <c r="N120" s="165"/>
      <c r="O120" s="165"/>
      <c r="P120" s="165"/>
      <c r="Q120" s="165"/>
      <c r="R120" s="165"/>
      <c r="S120" s="165"/>
      <c r="T120" s="165"/>
      <c r="U120" s="165"/>
      <c r="V120" s="165"/>
      <c r="W120" s="165"/>
      <c r="X120" s="165"/>
    </row>
    <row r="121" spans="1:24" ht="11.25" customHeight="1" x14ac:dyDescent="0.25">
      <c r="A121" s="165"/>
      <c r="B121" s="165"/>
      <c r="C121" s="165"/>
      <c r="D121" s="165"/>
      <c r="E121" s="165"/>
      <c r="F121" s="165"/>
      <c r="G121" s="165"/>
      <c r="H121" s="165"/>
      <c r="I121" s="165"/>
      <c r="J121" s="165"/>
      <c r="K121" s="165"/>
      <c r="L121" s="165"/>
      <c r="M121" s="165"/>
      <c r="N121" s="165"/>
      <c r="O121" s="165"/>
      <c r="P121" s="165"/>
      <c r="Q121" s="165"/>
      <c r="R121" s="165"/>
      <c r="S121" s="165"/>
      <c r="T121" s="165"/>
      <c r="U121" s="165"/>
      <c r="V121" s="165"/>
      <c r="W121" s="165"/>
      <c r="X121" s="165"/>
    </row>
    <row r="122" spans="1:24" ht="11.25" customHeight="1" x14ac:dyDescent="0.25">
      <c r="A122" s="165"/>
      <c r="B122" s="165"/>
      <c r="C122" s="165"/>
      <c r="D122" s="165"/>
      <c r="E122" s="165"/>
      <c r="F122" s="165"/>
      <c r="G122" s="165"/>
      <c r="H122" s="165"/>
      <c r="I122" s="165"/>
      <c r="J122" s="165"/>
      <c r="K122" s="165"/>
      <c r="L122" s="165"/>
      <c r="M122" s="165"/>
      <c r="N122" s="165"/>
      <c r="O122" s="165"/>
      <c r="P122" s="165"/>
      <c r="Q122" s="165"/>
      <c r="R122" s="165"/>
      <c r="S122" s="165"/>
      <c r="T122" s="165"/>
      <c r="U122" s="165"/>
      <c r="V122" s="165"/>
      <c r="W122" s="165"/>
      <c r="X122" s="165"/>
    </row>
    <row r="123" spans="1:24" ht="11.25" customHeight="1" x14ac:dyDescent="0.25">
      <c r="A123" s="165"/>
      <c r="B123" s="165"/>
      <c r="C123" s="165"/>
      <c r="D123" s="165"/>
      <c r="E123" s="165"/>
      <c r="F123" s="165"/>
      <c r="G123" s="165"/>
      <c r="H123" s="165"/>
      <c r="I123" s="165"/>
      <c r="J123" s="165"/>
      <c r="K123" s="165"/>
      <c r="L123" s="165"/>
      <c r="M123" s="165"/>
      <c r="N123" s="165"/>
      <c r="O123" s="165"/>
      <c r="P123" s="165"/>
      <c r="Q123" s="165"/>
      <c r="R123" s="165"/>
      <c r="S123" s="165"/>
      <c r="T123" s="165"/>
      <c r="U123" s="165"/>
      <c r="V123" s="165"/>
      <c r="W123" s="165"/>
      <c r="X123" s="165"/>
    </row>
    <row r="124" spans="1:24" ht="11.25" customHeight="1" x14ac:dyDescent="0.25">
      <c r="A124" s="165"/>
      <c r="B124" s="165"/>
      <c r="C124" s="165"/>
      <c r="D124" s="165"/>
      <c r="E124" s="165"/>
      <c r="F124" s="165"/>
      <c r="G124" s="165"/>
      <c r="H124" s="165"/>
      <c r="I124" s="165"/>
      <c r="J124" s="165"/>
      <c r="K124" s="165"/>
      <c r="L124" s="165"/>
      <c r="M124" s="165"/>
      <c r="N124" s="165"/>
      <c r="O124" s="165"/>
      <c r="P124" s="165"/>
      <c r="Q124" s="165"/>
      <c r="R124" s="165"/>
      <c r="S124" s="165"/>
      <c r="T124" s="165"/>
      <c r="U124" s="165"/>
      <c r="V124" s="165"/>
      <c r="W124" s="165"/>
      <c r="X124" s="165"/>
    </row>
    <row r="125" spans="1:24" ht="11.25" customHeight="1" x14ac:dyDescent="0.25">
      <c r="A125" s="165"/>
      <c r="B125" s="165"/>
      <c r="C125" s="165"/>
      <c r="D125" s="165"/>
      <c r="E125" s="165"/>
      <c r="F125" s="165"/>
      <c r="G125" s="165"/>
      <c r="H125" s="165"/>
      <c r="I125" s="165"/>
      <c r="J125" s="165"/>
      <c r="K125" s="165"/>
      <c r="L125" s="165"/>
      <c r="M125" s="165"/>
      <c r="N125" s="165"/>
      <c r="O125" s="165"/>
      <c r="P125" s="165"/>
      <c r="Q125" s="165"/>
      <c r="R125" s="165"/>
      <c r="S125" s="165"/>
      <c r="T125" s="165"/>
      <c r="U125" s="165"/>
      <c r="V125" s="165"/>
      <c r="W125" s="165"/>
      <c r="X125" s="165"/>
    </row>
    <row r="126" spans="1:24" ht="11.25" customHeight="1" x14ac:dyDescent="0.25">
      <c r="A126" s="165"/>
      <c r="B126" s="165"/>
      <c r="C126" s="165"/>
      <c r="D126" s="165"/>
      <c r="E126" s="165"/>
      <c r="F126" s="165"/>
      <c r="G126" s="165"/>
      <c r="H126" s="165"/>
      <c r="I126" s="165"/>
      <c r="J126" s="165"/>
      <c r="K126" s="165"/>
      <c r="L126" s="165"/>
      <c r="M126" s="165"/>
      <c r="N126" s="165"/>
      <c r="O126" s="165"/>
      <c r="P126" s="165"/>
      <c r="Q126" s="165"/>
      <c r="R126" s="165"/>
      <c r="S126" s="165"/>
      <c r="T126" s="165"/>
      <c r="U126" s="165"/>
      <c r="V126" s="165"/>
      <c r="W126" s="165"/>
      <c r="X126" s="165"/>
    </row>
    <row r="127" spans="1:24" ht="11.25" customHeight="1" x14ac:dyDescent="0.25">
      <c r="A127" s="165"/>
      <c r="B127" s="165"/>
      <c r="C127" s="165"/>
      <c r="D127" s="165"/>
      <c r="E127" s="165"/>
      <c r="F127" s="165"/>
      <c r="G127" s="165"/>
      <c r="H127" s="165"/>
      <c r="I127" s="165"/>
      <c r="J127" s="165"/>
      <c r="K127" s="165"/>
      <c r="L127" s="165"/>
      <c r="M127" s="165"/>
      <c r="N127" s="165"/>
      <c r="O127" s="165"/>
      <c r="P127" s="165"/>
      <c r="Q127" s="165"/>
      <c r="R127" s="165"/>
      <c r="S127" s="165"/>
      <c r="T127" s="165"/>
      <c r="U127" s="165"/>
      <c r="V127" s="165"/>
      <c r="W127" s="165"/>
      <c r="X127" s="165"/>
    </row>
    <row r="128" spans="1:24" ht="11.25" customHeight="1" x14ac:dyDescent="0.25">
      <c r="A128" s="165"/>
      <c r="B128" s="165"/>
      <c r="C128" s="165"/>
      <c r="D128" s="165"/>
      <c r="E128" s="165"/>
      <c r="F128" s="165"/>
      <c r="G128" s="165"/>
      <c r="H128" s="165"/>
      <c r="I128" s="165"/>
      <c r="J128" s="165"/>
      <c r="K128" s="165"/>
      <c r="L128" s="165"/>
      <c r="M128" s="165"/>
      <c r="N128" s="165"/>
      <c r="O128" s="165"/>
      <c r="P128" s="165"/>
      <c r="Q128" s="165"/>
      <c r="R128" s="165"/>
      <c r="S128" s="165"/>
      <c r="T128" s="165"/>
      <c r="U128" s="165"/>
      <c r="V128" s="165"/>
      <c r="W128" s="165"/>
      <c r="X128" s="165"/>
    </row>
    <row r="129" spans="1:24" ht="11.25" customHeight="1" x14ac:dyDescent="0.25">
      <c r="A129" s="165"/>
      <c r="B129" s="165"/>
      <c r="C129" s="165"/>
      <c r="D129" s="165"/>
      <c r="E129" s="165"/>
      <c r="F129" s="165"/>
      <c r="G129" s="165"/>
      <c r="H129" s="165"/>
      <c r="I129" s="165"/>
      <c r="J129" s="165"/>
      <c r="K129" s="165"/>
      <c r="L129" s="165"/>
      <c r="M129" s="165"/>
      <c r="N129" s="165"/>
      <c r="O129" s="165"/>
      <c r="P129" s="165"/>
      <c r="Q129" s="165"/>
      <c r="R129" s="165"/>
      <c r="S129" s="165"/>
      <c r="T129" s="165"/>
      <c r="U129" s="165"/>
      <c r="V129" s="165"/>
      <c r="W129" s="165"/>
      <c r="X129" s="165"/>
    </row>
    <row r="130" spans="1:24" ht="11.25" customHeight="1" x14ac:dyDescent="0.25">
      <c r="A130" s="165"/>
      <c r="B130" s="165"/>
      <c r="C130" s="165"/>
      <c r="D130" s="165"/>
      <c r="E130" s="165"/>
      <c r="F130" s="165"/>
      <c r="G130" s="165"/>
      <c r="H130" s="165"/>
      <c r="I130" s="165"/>
      <c r="J130" s="165"/>
      <c r="K130" s="165"/>
      <c r="L130" s="165"/>
      <c r="M130" s="165"/>
      <c r="N130" s="165"/>
      <c r="O130" s="165"/>
      <c r="P130" s="165"/>
      <c r="Q130" s="165"/>
      <c r="R130" s="165"/>
      <c r="S130" s="165"/>
      <c r="T130" s="165"/>
      <c r="U130" s="165"/>
      <c r="V130" s="165"/>
      <c r="W130" s="165"/>
      <c r="X130" s="165"/>
    </row>
    <row r="131" spans="1:24" ht="11.25" customHeight="1" x14ac:dyDescent="0.25">
      <c r="A131" s="165"/>
      <c r="B131" s="165"/>
      <c r="C131" s="165"/>
      <c r="D131" s="165"/>
      <c r="E131" s="165"/>
      <c r="F131" s="165"/>
      <c r="G131" s="165"/>
      <c r="H131" s="165"/>
      <c r="I131" s="165"/>
      <c r="J131" s="165"/>
      <c r="K131" s="165"/>
      <c r="L131" s="165"/>
      <c r="M131" s="165"/>
      <c r="N131" s="165"/>
      <c r="O131" s="165"/>
      <c r="P131" s="165"/>
      <c r="Q131" s="165"/>
      <c r="R131" s="165"/>
      <c r="S131" s="165"/>
      <c r="T131" s="165"/>
      <c r="U131" s="165"/>
      <c r="V131" s="165"/>
      <c r="W131" s="165"/>
      <c r="X131" s="165"/>
    </row>
    <row r="132" spans="1:24" ht="11.25" customHeight="1" x14ac:dyDescent="0.25">
      <c r="A132" s="165"/>
      <c r="B132" s="165"/>
      <c r="C132" s="165"/>
      <c r="D132" s="165"/>
      <c r="E132" s="165"/>
      <c r="F132" s="165"/>
      <c r="G132" s="165"/>
      <c r="H132" s="165"/>
      <c r="I132" s="165"/>
      <c r="J132" s="165"/>
      <c r="K132" s="165"/>
      <c r="L132" s="165"/>
      <c r="M132" s="165"/>
      <c r="N132" s="165"/>
      <c r="O132" s="165"/>
      <c r="P132" s="165"/>
      <c r="Q132" s="165"/>
      <c r="R132" s="165"/>
      <c r="S132" s="165"/>
      <c r="T132" s="165"/>
      <c r="U132" s="165"/>
      <c r="V132" s="165"/>
      <c r="W132" s="165"/>
      <c r="X132" s="165"/>
    </row>
    <row r="133" spans="1:24" ht="11.25" customHeight="1" x14ac:dyDescent="0.25">
      <c r="A133" s="165"/>
      <c r="B133" s="165"/>
      <c r="C133" s="165"/>
      <c r="D133" s="165"/>
      <c r="E133" s="165"/>
      <c r="F133" s="165"/>
      <c r="G133" s="165"/>
      <c r="H133" s="165"/>
      <c r="I133" s="165"/>
      <c r="J133" s="165"/>
      <c r="K133" s="165"/>
      <c r="L133" s="165"/>
      <c r="M133" s="165"/>
      <c r="N133" s="165"/>
      <c r="O133" s="165"/>
      <c r="P133" s="165"/>
      <c r="Q133" s="165"/>
      <c r="R133" s="165"/>
      <c r="S133" s="165"/>
      <c r="T133" s="165"/>
      <c r="U133" s="165"/>
      <c r="V133" s="165"/>
      <c r="W133" s="165"/>
      <c r="X133" s="165"/>
    </row>
    <row r="134" spans="1:24" ht="11.25" customHeight="1" x14ac:dyDescent="0.25">
      <c r="A134" s="165"/>
      <c r="B134" s="165"/>
      <c r="C134" s="165"/>
      <c r="D134" s="165"/>
      <c r="E134" s="165"/>
      <c r="F134" s="165"/>
      <c r="G134" s="165"/>
      <c r="H134" s="165"/>
      <c r="I134" s="165"/>
      <c r="J134" s="165"/>
      <c r="K134" s="165"/>
      <c r="L134" s="165"/>
      <c r="M134" s="165"/>
      <c r="N134" s="165"/>
      <c r="O134" s="165"/>
      <c r="P134" s="165"/>
      <c r="Q134" s="165"/>
      <c r="R134" s="165"/>
      <c r="S134" s="165"/>
      <c r="T134" s="165"/>
      <c r="U134" s="165"/>
      <c r="V134" s="165"/>
      <c r="W134" s="165"/>
      <c r="X134" s="165"/>
    </row>
    <row r="135" spans="1:24" ht="11.25" customHeight="1" x14ac:dyDescent="0.25">
      <c r="A135" s="165"/>
      <c r="B135" s="165"/>
      <c r="C135" s="165"/>
      <c r="D135" s="165"/>
      <c r="E135" s="165"/>
      <c r="F135" s="165"/>
      <c r="G135" s="165"/>
      <c r="H135" s="165"/>
      <c r="I135" s="165"/>
      <c r="J135" s="165"/>
      <c r="K135" s="165"/>
      <c r="L135" s="165"/>
      <c r="M135" s="165"/>
      <c r="N135" s="165"/>
      <c r="O135" s="165"/>
      <c r="P135" s="165"/>
      <c r="Q135" s="165"/>
      <c r="R135" s="165"/>
      <c r="S135" s="165"/>
      <c r="T135" s="165"/>
      <c r="U135" s="165"/>
      <c r="V135" s="165"/>
      <c r="W135" s="165"/>
      <c r="X135" s="165"/>
    </row>
    <row r="136" spans="1:24" ht="11.25" customHeight="1" x14ac:dyDescent="0.25">
      <c r="A136" s="165"/>
      <c r="B136" s="165"/>
      <c r="C136" s="165"/>
      <c r="D136" s="165"/>
      <c r="E136" s="165"/>
      <c r="F136" s="165"/>
      <c r="G136" s="165"/>
      <c r="H136" s="165"/>
      <c r="I136" s="165"/>
      <c r="J136" s="165"/>
      <c r="K136" s="165"/>
      <c r="L136" s="165"/>
      <c r="M136" s="165"/>
      <c r="N136" s="165"/>
      <c r="O136" s="165"/>
      <c r="P136" s="165"/>
      <c r="Q136" s="165"/>
      <c r="R136" s="165"/>
      <c r="S136" s="165"/>
      <c r="T136" s="165"/>
      <c r="U136" s="165"/>
      <c r="V136" s="165"/>
      <c r="W136" s="165"/>
      <c r="X136" s="165"/>
    </row>
    <row r="137" spans="1:24" ht="11.25" customHeight="1" x14ac:dyDescent="0.25">
      <c r="A137" s="165"/>
      <c r="B137" s="165"/>
      <c r="C137" s="165"/>
      <c r="D137" s="165"/>
      <c r="E137" s="165"/>
      <c r="F137" s="165"/>
      <c r="G137" s="165"/>
      <c r="H137" s="165"/>
      <c r="I137" s="165"/>
      <c r="J137" s="165"/>
      <c r="K137" s="165"/>
      <c r="L137" s="165"/>
      <c r="M137" s="165"/>
      <c r="N137" s="165"/>
      <c r="O137" s="165"/>
      <c r="P137" s="165"/>
      <c r="Q137" s="165"/>
      <c r="R137" s="165"/>
      <c r="S137" s="165"/>
      <c r="T137" s="165"/>
      <c r="U137" s="165"/>
      <c r="V137" s="165"/>
      <c r="W137" s="165"/>
      <c r="X137" s="165"/>
    </row>
    <row r="138" spans="1:24" ht="11.25" customHeight="1" x14ac:dyDescent="0.25">
      <c r="A138" s="165"/>
      <c r="B138" s="165"/>
      <c r="C138" s="165"/>
      <c r="D138" s="165"/>
      <c r="E138" s="165"/>
      <c r="F138" s="165"/>
      <c r="G138" s="165"/>
      <c r="H138" s="165"/>
      <c r="I138" s="165"/>
      <c r="J138" s="165"/>
      <c r="K138" s="165"/>
      <c r="L138" s="165"/>
      <c r="M138" s="165"/>
      <c r="N138" s="165"/>
      <c r="O138" s="165"/>
      <c r="P138" s="165"/>
      <c r="Q138" s="165"/>
      <c r="R138" s="165"/>
      <c r="S138" s="165"/>
      <c r="T138" s="165"/>
      <c r="U138" s="165"/>
      <c r="V138" s="165"/>
      <c r="W138" s="165"/>
      <c r="X138" s="165"/>
    </row>
    <row r="139" spans="1:24" ht="11.25" customHeight="1" x14ac:dyDescent="0.25">
      <c r="A139" s="165"/>
      <c r="B139" s="165"/>
      <c r="C139" s="165"/>
      <c r="D139" s="165"/>
      <c r="E139" s="165"/>
      <c r="F139" s="165"/>
      <c r="G139" s="165"/>
      <c r="H139" s="165"/>
      <c r="I139" s="165"/>
      <c r="J139" s="165"/>
      <c r="K139" s="165"/>
      <c r="L139" s="165"/>
      <c r="M139" s="165"/>
      <c r="N139" s="165"/>
      <c r="O139" s="165"/>
      <c r="P139" s="165"/>
      <c r="Q139" s="165"/>
      <c r="R139" s="165"/>
      <c r="S139" s="165"/>
      <c r="T139" s="165"/>
      <c r="U139" s="165"/>
      <c r="V139" s="165"/>
      <c r="W139" s="165"/>
      <c r="X139" s="165"/>
    </row>
    <row r="140" spans="1:24" ht="11.25" customHeight="1" x14ac:dyDescent="0.25">
      <c r="A140" s="165"/>
      <c r="B140" s="165"/>
      <c r="C140" s="165"/>
      <c r="D140" s="165"/>
      <c r="E140" s="165"/>
      <c r="F140" s="165"/>
      <c r="G140" s="165"/>
      <c r="H140" s="165"/>
      <c r="I140" s="165"/>
      <c r="J140" s="165"/>
      <c r="K140" s="165"/>
      <c r="L140" s="165"/>
      <c r="M140" s="165"/>
      <c r="N140" s="165"/>
      <c r="O140" s="165"/>
      <c r="P140" s="165"/>
      <c r="Q140" s="165"/>
      <c r="R140" s="165"/>
      <c r="S140" s="165"/>
      <c r="T140" s="165"/>
      <c r="U140" s="165"/>
      <c r="V140" s="165"/>
      <c r="W140" s="165"/>
      <c r="X140" s="165"/>
    </row>
    <row r="141" spans="1:24" ht="11.25" customHeight="1" x14ac:dyDescent="0.25">
      <c r="A141" s="165"/>
      <c r="B141" s="165"/>
      <c r="C141" s="165"/>
      <c r="D141" s="165"/>
      <c r="E141" s="165"/>
      <c r="F141" s="165"/>
      <c r="G141" s="165"/>
      <c r="H141" s="165"/>
      <c r="I141" s="165"/>
      <c r="J141" s="165"/>
      <c r="K141" s="165"/>
      <c r="L141" s="165"/>
      <c r="M141" s="165"/>
      <c r="N141" s="165"/>
      <c r="O141" s="165"/>
      <c r="P141" s="165"/>
      <c r="Q141" s="165"/>
      <c r="R141" s="165"/>
      <c r="S141" s="165"/>
      <c r="T141" s="165"/>
      <c r="U141" s="165"/>
      <c r="V141" s="165"/>
      <c r="W141" s="165"/>
      <c r="X141" s="165"/>
    </row>
    <row r="142" spans="1:24" ht="11.25" customHeight="1" x14ac:dyDescent="0.25">
      <c r="A142" s="165"/>
      <c r="B142" s="165"/>
      <c r="C142" s="165"/>
      <c r="D142" s="165"/>
      <c r="E142" s="165"/>
      <c r="F142" s="165"/>
      <c r="G142" s="165"/>
      <c r="H142" s="165"/>
      <c r="I142" s="165"/>
      <c r="J142" s="165"/>
      <c r="K142" s="165"/>
      <c r="L142" s="165"/>
      <c r="M142" s="165"/>
      <c r="N142" s="165"/>
      <c r="O142" s="165"/>
      <c r="P142" s="165"/>
      <c r="Q142" s="165"/>
      <c r="R142" s="165"/>
      <c r="S142" s="165"/>
      <c r="T142" s="165"/>
      <c r="U142" s="165"/>
      <c r="V142" s="165"/>
      <c r="W142" s="165"/>
      <c r="X142" s="165"/>
    </row>
    <row r="143" spans="1:24" ht="11.25" customHeight="1" x14ac:dyDescent="0.25">
      <c r="A143" s="165"/>
      <c r="B143" s="165"/>
      <c r="C143" s="165"/>
      <c r="D143" s="165"/>
      <c r="E143" s="165"/>
      <c r="F143" s="165"/>
      <c r="G143" s="165"/>
      <c r="H143" s="165"/>
      <c r="I143" s="165"/>
      <c r="J143" s="165"/>
      <c r="K143" s="165"/>
      <c r="L143" s="165"/>
      <c r="M143" s="165"/>
      <c r="N143" s="165"/>
      <c r="O143" s="165"/>
      <c r="P143" s="165"/>
      <c r="Q143" s="165"/>
      <c r="R143" s="165"/>
      <c r="S143" s="165"/>
      <c r="T143" s="165"/>
      <c r="U143" s="165"/>
      <c r="V143" s="165"/>
      <c r="W143" s="165"/>
      <c r="X143" s="165"/>
    </row>
    <row r="144" spans="1:24" ht="11.25" customHeight="1" x14ac:dyDescent="0.25">
      <c r="A144" s="165"/>
      <c r="B144" s="165"/>
      <c r="C144" s="165"/>
      <c r="D144" s="165"/>
      <c r="E144" s="165"/>
      <c r="F144" s="165"/>
      <c r="G144" s="165"/>
      <c r="H144" s="165"/>
      <c r="I144" s="165"/>
      <c r="J144" s="165"/>
      <c r="K144" s="165"/>
      <c r="L144" s="165"/>
      <c r="M144" s="165"/>
      <c r="N144" s="165"/>
      <c r="O144" s="165"/>
      <c r="P144" s="165"/>
      <c r="Q144" s="165"/>
      <c r="R144" s="165"/>
      <c r="S144" s="165"/>
      <c r="T144" s="165"/>
      <c r="U144" s="165"/>
      <c r="V144" s="165"/>
      <c r="W144" s="165"/>
      <c r="X144" s="165"/>
    </row>
    <row r="145" spans="1:24" ht="11.25" customHeight="1" x14ac:dyDescent="0.25">
      <c r="A145" s="165"/>
      <c r="B145" s="165"/>
      <c r="C145" s="165"/>
      <c r="D145" s="165"/>
      <c r="E145" s="165"/>
      <c r="F145" s="165"/>
      <c r="G145" s="165"/>
      <c r="H145" s="165"/>
      <c r="I145" s="165"/>
      <c r="J145" s="165"/>
      <c r="K145" s="165"/>
      <c r="L145" s="165"/>
      <c r="M145" s="165"/>
      <c r="N145" s="165"/>
      <c r="O145" s="165"/>
      <c r="P145" s="165"/>
      <c r="Q145" s="165"/>
      <c r="R145" s="165"/>
      <c r="S145" s="165"/>
      <c r="T145" s="165"/>
      <c r="U145" s="165"/>
      <c r="V145" s="165"/>
      <c r="W145" s="165"/>
      <c r="X145" s="165"/>
    </row>
    <row r="146" spans="1:24" ht="11.25" customHeight="1" x14ac:dyDescent="0.25">
      <c r="A146" s="165"/>
      <c r="B146" s="165"/>
      <c r="C146" s="165"/>
      <c r="D146" s="165"/>
      <c r="E146" s="165"/>
      <c r="F146" s="165"/>
      <c r="G146" s="165"/>
      <c r="H146" s="165"/>
      <c r="I146" s="165"/>
      <c r="J146" s="165"/>
      <c r="K146" s="165"/>
      <c r="L146" s="165"/>
      <c r="M146" s="165"/>
      <c r="N146" s="165"/>
      <c r="O146" s="165"/>
      <c r="P146" s="165"/>
      <c r="Q146" s="165"/>
      <c r="R146" s="165"/>
      <c r="S146" s="165"/>
      <c r="T146" s="165"/>
      <c r="U146" s="165"/>
      <c r="V146" s="165"/>
      <c r="W146" s="165"/>
      <c r="X146" s="165"/>
    </row>
    <row r="147" spans="1:24" ht="11.25" customHeight="1" x14ac:dyDescent="0.25">
      <c r="A147" s="165"/>
      <c r="B147" s="165"/>
      <c r="C147" s="165"/>
      <c r="D147" s="165"/>
      <c r="E147" s="165"/>
      <c r="F147" s="165"/>
      <c r="G147" s="165"/>
      <c r="H147" s="165"/>
      <c r="I147" s="165"/>
      <c r="J147" s="165"/>
      <c r="K147" s="165"/>
      <c r="L147" s="165"/>
      <c r="M147" s="165"/>
      <c r="N147" s="165"/>
      <c r="O147" s="165"/>
      <c r="P147" s="165"/>
      <c r="Q147" s="165"/>
      <c r="R147" s="165"/>
      <c r="S147" s="165"/>
      <c r="T147" s="165"/>
      <c r="U147" s="165"/>
      <c r="V147" s="165"/>
      <c r="W147" s="165"/>
      <c r="X147" s="165"/>
    </row>
    <row r="148" spans="1:24" ht="11.25" customHeight="1" x14ac:dyDescent="0.25">
      <c r="A148" s="165"/>
      <c r="B148" s="165"/>
      <c r="C148" s="165"/>
      <c r="D148" s="165"/>
      <c r="E148" s="165"/>
      <c r="F148" s="165"/>
      <c r="G148" s="165"/>
      <c r="H148" s="165"/>
      <c r="I148" s="165"/>
      <c r="J148" s="165"/>
      <c r="K148" s="165"/>
      <c r="L148" s="165"/>
      <c r="M148" s="165"/>
      <c r="N148" s="165"/>
      <c r="O148" s="165"/>
      <c r="P148" s="165"/>
      <c r="Q148" s="165"/>
      <c r="R148" s="165"/>
      <c r="S148" s="165"/>
      <c r="T148" s="165"/>
      <c r="U148" s="165"/>
      <c r="V148" s="165"/>
      <c r="W148" s="165"/>
      <c r="X148" s="165"/>
    </row>
    <row r="149" spans="1:24" ht="11.25" customHeight="1" x14ac:dyDescent="0.25">
      <c r="A149" s="165"/>
      <c r="B149" s="165"/>
      <c r="C149" s="165"/>
      <c r="D149" s="165"/>
      <c r="E149" s="165"/>
      <c r="F149" s="165"/>
      <c r="G149" s="165"/>
      <c r="H149" s="165"/>
      <c r="I149" s="165"/>
      <c r="J149" s="165"/>
      <c r="K149" s="165"/>
      <c r="L149" s="165"/>
      <c r="M149" s="165"/>
      <c r="N149" s="165"/>
      <c r="O149" s="165"/>
      <c r="P149" s="165"/>
      <c r="Q149" s="165"/>
      <c r="R149" s="165"/>
      <c r="S149" s="165"/>
      <c r="T149" s="165"/>
      <c r="U149" s="165"/>
      <c r="V149" s="165"/>
      <c r="W149" s="165"/>
      <c r="X149" s="165"/>
    </row>
    <row r="150" spans="1:24" ht="11.25" customHeight="1" x14ac:dyDescent="0.25">
      <c r="A150" s="165"/>
      <c r="B150" s="165"/>
      <c r="C150" s="165"/>
      <c r="D150" s="165"/>
      <c r="E150" s="165"/>
      <c r="F150" s="165"/>
      <c r="G150" s="165"/>
      <c r="H150" s="165"/>
      <c r="I150" s="165"/>
      <c r="J150" s="165"/>
      <c r="K150" s="165"/>
      <c r="L150" s="165"/>
      <c r="M150" s="165"/>
      <c r="N150" s="165"/>
      <c r="O150" s="165"/>
      <c r="P150" s="165"/>
      <c r="Q150" s="165"/>
      <c r="R150" s="165"/>
      <c r="S150" s="165"/>
      <c r="T150" s="165"/>
      <c r="U150" s="165"/>
      <c r="V150" s="165"/>
      <c r="W150" s="165"/>
      <c r="X150" s="165"/>
    </row>
    <row r="151" spans="1:24" ht="11.25" customHeight="1" x14ac:dyDescent="0.25">
      <c r="A151" s="165"/>
      <c r="B151" s="165"/>
      <c r="C151" s="165"/>
      <c r="D151" s="165"/>
      <c r="E151" s="165"/>
      <c r="F151" s="165"/>
      <c r="G151" s="165"/>
      <c r="H151" s="165"/>
      <c r="I151" s="165"/>
      <c r="J151" s="165"/>
      <c r="K151" s="165"/>
      <c r="L151" s="165"/>
      <c r="M151" s="165"/>
      <c r="N151" s="165"/>
      <c r="O151" s="165"/>
      <c r="P151" s="165"/>
      <c r="Q151" s="165"/>
      <c r="R151" s="165"/>
      <c r="S151" s="165"/>
      <c r="T151" s="165"/>
      <c r="U151" s="165"/>
      <c r="V151" s="165"/>
      <c r="W151" s="165"/>
      <c r="X151" s="165"/>
    </row>
    <row r="152" spans="1:24" ht="11.25" customHeight="1" x14ac:dyDescent="0.25">
      <c r="A152" s="165"/>
      <c r="B152" s="165"/>
      <c r="C152" s="165"/>
      <c r="D152" s="165"/>
      <c r="E152" s="165"/>
      <c r="F152" s="165"/>
      <c r="G152" s="165"/>
      <c r="H152" s="165"/>
      <c r="I152" s="165"/>
      <c r="J152" s="165"/>
      <c r="K152" s="165"/>
      <c r="L152" s="165"/>
      <c r="M152" s="165"/>
      <c r="N152" s="165"/>
      <c r="O152" s="165"/>
      <c r="P152" s="165"/>
      <c r="Q152" s="165"/>
      <c r="R152" s="165"/>
      <c r="S152" s="165"/>
      <c r="T152" s="165"/>
      <c r="U152" s="165"/>
      <c r="V152" s="165"/>
      <c r="W152" s="165"/>
      <c r="X152" s="165"/>
    </row>
    <row r="153" spans="1:24" ht="11.25" customHeight="1" x14ac:dyDescent="0.25">
      <c r="A153" s="165"/>
      <c r="B153" s="165"/>
      <c r="C153" s="165"/>
      <c r="D153" s="165"/>
      <c r="E153" s="165"/>
      <c r="F153" s="165"/>
      <c r="G153" s="165"/>
      <c r="H153" s="165"/>
      <c r="I153" s="165"/>
      <c r="J153" s="165"/>
      <c r="K153" s="165"/>
      <c r="L153" s="165"/>
      <c r="M153" s="165"/>
      <c r="N153" s="165"/>
      <c r="O153" s="165"/>
      <c r="P153" s="165"/>
      <c r="Q153" s="165"/>
      <c r="R153" s="165"/>
      <c r="S153" s="165"/>
      <c r="T153" s="165"/>
      <c r="U153" s="165"/>
      <c r="V153" s="165"/>
      <c r="W153" s="165"/>
      <c r="X153" s="165"/>
    </row>
    <row r="154" spans="1:24" ht="11.25" customHeight="1" x14ac:dyDescent="0.25">
      <c r="A154" s="165"/>
      <c r="B154" s="165"/>
      <c r="C154" s="165"/>
      <c r="D154" s="165"/>
      <c r="E154" s="165"/>
      <c r="F154" s="165"/>
      <c r="G154" s="165"/>
      <c r="H154" s="165"/>
      <c r="I154" s="165"/>
      <c r="J154" s="165"/>
      <c r="K154" s="165"/>
      <c r="L154" s="165"/>
      <c r="M154" s="165"/>
      <c r="N154" s="165"/>
      <c r="O154" s="165"/>
      <c r="P154" s="165"/>
      <c r="Q154" s="165"/>
      <c r="R154" s="165"/>
      <c r="S154" s="165"/>
      <c r="T154" s="165"/>
      <c r="U154" s="165"/>
      <c r="V154" s="165"/>
      <c r="W154" s="165"/>
      <c r="X154" s="165"/>
    </row>
    <row r="155" spans="1:24" ht="11.25" customHeight="1" x14ac:dyDescent="0.25">
      <c r="A155" s="165"/>
      <c r="B155" s="165"/>
      <c r="C155" s="165"/>
      <c r="D155" s="165"/>
      <c r="E155" s="165"/>
      <c r="F155" s="165"/>
      <c r="G155" s="165"/>
      <c r="H155" s="165"/>
      <c r="I155" s="165"/>
      <c r="J155" s="165"/>
      <c r="K155" s="165"/>
      <c r="L155" s="165"/>
      <c r="M155" s="165"/>
      <c r="N155" s="165"/>
      <c r="O155" s="165"/>
      <c r="P155" s="165"/>
      <c r="Q155" s="165"/>
      <c r="R155" s="165"/>
      <c r="S155" s="165"/>
      <c r="T155" s="165"/>
      <c r="U155" s="165"/>
      <c r="V155" s="165"/>
      <c r="W155" s="165"/>
      <c r="X155" s="165"/>
    </row>
    <row r="156" spans="1:24" ht="11.25" customHeight="1" x14ac:dyDescent="0.25">
      <c r="A156" s="165"/>
      <c r="B156" s="165"/>
      <c r="C156" s="165"/>
      <c r="D156" s="165"/>
      <c r="E156" s="165"/>
      <c r="F156" s="165"/>
      <c r="G156" s="165"/>
      <c r="H156" s="165"/>
      <c r="I156" s="165"/>
      <c r="J156" s="165"/>
      <c r="K156" s="165"/>
      <c r="L156" s="165"/>
      <c r="M156" s="165"/>
      <c r="N156" s="165"/>
      <c r="O156" s="165"/>
      <c r="P156" s="165"/>
      <c r="Q156" s="165"/>
      <c r="R156" s="165"/>
      <c r="S156" s="165"/>
      <c r="T156" s="165"/>
      <c r="U156" s="165"/>
      <c r="V156" s="165"/>
      <c r="W156" s="165"/>
      <c r="X156" s="165"/>
    </row>
    <row r="157" spans="1:24" ht="11.25" customHeight="1" x14ac:dyDescent="0.25">
      <c r="A157" s="165"/>
      <c r="B157" s="165"/>
      <c r="C157" s="165"/>
      <c r="D157" s="165"/>
      <c r="E157" s="165"/>
      <c r="F157" s="165"/>
      <c r="G157" s="165"/>
      <c r="H157" s="165"/>
      <c r="I157" s="165"/>
      <c r="J157" s="165"/>
      <c r="K157" s="165"/>
      <c r="L157" s="165"/>
      <c r="M157" s="165"/>
      <c r="N157" s="165"/>
      <c r="O157" s="165"/>
      <c r="P157" s="165"/>
      <c r="Q157" s="165"/>
      <c r="R157" s="165"/>
      <c r="S157" s="165"/>
      <c r="T157" s="165"/>
      <c r="U157" s="165"/>
      <c r="V157" s="165"/>
      <c r="W157" s="165"/>
      <c r="X157" s="165"/>
    </row>
    <row r="158" spans="1:24" ht="11.25" customHeight="1" x14ac:dyDescent="0.25">
      <c r="A158" s="165"/>
      <c r="B158" s="165"/>
      <c r="C158" s="165"/>
      <c r="D158" s="165"/>
      <c r="E158" s="165"/>
      <c r="F158" s="165"/>
      <c r="G158" s="165"/>
      <c r="H158" s="165"/>
      <c r="I158" s="165"/>
      <c r="J158" s="165"/>
      <c r="K158" s="165"/>
      <c r="L158" s="165"/>
      <c r="M158" s="165"/>
      <c r="N158" s="165"/>
      <c r="O158" s="165"/>
      <c r="P158" s="165"/>
      <c r="Q158" s="165"/>
      <c r="R158" s="165"/>
      <c r="S158" s="165"/>
      <c r="T158" s="165"/>
      <c r="U158" s="165"/>
      <c r="V158" s="165"/>
      <c r="W158" s="165"/>
      <c r="X158" s="165"/>
    </row>
    <row r="159" spans="1:24" ht="11.25" customHeight="1" x14ac:dyDescent="0.25">
      <c r="A159" s="165"/>
      <c r="B159" s="165"/>
      <c r="C159" s="165"/>
      <c r="D159" s="165"/>
      <c r="E159" s="165"/>
      <c r="F159" s="165"/>
      <c r="G159" s="165"/>
      <c r="H159" s="165"/>
      <c r="I159" s="165"/>
      <c r="J159" s="165"/>
      <c r="K159" s="165"/>
      <c r="L159" s="165"/>
      <c r="M159" s="165"/>
      <c r="N159" s="165"/>
      <c r="O159" s="165"/>
      <c r="P159" s="165"/>
      <c r="Q159" s="165"/>
      <c r="R159" s="165"/>
      <c r="S159" s="165"/>
      <c r="T159" s="165"/>
      <c r="U159" s="165"/>
      <c r="V159" s="165"/>
      <c r="W159" s="165"/>
      <c r="X159" s="165"/>
    </row>
    <row r="160" spans="1:24" ht="11.25" customHeight="1" x14ac:dyDescent="0.25">
      <c r="A160" s="165"/>
      <c r="B160" s="165"/>
      <c r="C160" s="165"/>
      <c r="D160" s="165"/>
      <c r="E160" s="165"/>
      <c r="F160" s="165"/>
      <c r="G160" s="165"/>
      <c r="H160" s="165"/>
      <c r="I160" s="165"/>
      <c r="J160" s="165"/>
      <c r="K160" s="165"/>
      <c r="L160" s="165"/>
      <c r="M160" s="165"/>
      <c r="N160" s="165"/>
      <c r="O160" s="165"/>
      <c r="P160" s="165"/>
      <c r="Q160" s="165"/>
      <c r="R160" s="165"/>
      <c r="S160" s="165"/>
      <c r="T160" s="165"/>
      <c r="U160" s="165"/>
      <c r="V160" s="165"/>
      <c r="W160" s="165"/>
      <c r="X160" s="165"/>
    </row>
    <row r="161" spans="1:24" ht="11.25" customHeight="1" x14ac:dyDescent="0.25">
      <c r="A161" s="165"/>
      <c r="B161" s="165"/>
      <c r="C161" s="165"/>
      <c r="D161" s="165"/>
      <c r="E161" s="165"/>
      <c r="F161" s="165"/>
      <c r="G161" s="165"/>
      <c r="H161" s="165"/>
      <c r="I161" s="165"/>
      <c r="J161" s="165"/>
      <c r="K161" s="165"/>
      <c r="L161" s="165"/>
      <c r="M161" s="165"/>
      <c r="N161" s="165"/>
      <c r="O161" s="165"/>
      <c r="P161" s="165"/>
      <c r="Q161" s="165"/>
      <c r="R161" s="165"/>
      <c r="S161" s="165"/>
      <c r="T161" s="165"/>
      <c r="U161" s="165"/>
      <c r="V161" s="165"/>
      <c r="W161" s="165"/>
      <c r="X161" s="165"/>
    </row>
    <row r="162" spans="1:24" ht="11.25" customHeight="1" x14ac:dyDescent="0.25">
      <c r="A162" s="165"/>
      <c r="B162" s="165"/>
      <c r="C162" s="165"/>
      <c r="D162" s="165"/>
      <c r="E162" s="165"/>
      <c r="F162" s="165"/>
      <c r="G162" s="165"/>
      <c r="H162" s="165"/>
      <c r="I162" s="165"/>
      <c r="J162" s="165"/>
      <c r="K162" s="165"/>
      <c r="L162" s="165"/>
      <c r="M162" s="165"/>
      <c r="N162" s="165"/>
      <c r="O162" s="165"/>
      <c r="P162" s="165"/>
      <c r="Q162" s="165"/>
      <c r="R162" s="165"/>
      <c r="S162" s="165"/>
      <c r="T162" s="165"/>
      <c r="U162" s="165"/>
      <c r="V162" s="165"/>
      <c r="W162" s="165"/>
      <c r="X162" s="165"/>
    </row>
    <row r="163" spans="1:24" ht="11.25" customHeight="1" x14ac:dyDescent="0.25">
      <c r="A163" s="165"/>
      <c r="B163" s="165"/>
      <c r="C163" s="165"/>
      <c r="D163" s="165"/>
      <c r="E163" s="165"/>
      <c r="F163" s="165"/>
      <c r="G163" s="165"/>
      <c r="H163" s="165"/>
      <c r="I163" s="165"/>
      <c r="J163" s="165"/>
      <c r="K163" s="165"/>
      <c r="L163" s="165"/>
      <c r="M163" s="165"/>
      <c r="N163" s="165"/>
      <c r="O163" s="165"/>
      <c r="P163" s="165"/>
      <c r="Q163" s="165"/>
      <c r="R163" s="165"/>
      <c r="S163" s="165"/>
      <c r="T163" s="165"/>
      <c r="U163" s="165"/>
      <c r="V163" s="165"/>
      <c r="W163" s="165"/>
      <c r="X163" s="165"/>
    </row>
    <row r="164" spans="1:24" ht="11.25" customHeight="1" x14ac:dyDescent="0.25">
      <c r="A164" s="165"/>
      <c r="B164" s="165"/>
      <c r="C164" s="165"/>
      <c r="D164" s="165"/>
      <c r="E164" s="165"/>
      <c r="F164" s="165"/>
      <c r="G164" s="165"/>
      <c r="H164" s="165"/>
      <c r="I164" s="165"/>
      <c r="J164" s="165"/>
      <c r="K164" s="165"/>
      <c r="L164" s="165"/>
      <c r="M164" s="165"/>
      <c r="N164" s="165"/>
      <c r="O164" s="165"/>
      <c r="P164" s="165"/>
      <c r="Q164" s="165"/>
      <c r="R164" s="165"/>
      <c r="S164" s="165"/>
      <c r="T164" s="165"/>
      <c r="U164" s="165"/>
      <c r="V164" s="165"/>
      <c r="W164" s="165"/>
      <c r="X164" s="165"/>
    </row>
    <row r="165" spans="1:24" ht="11.25" customHeight="1" x14ac:dyDescent="0.25">
      <c r="A165" s="165"/>
      <c r="B165" s="165"/>
      <c r="C165" s="165"/>
      <c r="D165" s="165"/>
      <c r="E165" s="165"/>
      <c r="F165" s="165"/>
      <c r="G165" s="165"/>
      <c r="H165" s="165"/>
      <c r="I165" s="165"/>
      <c r="J165" s="165"/>
      <c r="K165" s="165"/>
      <c r="L165" s="165"/>
      <c r="M165" s="165"/>
      <c r="N165" s="165"/>
      <c r="O165" s="165"/>
      <c r="P165" s="165"/>
      <c r="Q165" s="165"/>
      <c r="R165" s="165"/>
      <c r="S165" s="165"/>
      <c r="T165" s="165"/>
      <c r="U165" s="165"/>
      <c r="V165" s="165"/>
      <c r="W165" s="165"/>
      <c r="X165" s="165"/>
    </row>
    <row r="166" spans="1:24" ht="11.25" customHeight="1" x14ac:dyDescent="0.25">
      <c r="A166" s="165"/>
      <c r="B166" s="165"/>
      <c r="C166" s="165"/>
      <c r="D166" s="165"/>
      <c r="E166" s="165"/>
      <c r="F166" s="165"/>
      <c r="G166" s="165"/>
      <c r="H166" s="165"/>
      <c r="I166" s="165"/>
      <c r="J166" s="165"/>
      <c r="K166" s="165"/>
      <c r="L166" s="165"/>
      <c r="M166" s="165"/>
      <c r="N166" s="165"/>
      <c r="O166" s="165"/>
      <c r="P166" s="165"/>
      <c r="Q166" s="165"/>
      <c r="R166" s="165"/>
      <c r="S166" s="165"/>
      <c r="T166" s="165"/>
      <c r="U166" s="165"/>
      <c r="V166" s="165"/>
      <c r="W166" s="165"/>
      <c r="X166" s="165"/>
    </row>
    <row r="167" spans="1:24" ht="11.25" customHeight="1" x14ac:dyDescent="0.25">
      <c r="A167" s="165"/>
      <c r="B167" s="165"/>
      <c r="C167" s="165"/>
      <c r="D167" s="165"/>
      <c r="E167" s="165"/>
      <c r="F167" s="165"/>
      <c r="G167" s="165"/>
      <c r="H167" s="165"/>
      <c r="I167" s="165"/>
      <c r="J167" s="165"/>
      <c r="K167" s="165"/>
      <c r="L167" s="165"/>
      <c r="M167" s="165"/>
      <c r="N167" s="165"/>
      <c r="O167" s="165"/>
      <c r="P167" s="165"/>
      <c r="Q167" s="165"/>
      <c r="R167" s="165"/>
      <c r="S167" s="165"/>
      <c r="T167" s="165"/>
      <c r="U167" s="165"/>
      <c r="V167" s="165"/>
      <c r="W167" s="165"/>
      <c r="X167" s="165"/>
    </row>
    <row r="168" spans="1:24" ht="11.25" customHeight="1" x14ac:dyDescent="0.25">
      <c r="A168" s="165"/>
      <c r="B168" s="165"/>
      <c r="C168" s="165"/>
      <c r="D168" s="165"/>
      <c r="E168" s="165"/>
      <c r="F168" s="165"/>
      <c r="G168" s="165"/>
      <c r="H168" s="165"/>
      <c r="I168" s="165"/>
      <c r="J168" s="165"/>
      <c r="K168" s="165"/>
      <c r="L168" s="165"/>
      <c r="M168" s="165"/>
      <c r="N168" s="165"/>
      <c r="O168" s="165"/>
      <c r="P168" s="165"/>
      <c r="Q168" s="165"/>
      <c r="R168" s="165"/>
      <c r="S168" s="165"/>
      <c r="T168" s="165"/>
      <c r="U168" s="165"/>
      <c r="V168" s="165"/>
      <c r="W168" s="165"/>
      <c r="X168" s="165"/>
    </row>
    <row r="169" spans="1:24" ht="11.25" customHeight="1" x14ac:dyDescent="0.25">
      <c r="A169" s="165"/>
      <c r="B169" s="165"/>
      <c r="C169" s="165"/>
      <c r="D169" s="165"/>
      <c r="E169" s="165"/>
      <c r="F169" s="165"/>
      <c r="G169" s="165"/>
      <c r="H169" s="165"/>
      <c r="I169" s="165"/>
      <c r="J169" s="165"/>
      <c r="K169" s="165"/>
      <c r="L169" s="165"/>
      <c r="M169" s="165"/>
      <c r="N169" s="165"/>
      <c r="O169" s="165"/>
      <c r="P169" s="165"/>
      <c r="Q169" s="165"/>
      <c r="R169" s="165"/>
      <c r="S169" s="165"/>
      <c r="T169" s="165"/>
      <c r="U169" s="165"/>
      <c r="V169" s="165"/>
      <c r="W169" s="165"/>
      <c r="X169" s="165"/>
    </row>
    <row r="170" spans="1:24" ht="11.25" customHeight="1" x14ac:dyDescent="0.25">
      <c r="A170" s="165"/>
      <c r="B170" s="165"/>
      <c r="C170" s="165"/>
      <c r="D170" s="165"/>
      <c r="E170" s="165"/>
      <c r="F170" s="165"/>
      <c r="G170" s="165"/>
      <c r="H170" s="165"/>
      <c r="I170" s="165"/>
      <c r="J170" s="165"/>
      <c r="K170" s="165"/>
      <c r="L170" s="165"/>
      <c r="M170" s="165"/>
      <c r="N170" s="165"/>
      <c r="O170" s="165"/>
      <c r="P170" s="165"/>
      <c r="Q170" s="165"/>
      <c r="R170" s="165"/>
      <c r="S170" s="165"/>
      <c r="T170" s="165"/>
      <c r="U170" s="165"/>
      <c r="V170" s="165"/>
      <c r="W170" s="165"/>
      <c r="X170" s="165"/>
    </row>
    <row r="171" spans="1:24" ht="11.25" customHeight="1" x14ac:dyDescent="0.25">
      <c r="A171" s="165"/>
      <c r="B171" s="165"/>
      <c r="C171" s="165"/>
      <c r="D171" s="165"/>
      <c r="E171" s="165"/>
      <c r="F171" s="165"/>
      <c r="G171" s="165"/>
      <c r="H171" s="165"/>
      <c r="I171" s="165"/>
      <c r="J171" s="165"/>
      <c r="K171" s="165"/>
      <c r="L171" s="165"/>
      <c r="M171" s="165"/>
      <c r="N171" s="165"/>
      <c r="O171" s="165"/>
      <c r="P171" s="165"/>
      <c r="Q171" s="165"/>
      <c r="R171" s="165"/>
      <c r="S171" s="165"/>
      <c r="T171" s="165"/>
      <c r="U171" s="165"/>
      <c r="V171" s="165"/>
      <c r="W171" s="165"/>
      <c r="X171" s="165"/>
    </row>
    <row r="172" spans="1:24" ht="11.25" customHeight="1" x14ac:dyDescent="0.25">
      <c r="A172" s="165"/>
      <c r="B172" s="165"/>
      <c r="C172" s="165"/>
      <c r="D172" s="165"/>
      <c r="E172" s="165"/>
      <c r="F172" s="165"/>
      <c r="G172" s="165"/>
      <c r="H172" s="165"/>
      <c r="I172" s="165"/>
      <c r="J172" s="165"/>
      <c r="K172" s="165"/>
      <c r="L172" s="165"/>
      <c r="M172" s="165"/>
      <c r="N172" s="165"/>
      <c r="O172" s="165"/>
      <c r="P172" s="165"/>
      <c r="Q172" s="165"/>
      <c r="R172" s="165"/>
      <c r="S172" s="165"/>
      <c r="T172" s="165"/>
      <c r="U172" s="165"/>
      <c r="V172" s="165"/>
      <c r="W172" s="165"/>
      <c r="X172" s="165"/>
    </row>
    <row r="173" spans="1:24" ht="11.25" customHeight="1" x14ac:dyDescent="0.25">
      <c r="A173" s="165"/>
      <c r="B173" s="165"/>
      <c r="C173" s="165"/>
      <c r="D173" s="165"/>
      <c r="E173" s="165"/>
      <c r="F173" s="165"/>
      <c r="G173" s="165"/>
      <c r="H173" s="165"/>
      <c r="I173" s="165"/>
      <c r="J173" s="165"/>
      <c r="K173" s="165"/>
      <c r="L173" s="165"/>
      <c r="M173" s="165"/>
      <c r="N173" s="165"/>
      <c r="O173" s="165"/>
      <c r="P173" s="165"/>
      <c r="Q173" s="165"/>
      <c r="R173" s="165"/>
      <c r="S173" s="165"/>
      <c r="T173" s="165"/>
      <c r="U173" s="165"/>
      <c r="V173" s="165"/>
      <c r="W173" s="165"/>
      <c r="X173" s="165"/>
    </row>
    <row r="174" spans="1:24" ht="11.25" customHeight="1" x14ac:dyDescent="0.25">
      <c r="A174" s="165"/>
      <c r="B174" s="165"/>
      <c r="C174" s="165"/>
      <c r="D174" s="165"/>
      <c r="E174" s="165"/>
      <c r="F174" s="165"/>
      <c r="G174" s="165"/>
      <c r="H174" s="165"/>
      <c r="I174" s="165"/>
      <c r="J174" s="165"/>
      <c r="K174" s="165"/>
      <c r="L174" s="165"/>
      <c r="M174" s="165"/>
      <c r="N174" s="165"/>
      <c r="O174" s="165"/>
      <c r="P174" s="165"/>
      <c r="Q174" s="165"/>
      <c r="R174" s="165"/>
      <c r="S174" s="165"/>
      <c r="T174" s="165"/>
      <c r="U174" s="165"/>
      <c r="V174" s="165"/>
      <c r="W174" s="165"/>
      <c r="X174" s="165"/>
    </row>
    <row r="175" spans="1:24" ht="11.25" customHeight="1" x14ac:dyDescent="0.25">
      <c r="A175" s="165"/>
      <c r="B175" s="165"/>
      <c r="C175" s="165"/>
      <c r="D175" s="165"/>
      <c r="E175" s="165"/>
      <c r="F175" s="165"/>
      <c r="G175" s="165"/>
      <c r="H175" s="165"/>
      <c r="I175" s="165"/>
      <c r="J175" s="165"/>
      <c r="K175" s="165"/>
      <c r="L175" s="165"/>
      <c r="M175" s="165"/>
      <c r="N175" s="165"/>
      <c r="O175" s="165"/>
      <c r="P175" s="165"/>
      <c r="Q175" s="165"/>
      <c r="R175" s="165"/>
      <c r="S175" s="165"/>
      <c r="T175" s="165"/>
      <c r="U175" s="165"/>
      <c r="V175" s="165"/>
      <c r="W175" s="165"/>
      <c r="X175" s="165"/>
    </row>
    <row r="176" spans="1:24" ht="11.25" customHeight="1" x14ac:dyDescent="0.25">
      <c r="A176" s="165"/>
      <c r="B176" s="165"/>
      <c r="C176" s="165"/>
      <c r="D176" s="165"/>
      <c r="E176" s="165"/>
      <c r="F176" s="165"/>
      <c r="G176" s="165"/>
      <c r="H176" s="165"/>
      <c r="I176" s="165"/>
      <c r="J176" s="165"/>
      <c r="K176" s="165"/>
      <c r="L176" s="165"/>
      <c r="M176" s="165"/>
      <c r="N176" s="165"/>
      <c r="O176" s="165"/>
      <c r="P176" s="165"/>
      <c r="Q176" s="165"/>
      <c r="R176" s="165"/>
      <c r="S176" s="165"/>
      <c r="T176" s="165"/>
      <c r="U176" s="165"/>
      <c r="V176" s="165"/>
      <c r="W176" s="165"/>
      <c r="X176" s="165"/>
    </row>
    <row r="177" spans="1:24" ht="11.25" customHeight="1" x14ac:dyDescent="0.25">
      <c r="A177" s="165"/>
      <c r="B177" s="165"/>
      <c r="C177" s="165"/>
      <c r="D177" s="165"/>
      <c r="E177" s="165"/>
      <c r="F177" s="165"/>
      <c r="G177" s="165"/>
      <c r="H177" s="165"/>
      <c r="I177" s="165"/>
      <c r="J177" s="165"/>
      <c r="K177" s="165"/>
      <c r="L177" s="165"/>
      <c r="M177" s="165"/>
      <c r="N177" s="165"/>
      <c r="O177" s="165"/>
      <c r="P177" s="165"/>
      <c r="Q177" s="165"/>
      <c r="R177" s="165"/>
      <c r="S177" s="165"/>
      <c r="T177" s="165"/>
      <c r="U177" s="165"/>
      <c r="V177" s="165"/>
      <c r="W177" s="165"/>
      <c r="X177" s="165"/>
    </row>
    <row r="178" spans="1:24" ht="11.25" customHeight="1" x14ac:dyDescent="0.25">
      <c r="A178" s="165"/>
      <c r="B178" s="165"/>
      <c r="C178" s="165"/>
      <c r="D178" s="165"/>
      <c r="E178" s="165"/>
      <c r="F178" s="165"/>
      <c r="G178" s="165"/>
      <c r="H178" s="165"/>
      <c r="I178" s="165"/>
      <c r="J178" s="165"/>
      <c r="K178" s="165"/>
      <c r="L178" s="165"/>
      <c r="M178" s="165"/>
      <c r="N178" s="165"/>
      <c r="O178" s="165"/>
      <c r="P178" s="165"/>
      <c r="Q178" s="165"/>
      <c r="R178" s="165"/>
      <c r="S178" s="165"/>
      <c r="T178" s="165"/>
      <c r="U178" s="165"/>
      <c r="V178" s="165"/>
      <c r="W178" s="165"/>
      <c r="X178" s="165"/>
    </row>
    <row r="179" spans="1:24" ht="11.25" customHeight="1" x14ac:dyDescent="0.25">
      <c r="A179" s="165"/>
      <c r="B179" s="165"/>
      <c r="C179" s="165"/>
      <c r="D179" s="165"/>
      <c r="E179" s="165"/>
      <c r="F179" s="165"/>
      <c r="G179" s="165"/>
      <c r="H179" s="165"/>
      <c r="I179" s="165"/>
      <c r="J179" s="165"/>
      <c r="K179" s="165"/>
      <c r="L179" s="165"/>
      <c r="M179" s="165"/>
      <c r="N179" s="165"/>
      <c r="O179" s="165"/>
      <c r="P179" s="165"/>
      <c r="Q179" s="165"/>
      <c r="R179" s="165"/>
      <c r="S179" s="165"/>
      <c r="T179" s="165"/>
      <c r="U179" s="165"/>
      <c r="V179" s="165"/>
      <c r="W179" s="165"/>
      <c r="X179" s="165"/>
    </row>
    <row r="180" spans="1:24" ht="11.25" customHeight="1" x14ac:dyDescent="0.25">
      <c r="A180" s="165"/>
      <c r="B180" s="165"/>
      <c r="C180" s="165"/>
      <c r="D180" s="165"/>
      <c r="E180" s="165"/>
      <c r="F180" s="165"/>
      <c r="G180" s="165"/>
      <c r="H180" s="165"/>
      <c r="I180" s="165"/>
      <c r="J180" s="165"/>
      <c r="K180" s="165"/>
      <c r="L180" s="165"/>
      <c r="M180" s="165"/>
      <c r="N180" s="165"/>
      <c r="O180" s="165"/>
      <c r="P180" s="165"/>
      <c r="Q180" s="165"/>
      <c r="R180" s="165"/>
      <c r="S180" s="165"/>
      <c r="T180" s="165"/>
      <c r="U180" s="165"/>
      <c r="V180" s="165"/>
      <c r="W180" s="165"/>
      <c r="X180" s="165"/>
    </row>
    <row r="181" spans="1:24" ht="11.25" customHeight="1" x14ac:dyDescent="0.25">
      <c r="A181" s="165"/>
      <c r="B181" s="165"/>
      <c r="C181" s="165"/>
      <c r="D181" s="165"/>
      <c r="E181" s="165"/>
      <c r="F181" s="165"/>
      <c r="G181" s="165"/>
      <c r="H181" s="165"/>
      <c r="I181" s="165"/>
      <c r="J181" s="165"/>
      <c r="K181" s="165"/>
      <c r="L181" s="165"/>
      <c r="M181" s="165"/>
      <c r="N181" s="165"/>
      <c r="O181" s="165"/>
      <c r="P181" s="165"/>
      <c r="Q181" s="165"/>
      <c r="R181" s="165"/>
      <c r="S181" s="165"/>
      <c r="T181" s="165"/>
      <c r="U181" s="165"/>
      <c r="V181" s="165"/>
      <c r="W181" s="165"/>
      <c r="X181" s="165"/>
    </row>
    <row r="182" spans="1:24" ht="11.25" customHeight="1" x14ac:dyDescent="0.25">
      <c r="A182" s="165"/>
      <c r="B182" s="165"/>
      <c r="C182" s="165"/>
      <c r="D182" s="165"/>
      <c r="E182" s="165"/>
      <c r="F182" s="165"/>
      <c r="G182" s="165"/>
      <c r="H182" s="165"/>
      <c r="I182" s="165"/>
      <c r="J182" s="165"/>
      <c r="K182" s="165"/>
      <c r="L182" s="165"/>
      <c r="M182" s="165"/>
      <c r="N182" s="165"/>
      <c r="O182" s="165"/>
      <c r="P182" s="165"/>
      <c r="Q182" s="165"/>
      <c r="R182" s="165"/>
      <c r="S182" s="165"/>
      <c r="T182" s="165"/>
      <c r="U182" s="165"/>
      <c r="V182" s="165"/>
      <c r="W182" s="165"/>
      <c r="X182" s="165"/>
    </row>
    <row r="183" spans="1:24" ht="11.25" customHeight="1" x14ac:dyDescent="0.25">
      <c r="A183" s="165"/>
      <c r="B183" s="165"/>
      <c r="C183" s="165"/>
      <c r="D183" s="165"/>
      <c r="E183" s="165"/>
      <c r="F183" s="165"/>
      <c r="G183" s="165"/>
      <c r="H183" s="165"/>
      <c r="I183" s="165"/>
      <c r="J183" s="165"/>
      <c r="K183" s="165"/>
      <c r="L183" s="165"/>
      <c r="M183" s="165"/>
      <c r="N183" s="165"/>
      <c r="O183" s="165"/>
      <c r="P183" s="165"/>
      <c r="Q183" s="165"/>
      <c r="R183" s="165"/>
      <c r="S183" s="165"/>
      <c r="T183" s="165"/>
      <c r="U183" s="165"/>
      <c r="V183" s="165"/>
      <c r="W183" s="165"/>
      <c r="X183" s="165"/>
    </row>
    <row r="184" spans="1:24" ht="11.25" customHeight="1" x14ac:dyDescent="0.25">
      <c r="A184" s="165"/>
      <c r="B184" s="165"/>
      <c r="C184" s="165"/>
      <c r="D184" s="165"/>
      <c r="E184" s="165"/>
      <c r="F184" s="165"/>
      <c r="G184" s="165"/>
      <c r="H184" s="165"/>
      <c r="I184" s="165"/>
      <c r="J184" s="165"/>
      <c r="K184" s="165"/>
      <c r="L184" s="165"/>
      <c r="M184" s="165"/>
      <c r="N184" s="165"/>
      <c r="O184" s="165"/>
      <c r="P184" s="165"/>
      <c r="Q184" s="165"/>
      <c r="R184" s="165"/>
      <c r="S184" s="165"/>
      <c r="T184" s="165"/>
      <c r="U184" s="165"/>
      <c r="V184" s="165"/>
      <c r="W184" s="165"/>
      <c r="X184" s="165"/>
    </row>
    <row r="185" spans="1:24" ht="11.25" customHeight="1" x14ac:dyDescent="0.25">
      <c r="A185" s="165"/>
      <c r="B185" s="165"/>
      <c r="C185" s="165"/>
      <c r="D185" s="165"/>
      <c r="E185" s="165"/>
      <c r="F185" s="165"/>
      <c r="G185" s="165"/>
      <c r="H185" s="165"/>
      <c r="I185" s="165"/>
      <c r="J185" s="165"/>
      <c r="K185" s="165"/>
      <c r="L185" s="165"/>
      <c r="M185" s="165"/>
      <c r="N185" s="165"/>
      <c r="O185" s="165"/>
      <c r="P185" s="165"/>
      <c r="Q185" s="165"/>
      <c r="R185" s="165"/>
      <c r="S185" s="165"/>
      <c r="T185" s="165"/>
      <c r="U185" s="165"/>
      <c r="V185" s="165"/>
      <c r="W185" s="165"/>
      <c r="X185" s="165"/>
    </row>
    <row r="186" spans="1:24" ht="11.25" customHeight="1" x14ac:dyDescent="0.25">
      <c r="A186" s="165"/>
      <c r="B186" s="165"/>
      <c r="C186" s="165"/>
      <c r="D186" s="165"/>
      <c r="E186" s="165"/>
      <c r="F186" s="165"/>
      <c r="G186" s="165"/>
      <c r="H186" s="165"/>
      <c r="I186" s="165"/>
      <c r="J186" s="165"/>
      <c r="K186" s="165"/>
      <c r="L186" s="165"/>
      <c r="M186" s="165"/>
      <c r="N186" s="165"/>
      <c r="O186" s="165"/>
      <c r="P186" s="165"/>
      <c r="Q186" s="165"/>
      <c r="R186" s="165"/>
      <c r="S186" s="165"/>
      <c r="T186" s="165"/>
      <c r="U186" s="165"/>
      <c r="V186" s="165"/>
      <c r="W186" s="165"/>
      <c r="X186" s="165"/>
    </row>
    <row r="187" spans="1:24" ht="11.25" customHeight="1" x14ac:dyDescent="0.25">
      <c r="A187" s="165"/>
      <c r="B187" s="165"/>
      <c r="C187" s="165"/>
      <c r="D187" s="165"/>
      <c r="E187" s="165"/>
      <c r="F187" s="165"/>
      <c r="G187" s="165"/>
      <c r="H187" s="165"/>
      <c r="I187" s="165"/>
      <c r="J187" s="165"/>
      <c r="K187" s="165"/>
      <c r="L187" s="165"/>
      <c r="M187" s="165"/>
      <c r="N187" s="165"/>
      <c r="O187" s="165"/>
      <c r="P187" s="165"/>
      <c r="Q187" s="165"/>
      <c r="R187" s="165"/>
      <c r="S187" s="165"/>
      <c r="T187" s="165"/>
      <c r="U187" s="165"/>
      <c r="V187" s="165"/>
      <c r="W187" s="165"/>
      <c r="X187" s="165"/>
    </row>
    <row r="188" spans="1:24" ht="11.25" customHeight="1" x14ac:dyDescent="0.25">
      <c r="A188" s="165"/>
      <c r="B188" s="165"/>
      <c r="C188" s="165"/>
      <c r="D188" s="165"/>
      <c r="E188" s="165"/>
      <c r="F188" s="165"/>
      <c r="G188" s="165"/>
      <c r="H188" s="165"/>
      <c r="I188" s="165"/>
      <c r="J188" s="165"/>
      <c r="K188" s="165"/>
      <c r="L188" s="165"/>
      <c r="M188" s="165"/>
      <c r="N188" s="165"/>
      <c r="O188" s="165"/>
      <c r="P188" s="165"/>
      <c r="Q188" s="165"/>
      <c r="R188" s="165"/>
      <c r="S188" s="165"/>
      <c r="T188" s="165"/>
      <c r="U188" s="165"/>
      <c r="V188" s="165"/>
      <c r="W188" s="165"/>
      <c r="X188" s="165"/>
    </row>
    <row r="189" spans="1:24" ht="11.25" customHeight="1" x14ac:dyDescent="0.25">
      <c r="A189" s="165"/>
      <c r="B189" s="165"/>
      <c r="C189" s="165"/>
      <c r="D189" s="165"/>
      <c r="E189" s="165"/>
      <c r="F189" s="165"/>
      <c r="G189" s="165"/>
      <c r="H189" s="165"/>
      <c r="I189" s="165"/>
      <c r="J189" s="165"/>
      <c r="K189" s="165"/>
      <c r="L189" s="165"/>
      <c r="M189" s="165"/>
      <c r="N189" s="165"/>
      <c r="O189" s="165"/>
      <c r="P189" s="165"/>
      <c r="Q189" s="165"/>
      <c r="R189" s="165"/>
      <c r="S189" s="165"/>
      <c r="T189" s="165"/>
      <c r="U189" s="165"/>
      <c r="V189" s="165"/>
      <c r="W189" s="165"/>
      <c r="X189" s="165"/>
    </row>
    <row r="190" spans="1:24" ht="11.25" customHeight="1" x14ac:dyDescent="0.25">
      <c r="A190" s="165"/>
      <c r="B190" s="165"/>
      <c r="C190" s="165"/>
      <c r="D190" s="165"/>
      <c r="E190" s="165"/>
      <c r="F190" s="165"/>
      <c r="G190" s="165"/>
      <c r="H190" s="165"/>
      <c r="I190" s="165"/>
      <c r="J190" s="165"/>
      <c r="K190" s="165"/>
      <c r="L190" s="165"/>
      <c r="M190" s="165"/>
      <c r="N190" s="165"/>
      <c r="O190" s="165"/>
      <c r="P190" s="165"/>
      <c r="Q190" s="165"/>
      <c r="R190" s="165"/>
      <c r="S190" s="165"/>
      <c r="T190" s="165"/>
      <c r="U190" s="165"/>
      <c r="V190" s="165"/>
      <c r="W190" s="165"/>
      <c r="X190" s="165"/>
    </row>
    <row r="191" spans="1:24" ht="11.25" customHeight="1" x14ac:dyDescent="0.25">
      <c r="A191" s="165"/>
      <c r="B191" s="165"/>
      <c r="C191" s="165"/>
      <c r="D191" s="165"/>
      <c r="E191" s="165"/>
      <c r="F191" s="165"/>
      <c r="G191" s="165"/>
      <c r="H191" s="165"/>
      <c r="I191" s="165"/>
      <c r="J191" s="165"/>
      <c r="K191" s="165"/>
      <c r="L191" s="165"/>
      <c r="M191" s="165"/>
      <c r="N191" s="165"/>
      <c r="O191" s="165"/>
      <c r="P191" s="165"/>
      <c r="Q191" s="165"/>
      <c r="R191" s="165"/>
      <c r="S191" s="165"/>
      <c r="T191" s="165"/>
      <c r="U191" s="165"/>
      <c r="V191" s="165"/>
      <c r="W191" s="165"/>
      <c r="X191" s="165"/>
    </row>
    <row r="192" spans="1:24" ht="11.25" customHeight="1" x14ac:dyDescent="0.25">
      <c r="A192" s="165"/>
      <c r="B192" s="165"/>
      <c r="C192" s="165"/>
      <c r="D192" s="165"/>
      <c r="E192" s="165"/>
      <c r="F192" s="165"/>
      <c r="G192" s="165"/>
      <c r="H192" s="165"/>
      <c r="I192" s="165"/>
      <c r="J192" s="165"/>
      <c r="K192" s="165"/>
      <c r="L192" s="165"/>
      <c r="M192" s="165"/>
      <c r="N192" s="165"/>
      <c r="O192" s="165"/>
      <c r="P192" s="165"/>
      <c r="Q192" s="165"/>
      <c r="R192" s="165"/>
      <c r="S192" s="165"/>
      <c r="T192" s="165"/>
      <c r="U192" s="165"/>
      <c r="V192" s="165"/>
      <c r="W192" s="165"/>
      <c r="X192" s="165"/>
    </row>
    <row r="193" spans="1:24" ht="11.25" customHeight="1" x14ac:dyDescent="0.25">
      <c r="A193" s="165"/>
      <c r="B193" s="165"/>
      <c r="C193" s="165"/>
      <c r="D193" s="165"/>
      <c r="E193" s="165"/>
      <c r="F193" s="165"/>
      <c r="G193" s="165"/>
      <c r="H193" s="165"/>
      <c r="I193" s="165"/>
      <c r="J193" s="165"/>
      <c r="K193" s="165"/>
      <c r="L193" s="165"/>
      <c r="M193" s="165"/>
      <c r="N193" s="165"/>
      <c r="O193" s="165"/>
      <c r="P193" s="165"/>
      <c r="Q193" s="165"/>
      <c r="R193" s="165"/>
      <c r="S193" s="165"/>
      <c r="T193" s="165"/>
      <c r="U193" s="165"/>
      <c r="V193" s="165"/>
      <c r="W193" s="165"/>
      <c r="X193" s="165"/>
    </row>
    <row r="194" spans="1:24" ht="11.25" customHeight="1" x14ac:dyDescent="0.25">
      <c r="A194" s="165"/>
      <c r="B194" s="165"/>
      <c r="C194" s="165"/>
      <c r="D194" s="165"/>
      <c r="E194" s="165"/>
      <c r="F194" s="165"/>
      <c r="G194" s="165"/>
      <c r="H194" s="165"/>
      <c r="I194" s="165"/>
      <c r="J194" s="165"/>
      <c r="K194" s="165"/>
      <c r="L194" s="165"/>
      <c r="M194" s="165"/>
      <c r="N194" s="165"/>
      <c r="O194" s="165"/>
      <c r="P194" s="165"/>
      <c r="Q194" s="165"/>
      <c r="R194" s="165"/>
      <c r="S194" s="165"/>
      <c r="T194" s="165"/>
      <c r="U194" s="165"/>
      <c r="V194" s="165"/>
      <c r="W194" s="165"/>
      <c r="X194" s="165"/>
    </row>
    <row r="195" spans="1:24" ht="11.25" customHeight="1" x14ac:dyDescent="0.25">
      <c r="A195" s="165"/>
      <c r="B195" s="165"/>
      <c r="C195" s="165"/>
      <c r="D195" s="165"/>
      <c r="E195" s="165"/>
      <c r="F195" s="165"/>
      <c r="G195" s="165"/>
      <c r="H195" s="165"/>
      <c r="I195" s="165"/>
      <c r="J195" s="165"/>
      <c r="K195" s="165"/>
      <c r="L195" s="165"/>
      <c r="M195" s="165"/>
      <c r="N195" s="165"/>
      <c r="O195" s="165"/>
      <c r="P195" s="165"/>
      <c r="Q195" s="165"/>
      <c r="R195" s="165"/>
      <c r="S195" s="165"/>
      <c r="T195" s="165"/>
      <c r="U195" s="165"/>
      <c r="V195" s="165"/>
      <c r="W195" s="165"/>
      <c r="X195" s="165"/>
    </row>
    <row r="196" spans="1:24" ht="11.25" customHeight="1" x14ac:dyDescent="0.25">
      <c r="A196" s="165"/>
      <c r="B196" s="165"/>
      <c r="C196" s="165"/>
      <c r="D196" s="165"/>
      <c r="E196" s="165"/>
      <c r="F196" s="165"/>
      <c r="G196" s="165"/>
      <c r="H196" s="165"/>
      <c r="I196" s="165"/>
      <c r="J196" s="165"/>
      <c r="K196" s="165"/>
      <c r="L196" s="165"/>
      <c r="M196" s="165"/>
      <c r="N196" s="165"/>
      <c r="O196" s="165"/>
      <c r="P196" s="165"/>
      <c r="Q196" s="165"/>
      <c r="R196" s="165"/>
      <c r="S196" s="165"/>
      <c r="T196" s="165"/>
      <c r="U196" s="165"/>
      <c r="V196" s="165"/>
      <c r="W196" s="165"/>
      <c r="X196" s="165"/>
    </row>
    <row r="197" spans="1:24" ht="11.25" customHeight="1" x14ac:dyDescent="0.25">
      <c r="A197" s="165"/>
      <c r="B197" s="165"/>
      <c r="C197" s="165"/>
      <c r="D197" s="165"/>
      <c r="E197" s="165"/>
      <c r="F197" s="165"/>
      <c r="G197" s="165"/>
      <c r="H197" s="165"/>
      <c r="I197" s="165"/>
      <c r="J197" s="165"/>
      <c r="K197" s="165"/>
      <c r="L197" s="165"/>
      <c r="M197" s="165"/>
      <c r="N197" s="165"/>
      <c r="O197" s="165"/>
      <c r="P197" s="165"/>
      <c r="Q197" s="165"/>
      <c r="R197" s="165"/>
      <c r="S197" s="165"/>
      <c r="T197" s="165"/>
      <c r="U197" s="165"/>
      <c r="V197" s="165"/>
      <c r="W197" s="165"/>
      <c r="X197" s="165"/>
    </row>
    <row r="198" spans="1:24" ht="11.25" customHeight="1" x14ac:dyDescent="0.25">
      <c r="A198" s="165"/>
      <c r="B198" s="165"/>
      <c r="C198" s="165"/>
      <c r="D198" s="165"/>
      <c r="E198" s="165"/>
      <c r="F198" s="165"/>
      <c r="G198" s="165"/>
      <c r="H198" s="165"/>
      <c r="I198" s="165"/>
      <c r="J198" s="165"/>
      <c r="K198" s="165"/>
      <c r="L198" s="165"/>
      <c r="M198" s="165"/>
      <c r="N198" s="165"/>
      <c r="O198" s="165"/>
      <c r="P198" s="165"/>
      <c r="Q198" s="165"/>
      <c r="R198" s="165"/>
      <c r="S198" s="165"/>
      <c r="T198" s="165"/>
      <c r="U198" s="165"/>
      <c r="V198" s="165"/>
      <c r="W198" s="165"/>
      <c r="X198" s="165"/>
    </row>
    <row r="199" spans="1:24" ht="11.25" customHeight="1" x14ac:dyDescent="0.25">
      <c r="A199" s="165"/>
      <c r="B199" s="165"/>
      <c r="C199" s="165"/>
      <c r="D199" s="165"/>
      <c r="E199" s="165"/>
      <c r="F199" s="165"/>
      <c r="G199" s="165"/>
      <c r="H199" s="165"/>
      <c r="I199" s="165"/>
      <c r="J199" s="165"/>
      <c r="K199" s="165"/>
      <c r="L199" s="165"/>
      <c r="M199" s="165"/>
      <c r="N199" s="165"/>
      <c r="O199" s="165"/>
      <c r="P199" s="165"/>
      <c r="Q199" s="165"/>
      <c r="R199" s="165"/>
      <c r="S199" s="165"/>
      <c r="T199" s="165"/>
      <c r="U199" s="165"/>
      <c r="V199" s="165"/>
      <c r="W199" s="165"/>
      <c r="X199" s="165"/>
    </row>
    <row r="200" spans="1:24" ht="11.25" customHeight="1" x14ac:dyDescent="0.25">
      <c r="A200" s="165"/>
      <c r="B200" s="165"/>
      <c r="C200" s="165"/>
      <c r="D200" s="165"/>
      <c r="E200" s="165"/>
      <c r="F200" s="165"/>
      <c r="G200" s="165"/>
      <c r="H200" s="165"/>
      <c r="I200" s="165"/>
      <c r="J200" s="165"/>
      <c r="K200" s="165"/>
      <c r="L200" s="165"/>
      <c r="M200" s="165"/>
      <c r="N200" s="165"/>
      <c r="O200" s="165"/>
      <c r="P200" s="165"/>
      <c r="Q200" s="165"/>
      <c r="R200" s="165"/>
      <c r="S200" s="165"/>
      <c r="T200" s="165"/>
      <c r="U200" s="165"/>
      <c r="V200" s="165"/>
      <c r="W200" s="165"/>
      <c r="X200" s="165"/>
    </row>
    <row r="201" spans="1:24" ht="11.25" customHeight="1" x14ac:dyDescent="0.25">
      <c r="A201" s="165"/>
      <c r="B201" s="165"/>
      <c r="C201" s="165"/>
      <c r="D201" s="165"/>
      <c r="E201" s="165"/>
      <c r="F201" s="165"/>
      <c r="G201" s="165"/>
      <c r="H201" s="165"/>
      <c r="I201" s="165"/>
      <c r="J201" s="165"/>
      <c r="K201" s="165"/>
      <c r="L201" s="165"/>
      <c r="M201" s="165"/>
      <c r="N201" s="165"/>
      <c r="O201" s="165"/>
      <c r="P201" s="165"/>
      <c r="Q201" s="165"/>
      <c r="R201" s="165"/>
      <c r="S201" s="165"/>
      <c r="T201" s="165"/>
      <c r="U201" s="165"/>
      <c r="V201" s="165"/>
      <c r="W201" s="165"/>
      <c r="X201" s="165"/>
    </row>
    <row r="202" spans="1:24" ht="11.25" customHeight="1" x14ac:dyDescent="0.25">
      <c r="A202" s="165"/>
      <c r="B202" s="165"/>
      <c r="C202" s="165"/>
      <c r="D202" s="165"/>
      <c r="E202" s="165"/>
      <c r="F202" s="165"/>
      <c r="G202" s="165"/>
      <c r="H202" s="165"/>
      <c r="I202" s="165"/>
      <c r="J202" s="165"/>
      <c r="K202" s="165"/>
      <c r="L202" s="165"/>
      <c r="M202" s="165"/>
      <c r="N202" s="165"/>
      <c r="O202" s="165"/>
      <c r="P202" s="165"/>
      <c r="Q202" s="165"/>
      <c r="R202" s="165"/>
      <c r="S202" s="165"/>
      <c r="T202" s="165"/>
      <c r="U202" s="165"/>
      <c r="V202" s="165"/>
      <c r="W202" s="165"/>
      <c r="X202" s="165"/>
    </row>
    <row r="203" spans="1:24" ht="11.25" customHeight="1" x14ac:dyDescent="0.25">
      <c r="A203" s="165"/>
      <c r="B203" s="165"/>
      <c r="C203" s="165"/>
      <c r="D203" s="165"/>
      <c r="E203" s="165"/>
      <c r="F203" s="165"/>
      <c r="G203" s="165"/>
      <c r="H203" s="165"/>
      <c r="I203" s="165"/>
      <c r="J203" s="165"/>
      <c r="K203" s="165"/>
      <c r="L203" s="165"/>
      <c r="M203" s="165"/>
      <c r="N203" s="165"/>
      <c r="O203" s="165"/>
      <c r="P203" s="165"/>
      <c r="Q203" s="165"/>
      <c r="R203" s="165"/>
      <c r="S203" s="165"/>
      <c r="T203" s="165"/>
      <c r="U203" s="165"/>
      <c r="V203" s="165"/>
      <c r="W203" s="165"/>
      <c r="X203" s="165"/>
    </row>
    <row r="204" spans="1:24" ht="11.25" customHeight="1" x14ac:dyDescent="0.25">
      <c r="A204" s="165"/>
      <c r="B204" s="165"/>
      <c r="C204" s="165"/>
      <c r="D204" s="165"/>
      <c r="E204" s="165"/>
      <c r="F204" s="165"/>
      <c r="G204" s="165"/>
      <c r="H204" s="165"/>
      <c r="I204" s="165"/>
      <c r="J204" s="165"/>
      <c r="K204" s="165"/>
      <c r="L204" s="165"/>
      <c r="M204" s="165"/>
      <c r="N204" s="165"/>
      <c r="O204" s="165"/>
      <c r="P204" s="165"/>
      <c r="Q204" s="165"/>
      <c r="R204" s="165"/>
      <c r="S204" s="165"/>
      <c r="T204" s="165"/>
      <c r="U204" s="165"/>
      <c r="V204" s="165"/>
      <c r="W204" s="165"/>
      <c r="X204" s="165"/>
    </row>
    <row r="205" spans="1:24" ht="11.25" customHeight="1" x14ac:dyDescent="0.25">
      <c r="A205" s="165"/>
      <c r="B205" s="165"/>
      <c r="C205" s="165"/>
      <c r="D205" s="165"/>
      <c r="E205" s="165"/>
      <c r="F205" s="165"/>
      <c r="G205" s="165"/>
      <c r="H205" s="165"/>
      <c r="I205" s="165"/>
      <c r="J205" s="165"/>
      <c r="K205" s="165"/>
      <c r="L205" s="165"/>
      <c r="M205" s="165"/>
      <c r="N205" s="165"/>
      <c r="O205" s="165"/>
      <c r="P205" s="165"/>
      <c r="Q205" s="165"/>
      <c r="R205" s="165"/>
      <c r="S205" s="165"/>
      <c r="T205" s="165"/>
      <c r="U205" s="165"/>
      <c r="V205" s="165"/>
      <c r="W205" s="165"/>
      <c r="X205" s="165"/>
    </row>
    <row r="206" spans="1:24" ht="11.25" customHeight="1" x14ac:dyDescent="0.25">
      <c r="A206" s="165"/>
      <c r="B206" s="165"/>
      <c r="C206" s="165"/>
      <c r="D206" s="165"/>
      <c r="E206" s="165"/>
      <c r="F206" s="165"/>
      <c r="G206" s="165"/>
      <c r="H206" s="165"/>
      <c r="I206" s="165"/>
      <c r="J206" s="165"/>
      <c r="K206" s="165"/>
      <c r="L206" s="165"/>
      <c r="M206" s="165"/>
      <c r="N206" s="165"/>
      <c r="O206" s="165"/>
      <c r="P206" s="165"/>
      <c r="Q206" s="165"/>
      <c r="R206" s="165"/>
      <c r="S206" s="165"/>
      <c r="T206" s="165"/>
      <c r="U206" s="165"/>
      <c r="V206" s="165"/>
      <c r="W206" s="165"/>
      <c r="X206" s="165"/>
    </row>
    <row r="207" spans="1:24" ht="11.25" customHeight="1" x14ac:dyDescent="0.25">
      <c r="A207" s="165"/>
      <c r="B207" s="165"/>
      <c r="C207" s="165"/>
      <c r="D207" s="165"/>
      <c r="E207" s="165"/>
      <c r="F207" s="165"/>
      <c r="G207" s="165"/>
      <c r="H207" s="165"/>
      <c r="I207" s="165"/>
      <c r="J207" s="165"/>
      <c r="K207" s="165"/>
      <c r="L207" s="165"/>
      <c r="M207" s="165"/>
      <c r="N207" s="165"/>
      <c r="O207" s="165"/>
      <c r="P207" s="165"/>
      <c r="Q207" s="165"/>
      <c r="R207" s="165"/>
      <c r="S207" s="165"/>
      <c r="T207" s="165"/>
      <c r="U207" s="165"/>
      <c r="V207" s="165"/>
      <c r="W207" s="165"/>
      <c r="X207" s="165"/>
    </row>
    <row r="208" spans="1:24" ht="11.25" customHeight="1" x14ac:dyDescent="0.25">
      <c r="A208" s="165"/>
      <c r="B208" s="165"/>
      <c r="C208" s="165"/>
      <c r="D208" s="165"/>
      <c r="E208" s="165"/>
      <c r="F208" s="165"/>
      <c r="G208" s="165"/>
      <c r="H208" s="165"/>
      <c r="I208" s="165"/>
      <c r="J208" s="165"/>
      <c r="K208" s="165"/>
      <c r="L208" s="165"/>
      <c r="M208" s="165"/>
      <c r="N208" s="165"/>
      <c r="O208" s="165"/>
      <c r="P208" s="165"/>
      <c r="Q208" s="165"/>
      <c r="R208" s="165"/>
      <c r="S208" s="165"/>
      <c r="T208" s="165"/>
      <c r="U208" s="165"/>
      <c r="V208" s="165"/>
      <c r="W208" s="165"/>
      <c r="X208" s="165"/>
    </row>
    <row r="209" spans="1:24" ht="11.25" customHeight="1" x14ac:dyDescent="0.25">
      <c r="A209" s="165"/>
      <c r="B209" s="165"/>
      <c r="C209" s="165"/>
      <c r="D209" s="165"/>
      <c r="E209" s="165"/>
      <c r="F209" s="165"/>
      <c r="G209" s="165"/>
      <c r="H209" s="165"/>
      <c r="I209" s="165"/>
      <c r="J209" s="165"/>
      <c r="K209" s="165"/>
      <c r="L209" s="165"/>
      <c r="M209" s="165"/>
      <c r="N209" s="165"/>
      <c r="O209" s="165"/>
      <c r="P209" s="165"/>
      <c r="Q209" s="165"/>
      <c r="R209" s="165"/>
      <c r="S209" s="165"/>
      <c r="T209" s="165"/>
      <c r="U209" s="165"/>
      <c r="V209" s="165"/>
      <c r="W209" s="165"/>
      <c r="X209" s="165"/>
    </row>
    <row r="210" spans="1:24" ht="11.25" customHeight="1" x14ac:dyDescent="0.25">
      <c r="A210" s="165"/>
      <c r="B210" s="165"/>
      <c r="C210" s="165"/>
      <c r="D210" s="165"/>
      <c r="E210" s="165"/>
      <c r="F210" s="165"/>
      <c r="G210" s="165"/>
      <c r="H210" s="165"/>
      <c r="I210" s="165"/>
      <c r="J210" s="165"/>
      <c r="K210" s="165"/>
      <c r="L210" s="165"/>
      <c r="M210" s="165"/>
      <c r="N210" s="165"/>
      <c r="O210" s="165"/>
      <c r="P210" s="165"/>
      <c r="Q210" s="165"/>
      <c r="R210" s="165"/>
      <c r="S210" s="165"/>
      <c r="T210" s="165"/>
      <c r="U210" s="165"/>
      <c r="V210" s="165"/>
      <c r="W210" s="165"/>
      <c r="X210" s="165"/>
    </row>
    <row r="211" spans="1:24" ht="11.25" customHeight="1" x14ac:dyDescent="0.25">
      <c r="A211" s="165"/>
      <c r="B211" s="165"/>
      <c r="C211" s="165"/>
      <c r="D211" s="165"/>
      <c r="E211" s="165"/>
      <c r="F211" s="165"/>
      <c r="G211" s="165"/>
      <c r="H211" s="165"/>
      <c r="I211" s="165"/>
      <c r="J211" s="165"/>
      <c r="K211" s="165"/>
      <c r="L211" s="165"/>
      <c r="M211" s="165"/>
      <c r="N211" s="165"/>
      <c r="O211" s="165"/>
      <c r="P211" s="165"/>
      <c r="Q211" s="165"/>
      <c r="R211" s="165"/>
      <c r="S211" s="165"/>
      <c r="T211" s="165"/>
      <c r="U211" s="165"/>
      <c r="V211" s="165"/>
      <c r="W211" s="165"/>
      <c r="X211" s="165"/>
    </row>
    <row r="212" spans="1:24" ht="11.25" customHeight="1" x14ac:dyDescent="0.25">
      <c r="A212" s="165"/>
      <c r="B212" s="165"/>
      <c r="C212" s="165"/>
      <c r="D212" s="165"/>
      <c r="E212" s="165"/>
      <c r="F212" s="165"/>
      <c r="G212" s="165"/>
      <c r="H212" s="165"/>
      <c r="I212" s="165"/>
      <c r="J212" s="165"/>
      <c r="K212" s="165"/>
      <c r="L212" s="165"/>
      <c r="M212" s="165"/>
      <c r="N212" s="165"/>
      <c r="O212" s="165"/>
      <c r="P212" s="165"/>
      <c r="Q212" s="165"/>
      <c r="R212" s="165"/>
      <c r="S212" s="165"/>
      <c r="T212" s="165"/>
      <c r="U212" s="165"/>
      <c r="V212" s="165"/>
      <c r="W212" s="165"/>
      <c r="X212" s="165"/>
    </row>
    <row r="213" spans="1:24" ht="11.25" customHeight="1" x14ac:dyDescent="0.25">
      <c r="A213" s="165"/>
      <c r="B213" s="165"/>
      <c r="C213" s="165"/>
      <c r="D213" s="165"/>
      <c r="E213" s="165"/>
      <c r="F213" s="165"/>
      <c r="G213" s="165"/>
      <c r="H213" s="165"/>
      <c r="I213" s="165"/>
      <c r="J213" s="165"/>
      <c r="K213" s="165"/>
      <c r="L213" s="165"/>
      <c r="M213" s="165"/>
      <c r="N213" s="165"/>
      <c r="O213" s="165"/>
      <c r="P213" s="165"/>
      <c r="Q213" s="165"/>
      <c r="R213" s="165"/>
      <c r="S213" s="165"/>
      <c r="T213" s="165"/>
      <c r="U213" s="165"/>
      <c r="V213" s="165"/>
      <c r="W213" s="165"/>
      <c r="X213" s="165"/>
    </row>
    <row r="214" spans="1:24" ht="11.25" customHeight="1" x14ac:dyDescent="0.25">
      <c r="A214" s="165"/>
      <c r="B214" s="165"/>
      <c r="C214" s="165"/>
      <c r="D214" s="165"/>
      <c r="E214" s="165"/>
      <c r="F214" s="165"/>
      <c r="G214" s="165"/>
      <c r="H214" s="165"/>
      <c r="I214" s="165"/>
      <c r="J214" s="165"/>
      <c r="K214" s="165"/>
      <c r="L214" s="165"/>
      <c r="M214" s="165"/>
      <c r="N214" s="165"/>
      <c r="O214" s="165"/>
      <c r="P214" s="165"/>
      <c r="Q214" s="165"/>
      <c r="R214" s="165"/>
      <c r="S214" s="165"/>
      <c r="T214" s="165"/>
      <c r="U214" s="165"/>
      <c r="V214" s="165"/>
      <c r="W214" s="165"/>
      <c r="X214" s="165"/>
    </row>
    <row r="215" spans="1:24" ht="11.25" customHeight="1" x14ac:dyDescent="0.25">
      <c r="A215" s="165"/>
      <c r="B215" s="165"/>
      <c r="C215" s="165"/>
      <c r="D215" s="165"/>
      <c r="E215" s="165"/>
      <c r="F215" s="165"/>
      <c r="G215" s="165"/>
      <c r="H215" s="165"/>
      <c r="I215" s="165"/>
      <c r="J215" s="165"/>
      <c r="K215" s="165"/>
      <c r="L215" s="165"/>
      <c r="M215" s="165"/>
      <c r="N215" s="165"/>
      <c r="O215" s="165"/>
      <c r="P215" s="165"/>
      <c r="Q215" s="165"/>
      <c r="R215" s="165"/>
      <c r="S215" s="165"/>
      <c r="T215" s="165"/>
      <c r="U215" s="165"/>
      <c r="V215" s="165"/>
      <c r="W215" s="165"/>
      <c r="X215" s="165"/>
    </row>
    <row r="216" spans="1:24" ht="11.25" customHeight="1" x14ac:dyDescent="0.25">
      <c r="A216" s="165"/>
      <c r="B216" s="165"/>
      <c r="C216" s="165"/>
      <c r="D216" s="165"/>
      <c r="E216" s="165"/>
      <c r="F216" s="165"/>
      <c r="G216" s="165"/>
      <c r="H216" s="165"/>
      <c r="I216" s="165"/>
      <c r="J216" s="165"/>
      <c r="K216" s="165"/>
      <c r="L216" s="165"/>
      <c r="M216" s="165"/>
      <c r="N216" s="165"/>
      <c r="O216" s="165"/>
      <c r="P216" s="165"/>
      <c r="Q216" s="165"/>
      <c r="R216" s="165"/>
      <c r="S216" s="165"/>
      <c r="T216" s="165"/>
      <c r="U216" s="165"/>
      <c r="V216" s="165"/>
      <c r="W216" s="165"/>
      <c r="X216" s="165"/>
    </row>
    <row r="217" spans="1:24" ht="11.25" customHeight="1" x14ac:dyDescent="0.25">
      <c r="A217" s="165"/>
      <c r="B217" s="165"/>
      <c r="C217" s="165"/>
      <c r="D217" s="165"/>
      <c r="E217" s="165"/>
      <c r="F217" s="165"/>
      <c r="G217" s="165"/>
      <c r="H217" s="165"/>
      <c r="I217" s="165"/>
      <c r="J217" s="165"/>
      <c r="K217" s="165"/>
      <c r="L217" s="165"/>
      <c r="M217" s="165"/>
      <c r="N217" s="165"/>
      <c r="O217" s="165"/>
      <c r="P217" s="165"/>
      <c r="Q217" s="165"/>
      <c r="R217" s="165"/>
      <c r="S217" s="165"/>
      <c r="T217" s="165"/>
      <c r="U217" s="165"/>
      <c r="V217" s="165"/>
      <c r="W217" s="165"/>
      <c r="X217" s="165"/>
    </row>
    <row r="218" spans="1:24" ht="11.25" customHeight="1" x14ac:dyDescent="0.25">
      <c r="A218" s="165"/>
      <c r="B218" s="165"/>
      <c r="C218" s="165"/>
      <c r="D218" s="165"/>
      <c r="E218" s="165"/>
      <c r="F218" s="165"/>
      <c r="G218" s="165"/>
      <c r="H218" s="165"/>
      <c r="I218" s="165"/>
      <c r="J218" s="165"/>
      <c r="K218" s="165"/>
      <c r="L218" s="165"/>
      <c r="M218" s="165"/>
      <c r="N218" s="165"/>
      <c r="O218" s="165"/>
      <c r="P218" s="165"/>
      <c r="Q218" s="165"/>
      <c r="R218" s="165"/>
      <c r="S218" s="165"/>
      <c r="T218" s="165"/>
      <c r="U218" s="165"/>
      <c r="V218" s="165"/>
      <c r="W218" s="165"/>
      <c r="X218" s="165"/>
    </row>
    <row r="219" spans="1:24" ht="11.25" customHeight="1" x14ac:dyDescent="0.25">
      <c r="A219" s="165"/>
      <c r="B219" s="165"/>
      <c r="C219" s="165"/>
      <c r="D219" s="165"/>
      <c r="E219" s="165"/>
      <c r="F219" s="165"/>
      <c r="G219" s="165"/>
      <c r="H219" s="165"/>
      <c r="I219" s="165"/>
      <c r="J219" s="165"/>
      <c r="K219" s="165"/>
      <c r="L219" s="165"/>
      <c r="M219" s="165"/>
      <c r="N219" s="165"/>
      <c r="O219" s="165"/>
      <c r="P219" s="165"/>
      <c r="Q219" s="165"/>
      <c r="R219" s="165"/>
      <c r="S219" s="165"/>
      <c r="T219" s="165"/>
      <c r="U219" s="165"/>
      <c r="V219" s="165"/>
      <c r="W219" s="165"/>
      <c r="X219" s="165"/>
    </row>
    <row r="220" spans="1:24" ht="11.25" customHeight="1" x14ac:dyDescent="0.25">
      <c r="A220" s="165"/>
      <c r="B220" s="165"/>
      <c r="C220" s="165"/>
      <c r="D220" s="165"/>
      <c r="E220" s="165"/>
      <c r="F220" s="165"/>
      <c r="G220" s="165"/>
      <c r="H220" s="165"/>
      <c r="I220" s="165"/>
      <c r="J220" s="165"/>
      <c r="K220" s="165"/>
      <c r="L220" s="165"/>
      <c r="M220" s="165"/>
      <c r="N220" s="165"/>
      <c r="O220" s="165"/>
      <c r="P220" s="165"/>
      <c r="Q220" s="165"/>
      <c r="R220" s="165"/>
      <c r="S220" s="165"/>
      <c r="T220" s="165"/>
      <c r="U220" s="165"/>
      <c r="V220" s="165"/>
      <c r="W220" s="165"/>
      <c r="X220" s="165"/>
    </row>
    <row r="221" spans="1:24" ht="11.25" customHeight="1" x14ac:dyDescent="0.25">
      <c r="A221" s="165"/>
      <c r="B221" s="165"/>
      <c r="C221" s="165"/>
      <c r="D221" s="165"/>
      <c r="E221" s="165"/>
      <c r="F221" s="165"/>
      <c r="G221" s="165"/>
      <c r="H221" s="165"/>
      <c r="I221" s="165"/>
      <c r="J221" s="165"/>
      <c r="K221" s="165"/>
      <c r="L221" s="165"/>
      <c r="M221" s="165"/>
      <c r="N221" s="165"/>
      <c r="O221" s="165"/>
      <c r="P221" s="165"/>
      <c r="Q221" s="165"/>
      <c r="R221" s="165"/>
      <c r="S221" s="165"/>
      <c r="T221" s="165"/>
      <c r="U221" s="165"/>
      <c r="V221" s="165"/>
      <c r="W221" s="165"/>
      <c r="X221" s="165"/>
    </row>
    <row r="222" spans="1:24" ht="11.25" customHeight="1" x14ac:dyDescent="0.25">
      <c r="A222" s="165"/>
      <c r="B222" s="165"/>
      <c r="C222" s="165"/>
      <c r="D222" s="165"/>
      <c r="E222" s="165"/>
      <c r="F222" s="165"/>
      <c r="G222" s="165"/>
      <c r="H222" s="165"/>
      <c r="I222" s="165"/>
      <c r="J222" s="165"/>
      <c r="K222" s="165"/>
      <c r="L222" s="165"/>
      <c r="M222" s="165"/>
      <c r="N222" s="165"/>
      <c r="O222" s="165"/>
      <c r="P222" s="165"/>
      <c r="Q222" s="165"/>
      <c r="R222" s="165"/>
      <c r="S222" s="165"/>
      <c r="T222" s="165"/>
      <c r="U222" s="165"/>
      <c r="V222" s="165"/>
      <c r="W222" s="165"/>
      <c r="X222" s="165"/>
    </row>
    <row r="223" spans="1:24" ht="11.25" customHeight="1" x14ac:dyDescent="0.25">
      <c r="A223" s="165"/>
      <c r="B223" s="165"/>
      <c r="C223" s="165"/>
      <c r="D223" s="165"/>
      <c r="E223" s="165"/>
      <c r="F223" s="165"/>
      <c r="G223" s="165"/>
      <c r="H223" s="165"/>
      <c r="I223" s="165"/>
      <c r="J223" s="165"/>
      <c r="K223" s="165"/>
      <c r="L223" s="165"/>
      <c r="M223" s="165"/>
      <c r="N223" s="165"/>
      <c r="O223" s="165"/>
      <c r="P223" s="165"/>
      <c r="Q223" s="165"/>
      <c r="R223" s="165"/>
      <c r="S223" s="165"/>
      <c r="T223" s="165"/>
      <c r="U223" s="165"/>
      <c r="V223" s="165"/>
      <c r="W223" s="165"/>
      <c r="X223" s="165"/>
    </row>
    <row r="224" spans="1:24" ht="11.25" customHeight="1" x14ac:dyDescent="0.25">
      <c r="A224" s="165"/>
      <c r="B224" s="165"/>
      <c r="C224" s="165"/>
      <c r="D224" s="165"/>
      <c r="E224" s="165"/>
      <c r="F224" s="165"/>
      <c r="G224" s="165"/>
      <c r="H224" s="165"/>
      <c r="I224" s="165"/>
      <c r="J224" s="165"/>
      <c r="K224" s="165"/>
      <c r="L224" s="165"/>
      <c r="M224" s="165"/>
      <c r="N224" s="165"/>
      <c r="O224" s="165"/>
      <c r="P224" s="165"/>
      <c r="Q224" s="165"/>
      <c r="R224" s="165"/>
      <c r="S224" s="165"/>
      <c r="T224" s="165"/>
      <c r="U224" s="165"/>
      <c r="V224" s="165"/>
      <c r="W224" s="165"/>
      <c r="X224" s="165"/>
    </row>
    <row r="225" spans="1:24" ht="11.25" customHeight="1" x14ac:dyDescent="0.25">
      <c r="A225" s="165"/>
      <c r="B225" s="165"/>
      <c r="C225" s="165"/>
      <c r="D225" s="165"/>
      <c r="E225" s="165"/>
      <c r="F225" s="165"/>
      <c r="G225" s="165"/>
      <c r="H225" s="165"/>
      <c r="I225" s="165"/>
      <c r="J225" s="165"/>
      <c r="K225" s="165"/>
      <c r="L225" s="165"/>
      <c r="M225" s="165"/>
      <c r="N225" s="165"/>
      <c r="O225" s="165"/>
      <c r="P225" s="165"/>
      <c r="Q225" s="165"/>
      <c r="R225" s="165"/>
      <c r="S225" s="165"/>
      <c r="T225" s="165"/>
      <c r="U225" s="165"/>
      <c r="V225" s="165"/>
      <c r="W225" s="165"/>
      <c r="X225" s="165"/>
    </row>
    <row r="226" spans="1:24" ht="11.25" customHeight="1" x14ac:dyDescent="0.25">
      <c r="A226" s="165"/>
      <c r="B226" s="165"/>
      <c r="C226" s="165"/>
      <c r="D226" s="165"/>
      <c r="E226" s="165"/>
      <c r="F226" s="165"/>
      <c r="G226" s="165"/>
      <c r="H226" s="165"/>
      <c r="I226" s="165"/>
      <c r="J226" s="165"/>
      <c r="K226" s="165"/>
      <c r="L226" s="165"/>
      <c r="M226" s="165"/>
      <c r="N226" s="165"/>
      <c r="O226" s="165"/>
      <c r="P226" s="165"/>
      <c r="Q226" s="165"/>
      <c r="R226" s="165"/>
      <c r="S226" s="165"/>
      <c r="T226" s="165"/>
      <c r="U226" s="165"/>
      <c r="V226" s="165"/>
      <c r="W226" s="165"/>
      <c r="X226" s="165"/>
    </row>
    <row r="227" spans="1:24" ht="11.25" customHeight="1" x14ac:dyDescent="0.25">
      <c r="A227" s="165"/>
      <c r="B227" s="165"/>
      <c r="C227" s="165"/>
      <c r="D227" s="165"/>
      <c r="E227" s="165"/>
      <c r="F227" s="165"/>
      <c r="G227" s="165"/>
      <c r="H227" s="165"/>
      <c r="I227" s="165"/>
      <c r="J227" s="165"/>
      <c r="K227" s="165"/>
      <c r="L227" s="165"/>
      <c r="M227" s="165"/>
      <c r="N227" s="165"/>
      <c r="O227" s="165"/>
      <c r="P227" s="165"/>
      <c r="Q227" s="165"/>
      <c r="R227" s="165"/>
      <c r="S227" s="165"/>
      <c r="T227" s="165"/>
      <c r="U227" s="165"/>
      <c r="V227" s="165"/>
      <c r="W227" s="165"/>
      <c r="X227" s="165"/>
    </row>
    <row r="228" spans="1:24" ht="11.25" customHeight="1" x14ac:dyDescent="0.25">
      <c r="A228" s="165"/>
      <c r="B228" s="165"/>
      <c r="C228" s="165"/>
      <c r="D228" s="165"/>
      <c r="E228" s="165"/>
      <c r="F228" s="165"/>
      <c r="G228" s="165"/>
      <c r="H228" s="165"/>
      <c r="I228" s="165"/>
      <c r="J228" s="165"/>
      <c r="K228" s="165"/>
      <c r="L228" s="165"/>
      <c r="M228" s="165"/>
      <c r="N228" s="165"/>
      <c r="O228" s="165"/>
      <c r="P228" s="165"/>
      <c r="Q228" s="165"/>
      <c r="R228" s="165"/>
      <c r="S228" s="165"/>
      <c r="T228" s="165"/>
      <c r="U228" s="165"/>
      <c r="V228" s="165"/>
      <c r="W228" s="165"/>
      <c r="X228" s="165"/>
    </row>
    <row r="229" spans="1:24" ht="11.25" customHeight="1" x14ac:dyDescent="0.25">
      <c r="A229" s="165"/>
      <c r="B229" s="165"/>
      <c r="C229" s="165"/>
      <c r="D229" s="165"/>
      <c r="E229" s="165"/>
      <c r="F229" s="165"/>
      <c r="G229" s="165"/>
      <c r="H229" s="165"/>
      <c r="I229" s="165"/>
      <c r="J229" s="165"/>
      <c r="K229" s="165"/>
      <c r="L229" s="165"/>
      <c r="M229" s="165"/>
      <c r="N229" s="165"/>
      <c r="O229" s="165"/>
      <c r="P229" s="165"/>
      <c r="Q229" s="165"/>
      <c r="R229" s="165"/>
      <c r="S229" s="165"/>
      <c r="T229" s="165"/>
      <c r="U229" s="165"/>
      <c r="V229" s="165"/>
      <c r="W229" s="165"/>
      <c r="X229" s="165"/>
    </row>
    <row r="230" spans="1:24" ht="11.25" customHeight="1" x14ac:dyDescent="0.25">
      <c r="A230" s="165"/>
      <c r="B230" s="165"/>
      <c r="C230" s="165"/>
      <c r="D230" s="165"/>
      <c r="E230" s="165"/>
      <c r="F230" s="165"/>
      <c r="G230" s="165"/>
      <c r="H230" s="165"/>
      <c r="I230" s="165"/>
      <c r="J230" s="165"/>
      <c r="K230" s="165"/>
      <c r="L230" s="165"/>
      <c r="M230" s="165"/>
      <c r="N230" s="165"/>
      <c r="O230" s="165"/>
      <c r="P230" s="165"/>
      <c r="Q230" s="165"/>
      <c r="R230" s="165"/>
      <c r="S230" s="165"/>
      <c r="T230" s="165"/>
      <c r="U230" s="165"/>
      <c r="V230" s="165"/>
      <c r="W230" s="165"/>
      <c r="X230" s="165"/>
    </row>
    <row r="231" spans="1:24" ht="11.25" customHeight="1" x14ac:dyDescent="0.25">
      <c r="A231" s="165"/>
      <c r="B231" s="165"/>
      <c r="C231" s="165"/>
      <c r="D231" s="165"/>
      <c r="E231" s="165"/>
      <c r="F231" s="165"/>
      <c r="G231" s="165"/>
      <c r="H231" s="165"/>
      <c r="I231" s="165"/>
      <c r="J231" s="165"/>
      <c r="K231" s="165"/>
      <c r="L231" s="165"/>
      <c r="M231" s="165"/>
      <c r="N231" s="165"/>
      <c r="O231" s="165"/>
      <c r="P231" s="165"/>
      <c r="Q231" s="165"/>
      <c r="R231" s="165"/>
      <c r="S231" s="165"/>
      <c r="T231" s="165"/>
      <c r="U231" s="165"/>
      <c r="V231" s="165"/>
      <c r="W231" s="165"/>
      <c r="X231" s="165"/>
    </row>
    <row r="232" spans="1:24" ht="15.75" customHeight="1" x14ac:dyDescent="0.25"/>
    <row r="233" spans="1:24" ht="15.75" customHeight="1" x14ac:dyDescent="0.25"/>
    <row r="234" spans="1:24" ht="15.75" customHeight="1" x14ac:dyDescent="0.25"/>
    <row r="235" spans="1:24" ht="15.75" customHeight="1" x14ac:dyDescent="0.25"/>
    <row r="236" spans="1:24" ht="15.75" customHeight="1" x14ac:dyDescent="0.25"/>
    <row r="237" spans="1:24" ht="15.75" customHeight="1" x14ac:dyDescent="0.25"/>
    <row r="238" spans="1:24" ht="15.75" customHeight="1" x14ac:dyDescent="0.25"/>
    <row r="239" spans="1:24" ht="15.75" customHeight="1" x14ac:dyDescent="0.25"/>
    <row r="240" spans="1:24"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1">
    <mergeCell ref="A26:B26"/>
    <mergeCell ref="A27:B27"/>
    <mergeCell ref="A31:B31"/>
    <mergeCell ref="A32:B32"/>
    <mergeCell ref="B10:C10"/>
    <mergeCell ref="A22:E22"/>
    <mergeCell ref="D10:E10"/>
    <mergeCell ref="A11:A15"/>
    <mergeCell ref="B11:C15"/>
    <mergeCell ref="D11:E13"/>
    <mergeCell ref="A16:A19"/>
  </mergeCells>
  <printOptions horizontalCentered="1"/>
  <pageMargins left="0.25" right="0" top="0.27" bottom="0.25" header="0" footer="0"/>
  <pageSetup paperSize="14" scale="88"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Y1000"/>
  <sheetViews>
    <sheetView workbookViewId="0"/>
  </sheetViews>
  <sheetFormatPr defaultColWidth="12.59765625" defaultRowHeight="15" customHeight="1" x14ac:dyDescent="0.25"/>
  <cols>
    <col min="1" max="1" width="3.8984375" customWidth="1"/>
    <col min="2" max="3" width="35.8984375" customWidth="1"/>
    <col min="4" max="4" width="14.09765625" customWidth="1"/>
    <col min="5" max="5" width="13.09765625" customWidth="1"/>
    <col min="6" max="25" width="8.59765625" customWidth="1"/>
  </cols>
  <sheetData>
    <row r="1" spans="1:25" ht="14.25" customHeight="1" x14ac:dyDescent="0.25">
      <c r="A1" s="6" t="s">
        <v>2832</v>
      </c>
      <c r="B1" s="6"/>
      <c r="C1" s="343"/>
      <c r="D1" s="344"/>
      <c r="E1" s="344"/>
      <c r="F1" s="344"/>
      <c r="G1" s="344"/>
      <c r="H1" s="344"/>
      <c r="I1" s="344"/>
      <c r="J1" s="344"/>
      <c r="K1" s="344"/>
      <c r="L1" s="344"/>
      <c r="M1" s="344"/>
      <c r="N1" s="344"/>
      <c r="O1" s="344"/>
      <c r="P1" s="344"/>
      <c r="Q1" s="344"/>
      <c r="R1" s="344"/>
      <c r="S1" s="344"/>
      <c r="T1" s="344"/>
      <c r="U1" s="344"/>
      <c r="V1" s="344"/>
      <c r="W1" s="344"/>
      <c r="X1" s="344"/>
      <c r="Y1" s="344"/>
    </row>
    <row r="2" spans="1:25" ht="14.25" customHeight="1" x14ac:dyDescent="0.25">
      <c r="A2" s="6" t="s">
        <v>2918</v>
      </c>
      <c r="B2" s="6"/>
      <c r="C2" s="343"/>
      <c r="D2" s="344"/>
      <c r="E2" s="344"/>
      <c r="F2" s="344"/>
      <c r="G2" s="344"/>
      <c r="H2" s="344"/>
      <c r="I2" s="344"/>
      <c r="J2" s="344"/>
      <c r="K2" s="344"/>
      <c r="L2" s="344"/>
      <c r="M2" s="344"/>
      <c r="N2" s="344"/>
      <c r="O2" s="344"/>
      <c r="P2" s="344"/>
      <c r="Q2" s="344"/>
      <c r="R2" s="344"/>
      <c r="S2" s="344"/>
      <c r="T2" s="344"/>
      <c r="U2" s="344"/>
      <c r="V2" s="344"/>
      <c r="W2" s="344"/>
      <c r="X2" s="344"/>
      <c r="Y2" s="344"/>
    </row>
    <row r="3" spans="1:25" ht="14.25" customHeight="1" x14ac:dyDescent="0.25">
      <c r="A3" s="165"/>
      <c r="B3" s="165"/>
      <c r="C3" s="343"/>
      <c r="D3" s="344"/>
      <c r="E3" s="344"/>
      <c r="F3" s="344"/>
      <c r="G3" s="344"/>
      <c r="H3" s="344"/>
      <c r="I3" s="344"/>
      <c r="J3" s="344"/>
      <c r="K3" s="344"/>
      <c r="L3" s="344"/>
      <c r="M3" s="344"/>
      <c r="N3" s="344"/>
      <c r="O3" s="344"/>
      <c r="P3" s="344"/>
      <c r="Q3" s="344"/>
      <c r="R3" s="344"/>
      <c r="S3" s="344"/>
      <c r="T3" s="344"/>
      <c r="U3" s="344"/>
      <c r="V3" s="344"/>
      <c r="W3" s="344"/>
      <c r="X3" s="344"/>
      <c r="Y3" s="344"/>
    </row>
    <row r="4" spans="1:25" ht="14.25" customHeight="1" x14ac:dyDescent="0.25">
      <c r="A4" s="165" t="s">
        <v>2919</v>
      </c>
      <c r="B4" s="165"/>
      <c r="C4" s="343"/>
      <c r="D4" s="344"/>
      <c r="E4" s="344"/>
      <c r="F4" s="344"/>
      <c r="G4" s="344"/>
      <c r="H4" s="344"/>
      <c r="I4" s="344"/>
      <c r="J4" s="344"/>
      <c r="K4" s="344"/>
      <c r="L4" s="344"/>
      <c r="M4" s="344"/>
      <c r="N4" s="344"/>
      <c r="O4" s="344"/>
      <c r="P4" s="344"/>
      <c r="Q4" s="344"/>
      <c r="R4" s="344"/>
      <c r="S4" s="344"/>
      <c r="T4" s="344"/>
      <c r="U4" s="344"/>
      <c r="V4" s="344"/>
      <c r="W4" s="344"/>
      <c r="X4" s="344"/>
      <c r="Y4" s="344"/>
    </row>
    <row r="5" spans="1:25" ht="14.25" customHeight="1" x14ac:dyDescent="0.25">
      <c r="A5" s="165" t="s">
        <v>2920</v>
      </c>
      <c r="B5" s="165"/>
      <c r="C5" s="343"/>
      <c r="D5" s="344"/>
      <c r="E5" s="344"/>
      <c r="F5" s="344"/>
      <c r="G5" s="344"/>
      <c r="H5" s="344"/>
      <c r="I5" s="344"/>
      <c r="J5" s="344"/>
      <c r="K5" s="344"/>
      <c r="L5" s="344"/>
      <c r="M5" s="344"/>
      <c r="N5" s="344"/>
      <c r="O5" s="344"/>
      <c r="P5" s="344"/>
      <c r="Q5" s="344"/>
      <c r="R5" s="344"/>
      <c r="S5" s="344"/>
      <c r="T5" s="344"/>
      <c r="U5" s="344"/>
      <c r="V5" s="344"/>
      <c r="W5" s="344"/>
      <c r="X5" s="344"/>
      <c r="Y5" s="344"/>
    </row>
    <row r="6" spans="1:25" ht="14.25" customHeight="1" x14ac:dyDescent="0.25">
      <c r="A6" s="165"/>
      <c r="B6" s="165"/>
      <c r="C6" s="343"/>
      <c r="D6" s="344"/>
      <c r="E6" s="344"/>
      <c r="F6" s="344"/>
      <c r="G6" s="344"/>
      <c r="H6" s="344"/>
      <c r="I6" s="344"/>
      <c r="J6" s="344"/>
      <c r="K6" s="344"/>
      <c r="L6" s="344"/>
      <c r="M6" s="344"/>
      <c r="N6" s="344"/>
      <c r="O6" s="344"/>
      <c r="P6" s="344"/>
      <c r="Q6" s="344"/>
      <c r="R6" s="344"/>
      <c r="S6" s="344"/>
      <c r="T6" s="344"/>
      <c r="U6" s="344"/>
      <c r="V6" s="344"/>
      <c r="W6" s="344"/>
      <c r="X6" s="344"/>
      <c r="Y6" s="344"/>
    </row>
    <row r="7" spans="1:25" ht="12.75" customHeight="1" x14ac:dyDescent="0.25">
      <c r="A7" s="345" t="s">
        <v>7</v>
      </c>
      <c r="B7" s="4"/>
      <c r="C7" s="346"/>
      <c r="D7" s="175"/>
      <c r="E7" s="175"/>
      <c r="F7" s="344"/>
      <c r="G7" s="344"/>
      <c r="H7" s="344"/>
      <c r="I7" s="344"/>
      <c r="J7" s="344"/>
      <c r="K7" s="344"/>
      <c r="L7" s="344"/>
      <c r="M7" s="344"/>
      <c r="N7" s="344"/>
      <c r="O7" s="344"/>
      <c r="P7" s="344"/>
      <c r="Q7" s="344"/>
      <c r="R7" s="344"/>
      <c r="S7" s="344"/>
      <c r="T7" s="344"/>
      <c r="U7" s="344"/>
      <c r="V7" s="344"/>
      <c r="W7" s="344"/>
      <c r="X7" s="344"/>
      <c r="Y7" s="344"/>
    </row>
    <row r="8" spans="1:25" ht="12.75" customHeight="1" x14ac:dyDescent="0.25">
      <c r="A8" s="175"/>
      <c r="B8" s="175"/>
      <c r="C8" s="345" t="s">
        <v>2921</v>
      </c>
      <c r="D8" s="175"/>
      <c r="E8" s="175"/>
      <c r="F8" s="344"/>
      <c r="G8" s="344"/>
      <c r="H8" s="344"/>
      <c r="I8" s="344"/>
      <c r="J8" s="344"/>
      <c r="K8" s="344"/>
      <c r="L8" s="344"/>
      <c r="M8" s="344"/>
      <c r="N8" s="344"/>
      <c r="O8" s="344"/>
      <c r="P8" s="344"/>
      <c r="Q8" s="344"/>
      <c r="R8" s="344"/>
      <c r="S8" s="344"/>
      <c r="T8" s="344"/>
      <c r="U8" s="344"/>
      <c r="V8" s="344"/>
      <c r="W8" s="344"/>
      <c r="X8" s="344"/>
      <c r="Y8" s="344"/>
    </row>
    <row r="9" spans="1:25" ht="12.75" customHeight="1" x14ac:dyDescent="0.25">
      <c r="A9" s="175"/>
      <c r="B9" s="175"/>
      <c r="C9" s="334" t="s">
        <v>2908</v>
      </c>
      <c r="D9" s="175"/>
      <c r="E9" s="175"/>
      <c r="F9" s="344"/>
      <c r="G9" s="344"/>
      <c r="H9" s="344"/>
      <c r="I9" s="344"/>
      <c r="J9" s="344"/>
      <c r="K9" s="344"/>
      <c r="L9" s="344"/>
      <c r="M9" s="344"/>
      <c r="N9" s="344"/>
      <c r="O9" s="344"/>
      <c r="P9" s="344"/>
      <c r="Q9" s="344"/>
      <c r="R9" s="344"/>
      <c r="S9" s="344"/>
      <c r="T9" s="344"/>
      <c r="U9" s="344"/>
      <c r="V9" s="344"/>
      <c r="W9" s="344"/>
      <c r="X9" s="344"/>
      <c r="Y9" s="344"/>
    </row>
    <row r="10" spans="1:25" ht="12.75" customHeight="1" x14ac:dyDescent="0.25">
      <c r="A10" s="175"/>
      <c r="B10" s="175"/>
      <c r="C10" s="334" t="s">
        <v>2922</v>
      </c>
      <c r="D10" s="175"/>
      <c r="E10" s="175"/>
      <c r="F10" s="344"/>
      <c r="G10" s="344"/>
      <c r="H10" s="344"/>
      <c r="I10" s="344"/>
      <c r="J10" s="344"/>
      <c r="K10" s="344"/>
      <c r="L10" s="344"/>
      <c r="M10" s="344"/>
      <c r="N10" s="344"/>
      <c r="O10" s="344"/>
      <c r="P10" s="344"/>
      <c r="Q10" s="344"/>
      <c r="R10" s="344"/>
      <c r="S10" s="344"/>
      <c r="T10" s="344"/>
      <c r="U10" s="344"/>
      <c r="V10" s="344"/>
      <c r="W10" s="344"/>
      <c r="X10" s="344"/>
      <c r="Y10" s="344"/>
    </row>
    <row r="11" spans="1:25" ht="12.75" customHeight="1" x14ac:dyDescent="0.25">
      <c r="A11" s="175"/>
      <c r="B11" s="175"/>
      <c r="C11" s="347"/>
      <c r="D11" s="175"/>
      <c r="E11" s="175"/>
      <c r="F11" s="344"/>
      <c r="G11" s="344"/>
      <c r="H11" s="344"/>
      <c r="I11" s="344"/>
      <c r="J11" s="344"/>
      <c r="K11" s="344"/>
      <c r="L11" s="344"/>
      <c r="M11" s="344"/>
      <c r="N11" s="344"/>
      <c r="O11" s="344"/>
      <c r="P11" s="344"/>
      <c r="Q11" s="344"/>
      <c r="R11" s="344"/>
      <c r="S11" s="344"/>
      <c r="T11" s="344"/>
      <c r="U11" s="344"/>
      <c r="V11" s="344"/>
      <c r="W11" s="344"/>
      <c r="X11" s="344"/>
      <c r="Y11" s="344"/>
    </row>
    <row r="12" spans="1:25" ht="12.75" customHeight="1" x14ac:dyDescent="0.25">
      <c r="A12" s="482">
        <v>1</v>
      </c>
      <c r="B12" s="371"/>
      <c r="C12" s="348"/>
      <c r="D12" s="467">
        <v>3</v>
      </c>
      <c r="E12" s="371"/>
      <c r="F12" s="344"/>
      <c r="G12" s="344"/>
      <c r="H12" s="344"/>
      <c r="I12" s="344"/>
      <c r="J12" s="344"/>
      <c r="K12" s="344"/>
      <c r="L12" s="344"/>
      <c r="M12" s="344"/>
      <c r="N12" s="344"/>
      <c r="O12" s="344"/>
      <c r="P12" s="344"/>
      <c r="Q12" s="344"/>
      <c r="R12" s="344"/>
      <c r="S12" s="344"/>
      <c r="T12" s="344"/>
      <c r="U12" s="344"/>
      <c r="V12" s="344"/>
      <c r="W12" s="344"/>
      <c r="X12" s="344"/>
      <c r="Y12" s="344"/>
    </row>
    <row r="13" spans="1:25" ht="13.5" customHeight="1" x14ac:dyDescent="0.25">
      <c r="A13" s="468" t="s">
        <v>2923</v>
      </c>
      <c r="B13" s="378"/>
      <c r="C13" s="483" t="s">
        <v>2924</v>
      </c>
      <c r="D13" s="468" t="s">
        <v>2925</v>
      </c>
      <c r="E13" s="378"/>
      <c r="F13" s="344"/>
      <c r="G13" s="344"/>
      <c r="H13" s="344"/>
      <c r="I13" s="344"/>
      <c r="J13" s="344"/>
      <c r="K13" s="344"/>
      <c r="L13" s="344"/>
      <c r="M13" s="344"/>
      <c r="N13" s="344"/>
      <c r="O13" s="344"/>
      <c r="P13" s="344"/>
      <c r="Q13" s="344"/>
      <c r="R13" s="344"/>
      <c r="S13" s="344"/>
      <c r="T13" s="344"/>
      <c r="U13" s="344"/>
      <c r="V13" s="344"/>
      <c r="W13" s="344"/>
      <c r="X13" s="344"/>
      <c r="Y13" s="344"/>
    </row>
    <row r="14" spans="1:25" ht="13.5" customHeight="1" x14ac:dyDescent="0.25">
      <c r="A14" s="427"/>
      <c r="B14" s="396"/>
      <c r="C14" s="396"/>
      <c r="D14" s="427"/>
      <c r="E14" s="396"/>
      <c r="F14" s="344"/>
      <c r="G14" s="344"/>
      <c r="H14" s="344"/>
      <c r="I14" s="344"/>
      <c r="J14" s="344"/>
      <c r="K14" s="344"/>
      <c r="L14" s="344"/>
      <c r="M14" s="344"/>
      <c r="N14" s="344"/>
      <c r="O14" s="344"/>
      <c r="P14" s="344"/>
      <c r="Q14" s="344"/>
      <c r="R14" s="344"/>
      <c r="S14" s="344"/>
      <c r="T14" s="344"/>
      <c r="U14" s="344"/>
      <c r="V14" s="344"/>
      <c r="W14" s="344"/>
      <c r="X14" s="344"/>
      <c r="Y14" s="344"/>
    </row>
    <row r="15" spans="1:25" ht="13.5" customHeight="1" x14ac:dyDescent="0.25">
      <c r="A15" s="427"/>
      <c r="B15" s="396"/>
      <c r="C15" s="396"/>
      <c r="D15" s="379"/>
      <c r="E15" s="380"/>
      <c r="F15" s="344"/>
      <c r="G15" s="344"/>
      <c r="H15" s="344"/>
      <c r="I15" s="344"/>
      <c r="J15" s="344"/>
      <c r="K15" s="344"/>
      <c r="L15" s="344"/>
      <c r="M15" s="344"/>
      <c r="N15" s="344"/>
      <c r="O15" s="344"/>
      <c r="P15" s="344"/>
      <c r="Q15" s="344"/>
      <c r="R15" s="344"/>
      <c r="S15" s="344"/>
      <c r="T15" s="344"/>
      <c r="U15" s="344"/>
      <c r="V15" s="344"/>
      <c r="W15" s="344"/>
      <c r="X15" s="344"/>
      <c r="Y15" s="344"/>
    </row>
    <row r="16" spans="1:25" ht="13.5" customHeight="1" x14ac:dyDescent="0.25">
      <c r="A16" s="427"/>
      <c r="B16" s="396"/>
      <c r="C16" s="396"/>
      <c r="D16" s="287" t="s">
        <v>2851</v>
      </c>
      <c r="E16" s="287" t="s">
        <v>2852</v>
      </c>
      <c r="F16" s="344"/>
      <c r="G16" s="344"/>
      <c r="H16" s="344"/>
      <c r="I16" s="344"/>
      <c r="J16" s="344"/>
      <c r="K16" s="344"/>
      <c r="L16" s="344"/>
      <c r="M16" s="344"/>
      <c r="N16" s="344"/>
      <c r="O16" s="344"/>
      <c r="P16" s="344"/>
      <c r="Q16" s="344"/>
      <c r="R16" s="344"/>
      <c r="S16" s="344"/>
      <c r="T16" s="344"/>
      <c r="U16" s="344"/>
      <c r="V16" s="344"/>
      <c r="W16" s="344"/>
      <c r="X16" s="344"/>
      <c r="Y16" s="344"/>
    </row>
    <row r="17" spans="1:25" ht="13.5" customHeight="1" x14ac:dyDescent="0.25">
      <c r="A17" s="427"/>
      <c r="B17" s="396"/>
      <c r="C17" s="396"/>
      <c r="D17" s="288" t="s">
        <v>2416</v>
      </c>
      <c r="E17" s="288" t="s">
        <v>2416</v>
      </c>
      <c r="F17" s="344"/>
      <c r="G17" s="344"/>
      <c r="H17" s="344"/>
      <c r="I17" s="344"/>
      <c r="J17" s="344"/>
      <c r="K17" s="344"/>
      <c r="L17" s="344"/>
      <c r="M17" s="344"/>
      <c r="N17" s="344"/>
      <c r="O17" s="344"/>
      <c r="P17" s="344"/>
      <c r="Q17" s="344"/>
      <c r="R17" s="344"/>
      <c r="S17" s="344"/>
      <c r="T17" s="344"/>
      <c r="U17" s="344"/>
      <c r="V17" s="344"/>
      <c r="W17" s="344"/>
      <c r="X17" s="344"/>
      <c r="Y17" s="344"/>
    </row>
    <row r="18" spans="1:25" ht="24" x14ac:dyDescent="0.25">
      <c r="A18" s="484">
        <v>1</v>
      </c>
      <c r="B18" s="477" t="s">
        <v>789</v>
      </c>
      <c r="C18" s="349" t="s">
        <v>2863</v>
      </c>
      <c r="D18" s="350">
        <v>44231</v>
      </c>
      <c r="E18" s="351" t="s">
        <v>2926</v>
      </c>
      <c r="F18" s="344"/>
      <c r="G18" s="344"/>
      <c r="H18" s="344"/>
      <c r="I18" s="344"/>
      <c r="J18" s="344"/>
      <c r="K18" s="344"/>
      <c r="L18" s="344"/>
      <c r="M18" s="344"/>
      <c r="N18" s="344"/>
      <c r="O18" s="344"/>
      <c r="P18" s="344"/>
      <c r="Q18" s="344"/>
      <c r="R18" s="344"/>
      <c r="S18" s="344"/>
      <c r="T18" s="344"/>
      <c r="U18" s="344"/>
      <c r="V18" s="344"/>
      <c r="W18" s="344"/>
      <c r="X18" s="344"/>
      <c r="Y18" s="344"/>
    </row>
    <row r="19" spans="1:25" ht="24" x14ac:dyDescent="0.25">
      <c r="A19" s="383"/>
      <c r="B19" s="383"/>
      <c r="C19" s="349" t="s">
        <v>2867</v>
      </c>
      <c r="D19" s="350">
        <v>44252</v>
      </c>
      <c r="E19" s="351" t="s">
        <v>2927</v>
      </c>
      <c r="F19" s="344"/>
      <c r="G19" s="344"/>
      <c r="H19" s="344"/>
      <c r="I19" s="344"/>
      <c r="J19" s="344"/>
      <c r="K19" s="344"/>
      <c r="L19" s="344"/>
      <c r="M19" s="344"/>
      <c r="N19" s="344"/>
      <c r="O19" s="344"/>
      <c r="P19" s="344"/>
      <c r="Q19" s="344"/>
      <c r="R19" s="344"/>
      <c r="S19" s="344"/>
      <c r="T19" s="344"/>
      <c r="U19" s="344"/>
      <c r="V19" s="344"/>
      <c r="W19" s="344"/>
      <c r="X19" s="344"/>
      <c r="Y19" s="344"/>
    </row>
    <row r="20" spans="1:25" ht="24" x14ac:dyDescent="0.25">
      <c r="A20" s="383"/>
      <c r="B20" s="383"/>
      <c r="C20" s="349" t="s">
        <v>2873</v>
      </c>
      <c r="D20" s="350">
        <v>44267</v>
      </c>
      <c r="E20" s="351" t="s">
        <v>2928</v>
      </c>
      <c r="F20" s="344"/>
      <c r="G20" s="344"/>
      <c r="H20" s="344"/>
      <c r="I20" s="344"/>
      <c r="J20" s="344"/>
      <c r="K20" s="344"/>
      <c r="L20" s="344"/>
      <c r="M20" s="344"/>
      <c r="N20" s="344"/>
      <c r="O20" s="344"/>
      <c r="P20" s="344"/>
      <c r="Q20" s="344"/>
      <c r="R20" s="344"/>
      <c r="S20" s="344"/>
      <c r="T20" s="344"/>
      <c r="U20" s="344"/>
      <c r="V20" s="344"/>
      <c r="W20" s="344"/>
      <c r="X20" s="344"/>
      <c r="Y20" s="344"/>
    </row>
    <row r="21" spans="1:25" ht="15.75" customHeight="1" x14ac:dyDescent="0.25">
      <c r="A21" s="368"/>
      <c r="B21" s="368"/>
      <c r="C21" s="349" t="s">
        <v>2876</v>
      </c>
      <c r="D21" s="350">
        <v>44281</v>
      </c>
      <c r="E21" s="305">
        <v>44281</v>
      </c>
      <c r="F21" s="344"/>
      <c r="G21" s="344"/>
      <c r="H21" s="344"/>
      <c r="I21" s="344"/>
      <c r="J21" s="344"/>
      <c r="K21" s="344"/>
      <c r="L21" s="344"/>
      <c r="M21" s="344"/>
      <c r="N21" s="344"/>
      <c r="O21" s="344"/>
      <c r="P21" s="344"/>
      <c r="Q21" s="344"/>
      <c r="R21" s="344"/>
      <c r="S21" s="344"/>
      <c r="T21" s="344"/>
      <c r="U21" s="344"/>
      <c r="V21" s="344"/>
      <c r="W21" s="344"/>
      <c r="X21" s="344"/>
      <c r="Y21" s="344"/>
    </row>
    <row r="22" spans="1:25" ht="15.75" customHeight="1" x14ac:dyDescent="0.25">
      <c r="A22" s="484">
        <v>2</v>
      </c>
      <c r="B22" s="477" t="s">
        <v>2929</v>
      </c>
      <c r="C22" s="349" t="s">
        <v>2864</v>
      </c>
      <c r="D22" s="350">
        <v>44236</v>
      </c>
      <c r="E22" s="351" t="s">
        <v>2930</v>
      </c>
      <c r="F22" s="344"/>
      <c r="G22" s="344"/>
      <c r="H22" s="344"/>
      <c r="I22" s="344"/>
      <c r="J22" s="344"/>
      <c r="K22" s="344"/>
      <c r="L22" s="344"/>
      <c r="M22" s="344"/>
      <c r="N22" s="344"/>
      <c r="O22" s="344"/>
      <c r="P22" s="344"/>
      <c r="Q22" s="344"/>
      <c r="R22" s="344"/>
      <c r="S22" s="344"/>
      <c r="T22" s="344"/>
      <c r="U22" s="344"/>
      <c r="V22" s="344"/>
      <c r="W22" s="344"/>
      <c r="X22" s="344"/>
      <c r="Y22" s="344"/>
    </row>
    <row r="23" spans="1:25" ht="15.75" customHeight="1" x14ac:dyDescent="0.25">
      <c r="A23" s="383"/>
      <c r="B23" s="383"/>
      <c r="C23" s="349" t="s">
        <v>2874</v>
      </c>
      <c r="D23" s="350">
        <v>44267</v>
      </c>
      <c r="E23" s="351" t="s">
        <v>2928</v>
      </c>
      <c r="F23" s="344"/>
      <c r="G23" s="344"/>
      <c r="H23" s="344"/>
      <c r="I23" s="344"/>
      <c r="J23" s="344"/>
      <c r="K23" s="344"/>
      <c r="L23" s="344"/>
      <c r="M23" s="344"/>
      <c r="N23" s="344"/>
      <c r="O23" s="344"/>
      <c r="P23" s="344"/>
      <c r="Q23" s="344"/>
      <c r="R23" s="344"/>
      <c r="S23" s="344"/>
      <c r="T23" s="344"/>
      <c r="U23" s="344"/>
      <c r="V23" s="344"/>
      <c r="W23" s="344"/>
      <c r="X23" s="344"/>
      <c r="Y23" s="344"/>
    </row>
    <row r="24" spans="1:25" ht="15.75" customHeight="1" x14ac:dyDescent="0.25">
      <c r="A24" s="383"/>
      <c r="B24" s="383"/>
      <c r="C24" s="352" t="s">
        <v>2877</v>
      </c>
      <c r="D24" s="350">
        <v>44279</v>
      </c>
      <c r="E24" s="351" t="s">
        <v>2931</v>
      </c>
      <c r="F24" s="344"/>
      <c r="G24" s="344"/>
      <c r="H24" s="344"/>
      <c r="I24" s="344"/>
      <c r="J24" s="344"/>
      <c r="K24" s="344"/>
      <c r="L24" s="344"/>
      <c r="M24" s="344"/>
      <c r="N24" s="344"/>
      <c r="O24" s="344"/>
      <c r="P24" s="344"/>
      <c r="Q24" s="344"/>
      <c r="R24" s="344"/>
      <c r="S24" s="344"/>
      <c r="T24" s="344"/>
      <c r="U24" s="344"/>
      <c r="V24" s="344"/>
      <c r="W24" s="344"/>
      <c r="X24" s="344"/>
      <c r="Y24" s="344"/>
    </row>
    <row r="25" spans="1:25" ht="14.25" customHeight="1" x14ac:dyDescent="0.25">
      <c r="A25" s="368"/>
      <c r="B25" s="368"/>
      <c r="C25" s="213" t="s">
        <v>2878</v>
      </c>
      <c r="D25" s="350">
        <v>44281</v>
      </c>
      <c r="E25" s="351" t="s">
        <v>2932</v>
      </c>
      <c r="F25" s="344"/>
      <c r="G25" s="344"/>
      <c r="H25" s="344"/>
      <c r="I25" s="344"/>
      <c r="J25" s="344"/>
      <c r="K25" s="344"/>
      <c r="L25" s="344"/>
      <c r="M25" s="344"/>
      <c r="N25" s="344"/>
      <c r="O25" s="344"/>
      <c r="P25" s="344"/>
      <c r="Q25" s="344"/>
      <c r="R25" s="344"/>
      <c r="S25" s="344"/>
      <c r="T25" s="344"/>
      <c r="U25" s="344"/>
      <c r="V25" s="344"/>
      <c r="W25" s="344"/>
      <c r="X25" s="344"/>
      <c r="Y25" s="344"/>
    </row>
    <row r="26" spans="1:25" ht="14.25" customHeight="1" x14ac:dyDescent="0.25">
      <c r="A26" s="490" t="s">
        <v>2933</v>
      </c>
      <c r="B26" s="487" t="s">
        <v>2934</v>
      </c>
      <c r="C26" s="213" t="s">
        <v>2859</v>
      </c>
      <c r="D26" s="350">
        <v>44208</v>
      </c>
      <c r="E26" s="351" t="s">
        <v>2935</v>
      </c>
      <c r="F26" s="344"/>
      <c r="G26" s="344"/>
      <c r="H26" s="344"/>
      <c r="I26" s="344"/>
      <c r="J26" s="344"/>
      <c r="K26" s="344"/>
      <c r="L26" s="344"/>
      <c r="M26" s="344"/>
      <c r="N26" s="344"/>
      <c r="O26" s="344"/>
      <c r="P26" s="344"/>
      <c r="Q26" s="344"/>
      <c r="R26" s="344"/>
      <c r="S26" s="344"/>
      <c r="T26" s="344"/>
      <c r="U26" s="344"/>
      <c r="V26" s="344"/>
      <c r="W26" s="344"/>
      <c r="X26" s="344"/>
      <c r="Y26" s="344"/>
    </row>
    <row r="27" spans="1:25" ht="15.75" customHeight="1" x14ac:dyDescent="0.25">
      <c r="A27" s="383"/>
      <c r="B27" s="383"/>
      <c r="C27" s="349" t="s">
        <v>2861</v>
      </c>
      <c r="D27" s="350">
        <v>44208</v>
      </c>
      <c r="E27" s="305">
        <v>44244</v>
      </c>
      <c r="F27" s="344"/>
      <c r="G27" s="344"/>
      <c r="H27" s="344"/>
      <c r="I27" s="344"/>
      <c r="J27" s="344"/>
      <c r="K27" s="344"/>
      <c r="L27" s="344"/>
      <c r="M27" s="344"/>
      <c r="N27" s="344"/>
      <c r="O27" s="344"/>
      <c r="P27" s="344"/>
      <c r="Q27" s="344"/>
      <c r="R27" s="344"/>
      <c r="S27" s="344"/>
      <c r="T27" s="344"/>
      <c r="U27" s="344"/>
      <c r="V27" s="344"/>
      <c r="W27" s="344"/>
      <c r="X27" s="344"/>
      <c r="Y27" s="344"/>
    </row>
    <row r="28" spans="1:25" ht="15.75" customHeight="1" x14ac:dyDescent="0.25">
      <c r="A28" s="383"/>
      <c r="B28" s="383"/>
      <c r="C28" s="349" t="s">
        <v>2864</v>
      </c>
      <c r="D28" s="350">
        <v>44236</v>
      </c>
      <c r="E28" s="305">
        <v>44236</v>
      </c>
      <c r="F28" s="344"/>
      <c r="G28" s="344"/>
      <c r="H28" s="344"/>
      <c r="I28" s="344"/>
      <c r="J28" s="344"/>
      <c r="K28" s="344"/>
      <c r="L28" s="344"/>
      <c r="M28" s="344"/>
      <c r="N28" s="344"/>
      <c r="O28" s="344"/>
      <c r="P28" s="344"/>
      <c r="Q28" s="344"/>
      <c r="R28" s="344"/>
      <c r="S28" s="344"/>
      <c r="T28" s="344"/>
      <c r="U28" s="344"/>
      <c r="V28" s="344"/>
      <c r="W28" s="344"/>
      <c r="X28" s="344"/>
      <c r="Y28" s="344"/>
    </row>
    <row r="29" spans="1:25" ht="14.25" customHeight="1" x14ac:dyDescent="0.25">
      <c r="A29" s="383"/>
      <c r="B29" s="383"/>
      <c r="C29" s="349" t="s">
        <v>2865</v>
      </c>
      <c r="D29" s="350">
        <v>44239</v>
      </c>
      <c r="E29" s="351" t="s">
        <v>2936</v>
      </c>
      <c r="F29" s="344"/>
      <c r="G29" s="344"/>
      <c r="H29" s="344"/>
      <c r="I29" s="344"/>
      <c r="J29" s="344"/>
      <c r="K29" s="344"/>
      <c r="L29" s="344"/>
      <c r="M29" s="344"/>
      <c r="N29" s="344"/>
      <c r="O29" s="344"/>
      <c r="P29" s="344"/>
      <c r="Q29" s="344"/>
      <c r="R29" s="344"/>
      <c r="S29" s="344"/>
      <c r="T29" s="344"/>
      <c r="U29" s="344"/>
      <c r="V29" s="344"/>
      <c r="W29" s="344"/>
      <c r="X29" s="344"/>
      <c r="Y29" s="344"/>
    </row>
    <row r="30" spans="1:25" ht="14.25" customHeight="1" x14ac:dyDescent="0.25">
      <c r="A30" s="383"/>
      <c r="B30" s="383"/>
      <c r="C30" s="213" t="s">
        <v>2866</v>
      </c>
      <c r="D30" s="353">
        <v>44245</v>
      </c>
      <c r="E30" s="305">
        <v>44246</v>
      </c>
      <c r="F30" s="344"/>
      <c r="G30" s="344"/>
      <c r="H30" s="344"/>
      <c r="I30" s="344"/>
      <c r="J30" s="344"/>
      <c r="K30" s="344"/>
      <c r="L30" s="344"/>
      <c r="M30" s="344"/>
      <c r="N30" s="344"/>
      <c r="O30" s="344"/>
      <c r="P30" s="344"/>
      <c r="Q30" s="344"/>
      <c r="R30" s="344"/>
      <c r="S30" s="344"/>
      <c r="T30" s="344"/>
      <c r="U30" s="344"/>
      <c r="V30" s="344"/>
      <c r="W30" s="344"/>
      <c r="X30" s="344"/>
      <c r="Y30" s="344"/>
    </row>
    <row r="31" spans="1:25" ht="15.75" customHeight="1" x14ac:dyDescent="0.25">
      <c r="A31" s="383"/>
      <c r="B31" s="383"/>
      <c r="C31" s="349" t="s">
        <v>2868</v>
      </c>
      <c r="D31" s="353">
        <v>44253</v>
      </c>
      <c r="E31" s="305">
        <v>44254</v>
      </c>
      <c r="F31" s="344"/>
      <c r="G31" s="344"/>
      <c r="H31" s="344"/>
      <c r="I31" s="344"/>
      <c r="J31" s="344"/>
      <c r="K31" s="344"/>
      <c r="L31" s="344"/>
      <c r="M31" s="344"/>
      <c r="N31" s="344"/>
      <c r="O31" s="344"/>
      <c r="P31" s="344"/>
      <c r="Q31" s="344"/>
      <c r="R31" s="344"/>
      <c r="S31" s="344"/>
      <c r="T31" s="344"/>
      <c r="U31" s="344"/>
      <c r="V31" s="344"/>
      <c r="W31" s="344"/>
      <c r="X31" s="344"/>
      <c r="Y31" s="344"/>
    </row>
    <row r="32" spans="1:25" ht="15.75" customHeight="1" x14ac:dyDescent="0.25">
      <c r="A32" s="383"/>
      <c r="B32" s="383"/>
      <c r="C32" s="349" t="s">
        <v>2869</v>
      </c>
      <c r="D32" s="353">
        <v>44259</v>
      </c>
      <c r="E32" s="305">
        <v>44259</v>
      </c>
      <c r="F32" s="344"/>
      <c r="G32" s="344"/>
      <c r="H32" s="344"/>
      <c r="I32" s="344"/>
      <c r="J32" s="344"/>
      <c r="K32" s="344"/>
      <c r="L32" s="344"/>
      <c r="M32" s="344"/>
      <c r="N32" s="344"/>
      <c r="O32" s="344"/>
      <c r="P32" s="344"/>
      <c r="Q32" s="344"/>
      <c r="R32" s="344"/>
      <c r="S32" s="344"/>
      <c r="T32" s="344"/>
      <c r="U32" s="344"/>
      <c r="V32" s="344"/>
      <c r="W32" s="344"/>
      <c r="X32" s="344"/>
      <c r="Y32" s="344"/>
    </row>
    <row r="33" spans="1:25" ht="15.75" customHeight="1" x14ac:dyDescent="0.25">
      <c r="A33" s="383"/>
      <c r="B33" s="383"/>
      <c r="C33" s="349" t="s">
        <v>2868</v>
      </c>
      <c r="D33" s="350">
        <v>44260</v>
      </c>
      <c r="E33" s="305">
        <v>44261</v>
      </c>
      <c r="F33" s="344"/>
      <c r="G33" s="344"/>
      <c r="H33" s="344"/>
      <c r="I33" s="344"/>
      <c r="J33" s="344"/>
      <c r="K33" s="344"/>
      <c r="L33" s="344"/>
      <c r="M33" s="344"/>
      <c r="N33" s="344"/>
      <c r="O33" s="344"/>
      <c r="P33" s="344"/>
      <c r="Q33" s="344"/>
      <c r="R33" s="344"/>
      <c r="S33" s="344"/>
      <c r="T33" s="344"/>
      <c r="U33" s="344"/>
      <c r="V33" s="344"/>
      <c r="W33" s="344"/>
      <c r="X33" s="344"/>
      <c r="Y33" s="344"/>
    </row>
    <row r="34" spans="1:25" ht="15.75" customHeight="1" x14ac:dyDescent="0.25">
      <c r="A34" s="383"/>
      <c r="B34" s="383"/>
      <c r="C34" s="349" t="s">
        <v>2868</v>
      </c>
      <c r="D34" s="350">
        <v>44268</v>
      </c>
      <c r="E34" s="305">
        <v>44268</v>
      </c>
      <c r="F34" s="344"/>
      <c r="G34" s="344"/>
      <c r="H34" s="344"/>
      <c r="I34" s="344"/>
      <c r="J34" s="344"/>
      <c r="K34" s="344"/>
      <c r="L34" s="344"/>
      <c r="M34" s="344"/>
      <c r="N34" s="344"/>
      <c r="O34" s="344"/>
      <c r="P34" s="344"/>
      <c r="Q34" s="344"/>
      <c r="R34" s="344"/>
      <c r="S34" s="344"/>
      <c r="T34" s="344"/>
      <c r="U34" s="344"/>
      <c r="V34" s="344"/>
      <c r="W34" s="344"/>
      <c r="X34" s="344"/>
      <c r="Y34" s="344"/>
    </row>
    <row r="35" spans="1:25" ht="15.75" customHeight="1" x14ac:dyDescent="0.25">
      <c r="A35" s="383"/>
      <c r="B35" s="383"/>
      <c r="C35" s="349" t="s">
        <v>2872</v>
      </c>
      <c r="D35" s="350">
        <v>44265</v>
      </c>
      <c r="E35" s="305">
        <v>44265</v>
      </c>
      <c r="F35" s="344"/>
      <c r="G35" s="344"/>
      <c r="H35" s="344"/>
      <c r="I35" s="344"/>
      <c r="J35" s="344"/>
      <c r="K35" s="344"/>
      <c r="L35" s="344"/>
      <c r="M35" s="344"/>
      <c r="N35" s="344"/>
      <c r="O35" s="344"/>
      <c r="P35" s="344"/>
      <c r="Q35" s="344"/>
      <c r="R35" s="344"/>
      <c r="S35" s="344"/>
      <c r="T35" s="344"/>
      <c r="U35" s="344"/>
      <c r="V35" s="344"/>
      <c r="W35" s="344"/>
      <c r="X35" s="344"/>
      <c r="Y35" s="344"/>
    </row>
    <row r="36" spans="1:25" ht="15.75" customHeight="1" x14ac:dyDescent="0.25">
      <c r="A36" s="383"/>
      <c r="B36" s="383"/>
      <c r="C36" s="352" t="s">
        <v>2877</v>
      </c>
      <c r="D36" s="350">
        <v>44279</v>
      </c>
      <c r="E36" s="351" t="s">
        <v>2931</v>
      </c>
      <c r="F36" s="344"/>
      <c r="G36" s="344"/>
      <c r="H36" s="344"/>
      <c r="I36" s="344"/>
      <c r="J36" s="344"/>
      <c r="K36" s="344"/>
      <c r="L36" s="344"/>
      <c r="M36" s="344"/>
      <c r="N36" s="344"/>
      <c r="O36" s="344"/>
      <c r="P36" s="344"/>
      <c r="Q36" s="344"/>
      <c r="R36" s="344"/>
      <c r="S36" s="344"/>
      <c r="T36" s="344"/>
      <c r="U36" s="344"/>
      <c r="V36" s="344"/>
      <c r="W36" s="344"/>
      <c r="X36" s="344"/>
      <c r="Y36" s="344"/>
    </row>
    <row r="37" spans="1:25" ht="14.25" customHeight="1" x14ac:dyDescent="0.25">
      <c r="A37" s="383"/>
      <c r="B37" s="383"/>
      <c r="C37" s="213" t="s">
        <v>2879</v>
      </c>
      <c r="D37" s="353">
        <v>44281</v>
      </c>
      <c r="E37" s="305">
        <v>44281</v>
      </c>
      <c r="F37" s="344"/>
      <c r="G37" s="344"/>
      <c r="H37" s="344"/>
      <c r="I37" s="344"/>
      <c r="J37" s="344"/>
      <c r="K37" s="344"/>
      <c r="L37" s="344"/>
      <c r="M37" s="344"/>
      <c r="N37" s="344"/>
      <c r="O37" s="344"/>
      <c r="P37" s="344"/>
      <c r="Q37" s="344"/>
      <c r="R37" s="344"/>
      <c r="S37" s="344"/>
      <c r="T37" s="344"/>
      <c r="U37" s="344"/>
      <c r="V37" s="344"/>
      <c r="W37" s="344"/>
      <c r="X37" s="344"/>
      <c r="Y37" s="344"/>
    </row>
    <row r="38" spans="1:25" ht="15.75" customHeight="1" x14ac:dyDescent="0.25">
      <c r="A38" s="383"/>
      <c r="B38" s="383"/>
      <c r="C38" s="349" t="s">
        <v>2937</v>
      </c>
      <c r="D38" s="353">
        <v>44301</v>
      </c>
      <c r="E38" s="305">
        <v>44302</v>
      </c>
      <c r="F38" s="344"/>
      <c r="G38" s="344"/>
      <c r="H38" s="344"/>
      <c r="I38" s="344"/>
      <c r="J38" s="344"/>
      <c r="K38" s="344"/>
      <c r="L38" s="344"/>
      <c r="M38" s="344"/>
      <c r="N38" s="344"/>
      <c r="O38" s="344"/>
      <c r="P38" s="344"/>
      <c r="Q38" s="344"/>
      <c r="R38" s="344"/>
      <c r="S38" s="344"/>
      <c r="T38" s="344"/>
      <c r="U38" s="344"/>
      <c r="V38" s="344"/>
      <c r="W38" s="344"/>
      <c r="X38" s="344"/>
      <c r="Y38" s="344"/>
    </row>
    <row r="39" spans="1:25" ht="15.75" customHeight="1" x14ac:dyDescent="0.25">
      <c r="A39" s="383"/>
      <c r="B39" s="383"/>
      <c r="C39" s="349" t="s">
        <v>2886</v>
      </c>
      <c r="D39" s="353">
        <v>44343</v>
      </c>
      <c r="E39" s="305">
        <v>44343</v>
      </c>
      <c r="F39" s="344"/>
      <c r="G39" s="344"/>
      <c r="H39" s="344"/>
      <c r="I39" s="344"/>
      <c r="J39" s="344"/>
      <c r="K39" s="344"/>
      <c r="L39" s="344"/>
      <c r="M39" s="344"/>
      <c r="N39" s="344"/>
      <c r="O39" s="344"/>
      <c r="P39" s="344"/>
      <c r="Q39" s="344"/>
      <c r="R39" s="344"/>
      <c r="S39" s="344"/>
      <c r="T39" s="344"/>
      <c r="U39" s="344"/>
      <c r="V39" s="344"/>
      <c r="W39" s="344"/>
      <c r="X39" s="344"/>
      <c r="Y39" s="344"/>
    </row>
    <row r="40" spans="1:25" ht="15.75" customHeight="1" x14ac:dyDescent="0.25">
      <c r="A40" s="383"/>
      <c r="B40" s="383"/>
      <c r="C40" s="349" t="s">
        <v>2938</v>
      </c>
      <c r="D40" s="350">
        <v>44348</v>
      </c>
      <c r="E40" s="305">
        <v>44350</v>
      </c>
      <c r="F40" s="344"/>
      <c r="G40" s="344"/>
      <c r="H40" s="344"/>
      <c r="I40" s="344"/>
      <c r="J40" s="344"/>
      <c r="K40" s="344"/>
      <c r="L40" s="344"/>
      <c r="M40" s="344"/>
      <c r="N40" s="344"/>
      <c r="O40" s="344"/>
      <c r="P40" s="344"/>
      <c r="Q40" s="344"/>
      <c r="R40" s="344"/>
      <c r="S40" s="344"/>
      <c r="T40" s="344"/>
      <c r="U40" s="344"/>
      <c r="V40" s="344"/>
      <c r="W40" s="344"/>
      <c r="X40" s="344"/>
      <c r="Y40" s="344"/>
    </row>
    <row r="41" spans="1:25" ht="14.25" customHeight="1" x14ac:dyDescent="0.25">
      <c r="A41" s="383"/>
      <c r="B41" s="383"/>
      <c r="C41" s="213" t="s">
        <v>2890</v>
      </c>
      <c r="D41" s="353">
        <v>44336</v>
      </c>
      <c r="E41" s="305">
        <v>44369</v>
      </c>
      <c r="F41" s="344"/>
      <c r="G41" s="344"/>
      <c r="H41" s="344"/>
      <c r="I41" s="344"/>
      <c r="J41" s="344"/>
      <c r="K41" s="344"/>
      <c r="L41" s="344"/>
      <c r="M41" s="344"/>
      <c r="N41" s="344"/>
      <c r="O41" s="344"/>
      <c r="P41" s="344"/>
      <c r="Q41" s="344"/>
      <c r="R41" s="344"/>
      <c r="S41" s="344"/>
      <c r="T41" s="344"/>
      <c r="U41" s="344"/>
      <c r="V41" s="344"/>
      <c r="W41" s="344"/>
      <c r="X41" s="344"/>
      <c r="Y41" s="344"/>
    </row>
    <row r="42" spans="1:25" ht="15.75" customHeight="1" x14ac:dyDescent="0.25">
      <c r="A42" s="383"/>
      <c r="B42" s="383"/>
      <c r="C42" s="485" t="s">
        <v>2892</v>
      </c>
      <c r="D42" s="488">
        <v>44392</v>
      </c>
      <c r="E42" s="489">
        <v>44393</v>
      </c>
      <c r="F42" s="344"/>
      <c r="G42" s="344"/>
      <c r="H42" s="344"/>
      <c r="I42" s="344"/>
      <c r="J42" s="344"/>
      <c r="K42" s="344"/>
      <c r="L42" s="344"/>
      <c r="M42" s="344"/>
      <c r="N42" s="344"/>
      <c r="O42" s="344"/>
      <c r="P42" s="344"/>
      <c r="Q42" s="344"/>
      <c r="R42" s="344"/>
      <c r="S42" s="344"/>
      <c r="T42" s="344"/>
      <c r="U42" s="344"/>
      <c r="V42" s="344"/>
      <c r="W42" s="344"/>
      <c r="X42" s="344"/>
      <c r="Y42" s="344"/>
    </row>
    <row r="43" spans="1:25" ht="32.25" customHeight="1" x14ac:dyDescent="0.25">
      <c r="A43" s="383"/>
      <c r="B43" s="383"/>
      <c r="C43" s="368"/>
      <c r="D43" s="368"/>
      <c r="E43" s="368"/>
      <c r="F43" s="344"/>
      <c r="G43" s="344"/>
      <c r="H43" s="344"/>
      <c r="I43" s="344"/>
      <c r="J43" s="344"/>
      <c r="K43" s="344"/>
      <c r="L43" s="344"/>
      <c r="M43" s="344"/>
      <c r="N43" s="344"/>
      <c r="O43" s="344"/>
      <c r="P43" s="344"/>
      <c r="Q43" s="344"/>
      <c r="R43" s="344"/>
      <c r="S43" s="344"/>
      <c r="T43" s="344"/>
      <c r="U43" s="344"/>
      <c r="V43" s="344"/>
      <c r="W43" s="344"/>
      <c r="X43" s="344"/>
      <c r="Y43" s="344"/>
    </row>
    <row r="44" spans="1:25" ht="15.75" customHeight="1" x14ac:dyDescent="0.25">
      <c r="A44" s="383"/>
      <c r="B44" s="383"/>
      <c r="C44" s="213" t="s">
        <v>2894</v>
      </c>
      <c r="D44" s="350">
        <v>44406</v>
      </c>
      <c r="E44" s="305">
        <v>44407</v>
      </c>
      <c r="F44" s="344"/>
      <c r="G44" s="344"/>
      <c r="H44" s="344"/>
      <c r="I44" s="344"/>
      <c r="J44" s="344"/>
      <c r="K44" s="344"/>
      <c r="L44" s="344"/>
      <c r="M44" s="344"/>
      <c r="N44" s="344"/>
      <c r="O44" s="344"/>
      <c r="P44" s="344"/>
      <c r="Q44" s="344"/>
      <c r="R44" s="344"/>
      <c r="S44" s="344"/>
      <c r="T44" s="344"/>
      <c r="U44" s="344"/>
      <c r="V44" s="344"/>
      <c r="W44" s="344"/>
      <c r="X44" s="344"/>
      <c r="Y44" s="344"/>
    </row>
    <row r="45" spans="1:25" ht="23.25" customHeight="1" x14ac:dyDescent="0.25">
      <c r="A45" s="383"/>
      <c r="B45" s="383"/>
      <c r="C45" s="485" t="s">
        <v>2895</v>
      </c>
      <c r="D45" s="486">
        <v>44411</v>
      </c>
      <c r="E45" s="489">
        <v>44414</v>
      </c>
      <c r="F45" s="344"/>
      <c r="G45" s="344"/>
      <c r="H45" s="344"/>
      <c r="I45" s="344"/>
      <c r="J45" s="344"/>
      <c r="K45" s="344"/>
      <c r="L45" s="344"/>
      <c r="M45" s="344"/>
      <c r="N45" s="344"/>
      <c r="O45" s="344"/>
      <c r="P45" s="344"/>
      <c r="Q45" s="344"/>
      <c r="R45" s="344"/>
      <c r="S45" s="344"/>
      <c r="T45" s="344"/>
      <c r="U45" s="344"/>
      <c r="V45" s="344"/>
      <c r="W45" s="344"/>
      <c r="X45" s="344"/>
      <c r="Y45" s="344"/>
    </row>
    <row r="46" spans="1:25" ht="15.75" customHeight="1" x14ac:dyDescent="0.25">
      <c r="A46" s="383"/>
      <c r="B46" s="383"/>
      <c r="C46" s="368"/>
      <c r="D46" s="368"/>
      <c r="E46" s="368"/>
      <c r="F46" s="344"/>
      <c r="G46" s="344"/>
      <c r="H46" s="344"/>
      <c r="I46" s="344"/>
      <c r="J46" s="344"/>
      <c r="K46" s="344"/>
      <c r="L46" s="344"/>
      <c r="M46" s="344"/>
      <c r="N46" s="344"/>
      <c r="O46" s="344"/>
      <c r="P46" s="344"/>
      <c r="Q46" s="344"/>
      <c r="R46" s="344"/>
      <c r="S46" s="344"/>
      <c r="T46" s="344"/>
      <c r="U46" s="344"/>
      <c r="V46" s="344"/>
      <c r="W46" s="344"/>
      <c r="X46" s="344"/>
      <c r="Y46" s="344"/>
    </row>
    <row r="47" spans="1:25" ht="14.25" customHeight="1" x14ac:dyDescent="0.25">
      <c r="A47" s="383"/>
      <c r="B47" s="383"/>
      <c r="C47" s="349" t="s">
        <v>2939</v>
      </c>
      <c r="D47" s="350">
        <v>44428</v>
      </c>
      <c r="E47" s="305">
        <v>44438</v>
      </c>
      <c r="F47" s="344"/>
      <c r="G47" s="344"/>
      <c r="H47" s="344"/>
      <c r="I47" s="344"/>
      <c r="J47" s="344"/>
      <c r="K47" s="344"/>
      <c r="L47" s="344"/>
      <c r="M47" s="344"/>
      <c r="N47" s="344"/>
      <c r="O47" s="344"/>
      <c r="P47" s="344"/>
      <c r="Q47" s="344"/>
      <c r="R47" s="344"/>
      <c r="S47" s="344"/>
      <c r="T47" s="344"/>
      <c r="U47" s="344"/>
      <c r="V47" s="344"/>
      <c r="W47" s="344"/>
      <c r="X47" s="344"/>
      <c r="Y47" s="344"/>
    </row>
    <row r="48" spans="1:25" ht="15.75" customHeight="1" x14ac:dyDescent="0.25">
      <c r="A48" s="383"/>
      <c r="B48" s="383"/>
      <c r="C48" s="352" t="s">
        <v>2897</v>
      </c>
      <c r="D48" s="350">
        <v>44433</v>
      </c>
      <c r="E48" s="313">
        <v>44434</v>
      </c>
      <c r="F48" s="344"/>
      <c r="G48" s="344"/>
      <c r="H48" s="344"/>
      <c r="I48" s="344"/>
      <c r="J48" s="344"/>
      <c r="K48" s="344"/>
      <c r="L48" s="344"/>
      <c r="M48" s="344"/>
      <c r="N48" s="344"/>
      <c r="O48" s="344"/>
      <c r="P48" s="344"/>
      <c r="Q48" s="344"/>
      <c r="R48" s="344"/>
      <c r="S48" s="344"/>
      <c r="T48" s="344"/>
      <c r="U48" s="344"/>
      <c r="V48" s="344"/>
      <c r="W48" s="344"/>
      <c r="X48" s="344"/>
      <c r="Y48" s="344"/>
    </row>
    <row r="49" spans="1:25" ht="14.25" customHeight="1" x14ac:dyDescent="0.25">
      <c r="A49" s="383"/>
      <c r="B49" s="383"/>
      <c r="C49" s="349" t="s">
        <v>2940</v>
      </c>
      <c r="D49" s="350">
        <v>44441</v>
      </c>
      <c r="E49" s="313">
        <v>44464</v>
      </c>
      <c r="F49" s="344"/>
      <c r="G49" s="344"/>
      <c r="H49" s="344"/>
      <c r="I49" s="344"/>
      <c r="J49" s="344"/>
      <c r="K49" s="344"/>
      <c r="L49" s="344"/>
      <c r="M49" s="344"/>
      <c r="N49" s="344"/>
      <c r="O49" s="344"/>
      <c r="P49" s="344"/>
      <c r="Q49" s="344"/>
      <c r="R49" s="344"/>
      <c r="S49" s="344"/>
      <c r="T49" s="344"/>
      <c r="U49" s="344"/>
      <c r="V49" s="344"/>
      <c r="W49" s="344"/>
      <c r="X49" s="344"/>
      <c r="Y49" s="344"/>
    </row>
    <row r="50" spans="1:25" ht="15.75" customHeight="1" x14ac:dyDescent="0.25">
      <c r="A50" s="383"/>
      <c r="B50" s="383"/>
      <c r="C50" s="349" t="s">
        <v>2901</v>
      </c>
      <c r="D50" s="354">
        <v>44520</v>
      </c>
      <c r="E50" s="305">
        <v>44520</v>
      </c>
      <c r="F50" s="344"/>
      <c r="G50" s="344"/>
      <c r="H50" s="344"/>
      <c r="I50" s="344"/>
      <c r="J50" s="344"/>
      <c r="K50" s="344"/>
      <c r="L50" s="344"/>
      <c r="M50" s="344"/>
      <c r="N50" s="344"/>
      <c r="O50" s="344"/>
      <c r="P50" s="344"/>
      <c r="Q50" s="344"/>
      <c r="R50" s="344"/>
      <c r="S50" s="344"/>
      <c r="T50" s="344"/>
      <c r="U50" s="344"/>
      <c r="V50" s="344"/>
      <c r="W50" s="344"/>
      <c r="X50" s="344"/>
      <c r="Y50" s="344"/>
    </row>
    <row r="51" spans="1:25" ht="15.75" customHeight="1" x14ac:dyDescent="0.25">
      <c r="A51" s="368"/>
      <c r="B51" s="368"/>
      <c r="C51" s="349" t="s">
        <v>2883</v>
      </c>
      <c r="D51" s="353">
        <v>44323</v>
      </c>
      <c r="E51" s="305">
        <v>44323</v>
      </c>
      <c r="F51" s="344"/>
      <c r="G51" s="344"/>
      <c r="H51" s="344"/>
      <c r="I51" s="344"/>
      <c r="J51" s="344"/>
      <c r="K51" s="344"/>
      <c r="L51" s="344"/>
      <c r="M51" s="344"/>
      <c r="N51" s="344"/>
      <c r="O51" s="344"/>
      <c r="P51" s="344"/>
      <c r="Q51" s="344"/>
      <c r="R51" s="344"/>
      <c r="S51" s="344"/>
      <c r="T51" s="344"/>
      <c r="U51" s="344"/>
      <c r="V51" s="344"/>
      <c r="W51" s="344"/>
      <c r="X51" s="344"/>
      <c r="Y51" s="344"/>
    </row>
    <row r="52" spans="1:25" ht="15.75" customHeight="1" x14ac:dyDescent="0.25">
      <c r="A52" s="355">
        <v>9</v>
      </c>
      <c r="B52" s="356" t="s">
        <v>2941</v>
      </c>
      <c r="C52" s="349" t="s">
        <v>2862</v>
      </c>
      <c r="D52" s="350">
        <v>44229</v>
      </c>
      <c r="E52" s="305">
        <v>44229</v>
      </c>
      <c r="F52" s="344"/>
      <c r="G52" s="344"/>
      <c r="H52" s="344"/>
      <c r="I52" s="344"/>
      <c r="J52" s="344"/>
      <c r="K52" s="344"/>
      <c r="L52" s="344"/>
      <c r="M52" s="344"/>
      <c r="N52" s="344"/>
      <c r="O52" s="344"/>
      <c r="P52" s="344"/>
      <c r="Q52" s="344"/>
      <c r="R52" s="344"/>
      <c r="S52" s="344"/>
      <c r="T52" s="344"/>
      <c r="U52" s="344"/>
      <c r="V52" s="344"/>
      <c r="W52" s="344"/>
      <c r="X52" s="344"/>
      <c r="Y52" s="344"/>
    </row>
    <row r="53" spans="1:25" ht="15.75" customHeight="1" x14ac:dyDescent="0.25">
      <c r="A53" s="484">
        <v>10</v>
      </c>
      <c r="B53" s="477" t="s">
        <v>453</v>
      </c>
      <c r="C53" s="213" t="s">
        <v>2766</v>
      </c>
      <c r="D53" s="350">
        <v>44238</v>
      </c>
      <c r="E53" s="305">
        <v>44238</v>
      </c>
      <c r="F53" s="344"/>
      <c r="G53" s="344"/>
      <c r="H53" s="344"/>
      <c r="I53" s="344"/>
      <c r="J53" s="344"/>
      <c r="K53" s="344"/>
      <c r="L53" s="344"/>
      <c r="M53" s="344"/>
      <c r="N53" s="344"/>
      <c r="O53" s="344"/>
      <c r="P53" s="344"/>
      <c r="Q53" s="344"/>
      <c r="R53" s="344"/>
      <c r="S53" s="344"/>
      <c r="T53" s="344"/>
      <c r="U53" s="344"/>
      <c r="V53" s="344"/>
      <c r="W53" s="344"/>
      <c r="X53" s="344"/>
      <c r="Y53" s="344"/>
    </row>
    <row r="54" spans="1:25" ht="15.75" customHeight="1" x14ac:dyDescent="0.25">
      <c r="A54" s="383"/>
      <c r="B54" s="383"/>
      <c r="C54" s="349" t="s">
        <v>2868</v>
      </c>
      <c r="D54" s="353">
        <v>44253</v>
      </c>
      <c r="E54" s="305">
        <v>44254</v>
      </c>
      <c r="F54" s="344"/>
      <c r="G54" s="344"/>
      <c r="H54" s="344"/>
      <c r="I54" s="344"/>
      <c r="J54" s="344"/>
      <c r="K54" s="344"/>
      <c r="L54" s="344"/>
      <c r="M54" s="344"/>
      <c r="N54" s="344"/>
      <c r="O54" s="344"/>
      <c r="P54" s="344"/>
      <c r="Q54" s="344"/>
      <c r="R54" s="344"/>
      <c r="S54" s="344"/>
      <c r="T54" s="344"/>
      <c r="U54" s="344"/>
      <c r="V54" s="344"/>
      <c r="W54" s="344"/>
      <c r="X54" s="344"/>
      <c r="Y54" s="344"/>
    </row>
    <row r="55" spans="1:25" ht="15.75" customHeight="1" x14ac:dyDescent="0.25">
      <c r="A55" s="383"/>
      <c r="B55" s="383"/>
      <c r="C55" s="349" t="s">
        <v>2868</v>
      </c>
      <c r="D55" s="350">
        <v>44260</v>
      </c>
      <c r="E55" s="305">
        <v>44261</v>
      </c>
      <c r="F55" s="344"/>
      <c r="G55" s="344"/>
      <c r="H55" s="344"/>
      <c r="I55" s="344"/>
      <c r="J55" s="344"/>
      <c r="K55" s="344"/>
      <c r="L55" s="344"/>
      <c r="M55" s="344"/>
      <c r="N55" s="344"/>
      <c r="O55" s="344"/>
      <c r="P55" s="344"/>
      <c r="Q55" s="344"/>
      <c r="R55" s="344"/>
      <c r="S55" s="344"/>
      <c r="T55" s="344"/>
      <c r="U55" s="344"/>
      <c r="V55" s="344"/>
      <c r="W55" s="344"/>
      <c r="X55" s="344"/>
      <c r="Y55" s="344"/>
    </row>
    <row r="56" spans="1:25" ht="15.75" customHeight="1" x14ac:dyDescent="0.25">
      <c r="A56" s="383"/>
      <c r="B56" s="383"/>
      <c r="C56" s="349" t="s">
        <v>2868</v>
      </c>
      <c r="D56" s="350">
        <v>44268</v>
      </c>
      <c r="E56" s="305">
        <v>44268</v>
      </c>
      <c r="F56" s="344"/>
      <c r="G56" s="344"/>
      <c r="H56" s="344"/>
      <c r="I56" s="344"/>
      <c r="J56" s="344"/>
      <c r="K56" s="344"/>
      <c r="L56" s="344"/>
      <c r="M56" s="344"/>
      <c r="N56" s="344"/>
      <c r="O56" s="344"/>
      <c r="P56" s="344"/>
      <c r="Q56" s="344"/>
      <c r="R56" s="344"/>
      <c r="S56" s="344"/>
      <c r="T56" s="344"/>
      <c r="U56" s="344"/>
      <c r="V56" s="344"/>
      <c r="W56" s="344"/>
      <c r="X56" s="344"/>
      <c r="Y56" s="344"/>
    </row>
    <row r="57" spans="1:25" ht="15.75" customHeight="1" x14ac:dyDescent="0.25">
      <c r="A57" s="383"/>
      <c r="B57" s="383"/>
      <c r="C57" s="349" t="s">
        <v>2872</v>
      </c>
      <c r="D57" s="350">
        <v>44265</v>
      </c>
      <c r="E57" s="305">
        <v>44265</v>
      </c>
      <c r="F57" s="344"/>
      <c r="G57" s="344"/>
      <c r="H57" s="344"/>
      <c r="I57" s="344"/>
      <c r="J57" s="344"/>
      <c r="K57" s="344"/>
      <c r="L57" s="344"/>
      <c r="M57" s="344"/>
      <c r="N57" s="344"/>
      <c r="O57" s="344"/>
      <c r="P57" s="344"/>
      <c r="Q57" s="344"/>
      <c r="R57" s="344"/>
      <c r="S57" s="344"/>
      <c r="T57" s="344"/>
      <c r="U57" s="344"/>
      <c r="V57" s="344"/>
      <c r="W57" s="344"/>
      <c r="X57" s="344"/>
      <c r="Y57" s="344"/>
    </row>
    <row r="58" spans="1:25" ht="15.75" customHeight="1" x14ac:dyDescent="0.25">
      <c r="A58" s="368"/>
      <c r="B58" s="368"/>
      <c r="C58" s="352" t="s">
        <v>2897</v>
      </c>
      <c r="D58" s="350">
        <v>44433</v>
      </c>
      <c r="E58" s="313">
        <v>44434</v>
      </c>
      <c r="F58" s="344"/>
      <c r="G58" s="344"/>
      <c r="H58" s="344"/>
      <c r="I58" s="344"/>
      <c r="J58" s="344"/>
      <c r="K58" s="344"/>
      <c r="L58" s="344"/>
      <c r="M58" s="344"/>
      <c r="N58" s="344"/>
      <c r="O58" s="344"/>
      <c r="P58" s="344"/>
      <c r="Q58" s="344"/>
      <c r="R58" s="344"/>
      <c r="S58" s="344"/>
      <c r="T58" s="344"/>
      <c r="U58" s="344"/>
      <c r="V58" s="344"/>
      <c r="W58" s="344"/>
      <c r="X58" s="344"/>
      <c r="Y58" s="344"/>
    </row>
    <row r="59" spans="1:25" ht="15.75" customHeight="1" x14ac:dyDescent="0.25">
      <c r="A59" s="129">
        <v>11</v>
      </c>
      <c r="B59" s="159" t="s">
        <v>2942</v>
      </c>
      <c r="C59" s="349" t="s">
        <v>2883</v>
      </c>
      <c r="D59" s="353">
        <v>44323</v>
      </c>
      <c r="E59" s="305">
        <v>44323</v>
      </c>
      <c r="F59" s="344"/>
      <c r="G59" s="344"/>
      <c r="H59" s="344"/>
      <c r="I59" s="344"/>
      <c r="J59" s="344"/>
      <c r="K59" s="344"/>
      <c r="L59" s="344"/>
      <c r="M59" s="344"/>
      <c r="N59" s="344"/>
      <c r="O59" s="344"/>
      <c r="P59" s="344"/>
      <c r="Q59" s="344"/>
      <c r="R59" s="344"/>
      <c r="S59" s="344"/>
      <c r="T59" s="344"/>
      <c r="U59" s="344"/>
      <c r="V59" s="344"/>
      <c r="W59" s="344"/>
      <c r="X59" s="344"/>
      <c r="Y59" s="344"/>
    </row>
    <row r="60" spans="1:25" ht="15.75" customHeight="1" x14ac:dyDescent="0.25">
      <c r="A60" s="129">
        <v>12</v>
      </c>
      <c r="B60" s="324" t="s">
        <v>2943</v>
      </c>
      <c r="C60" s="349" t="s">
        <v>2891</v>
      </c>
      <c r="D60" s="353">
        <v>44392</v>
      </c>
      <c r="E60" s="305">
        <v>44405</v>
      </c>
      <c r="F60" s="344"/>
      <c r="G60" s="344"/>
      <c r="H60" s="344"/>
      <c r="I60" s="344"/>
      <c r="J60" s="344"/>
      <c r="K60" s="344"/>
      <c r="L60" s="344"/>
      <c r="M60" s="344"/>
      <c r="N60" s="344"/>
      <c r="O60" s="344"/>
      <c r="P60" s="344"/>
      <c r="Q60" s="344"/>
      <c r="R60" s="344"/>
      <c r="S60" s="344"/>
      <c r="T60" s="344"/>
      <c r="U60" s="344"/>
      <c r="V60" s="344"/>
      <c r="W60" s="344"/>
      <c r="X60" s="344"/>
      <c r="Y60" s="344"/>
    </row>
    <row r="61" spans="1:25" ht="15.75" customHeight="1" x14ac:dyDescent="0.25">
      <c r="A61" s="129">
        <v>13</v>
      </c>
      <c r="B61" s="159" t="s">
        <v>2944</v>
      </c>
      <c r="C61" s="357" t="s">
        <v>2481</v>
      </c>
      <c r="D61" s="308">
        <v>44289</v>
      </c>
      <c r="E61" s="311">
        <v>44460</v>
      </c>
      <c r="F61" s="344"/>
      <c r="G61" s="344"/>
      <c r="H61" s="344"/>
      <c r="I61" s="344"/>
      <c r="J61" s="344"/>
      <c r="K61" s="344"/>
      <c r="L61" s="344"/>
      <c r="M61" s="344"/>
      <c r="N61" s="344"/>
      <c r="O61" s="344"/>
      <c r="P61" s="344"/>
      <c r="Q61" s="344"/>
      <c r="R61" s="344"/>
      <c r="S61" s="344"/>
      <c r="T61" s="344"/>
      <c r="U61" s="344"/>
      <c r="V61" s="344"/>
      <c r="W61" s="344"/>
      <c r="X61" s="344"/>
      <c r="Y61" s="344"/>
    </row>
    <row r="62" spans="1:25" ht="15.75" customHeight="1" x14ac:dyDescent="0.25">
      <c r="A62" s="129">
        <v>14</v>
      </c>
      <c r="B62" s="159" t="s">
        <v>2945</v>
      </c>
      <c r="C62" s="357" t="s">
        <v>2481</v>
      </c>
      <c r="D62" s="308">
        <v>44289</v>
      </c>
      <c r="E62" s="311">
        <v>44460</v>
      </c>
      <c r="F62" s="344"/>
      <c r="G62" s="344"/>
      <c r="H62" s="344"/>
      <c r="I62" s="344"/>
      <c r="J62" s="344"/>
      <c r="K62" s="344"/>
      <c r="L62" s="344"/>
      <c r="M62" s="344"/>
      <c r="N62" s="344"/>
      <c r="O62" s="344"/>
      <c r="P62" s="344"/>
      <c r="Q62" s="344"/>
      <c r="R62" s="344"/>
      <c r="S62" s="344"/>
      <c r="T62" s="344"/>
      <c r="U62" s="344"/>
      <c r="V62" s="344"/>
      <c r="W62" s="344"/>
      <c r="X62" s="344"/>
      <c r="Y62" s="344"/>
    </row>
    <row r="63" spans="1:25" ht="14.25" customHeight="1" x14ac:dyDescent="0.25">
      <c r="A63" s="484">
        <v>15</v>
      </c>
      <c r="B63" s="433" t="s">
        <v>2946</v>
      </c>
      <c r="C63" s="213" t="s">
        <v>2899</v>
      </c>
      <c r="D63" s="353">
        <v>44445</v>
      </c>
      <c r="E63" s="305">
        <v>44449</v>
      </c>
      <c r="F63" s="344"/>
      <c r="G63" s="344"/>
      <c r="H63" s="344"/>
      <c r="I63" s="344"/>
      <c r="J63" s="344"/>
      <c r="K63" s="344"/>
      <c r="L63" s="344"/>
      <c r="M63" s="344"/>
      <c r="N63" s="344"/>
      <c r="O63" s="344"/>
      <c r="P63" s="344"/>
      <c r="Q63" s="344"/>
      <c r="R63" s="344"/>
      <c r="S63" s="344"/>
      <c r="T63" s="344"/>
      <c r="U63" s="344"/>
      <c r="V63" s="344"/>
      <c r="W63" s="344"/>
      <c r="X63" s="344"/>
      <c r="Y63" s="344"/>
    </row>
    <row r="64" spans="1:25" ht="14.25" customHeight="1" x14ac:dyDescent="0.25">
      <c r="A64" s="368"/>
      <c r="B64" s="368"/>
      <c r="C64" s="213" t="s">
        <v>2899</v>
      </c>
      <c r="D64" s="353">
        <v>44445</v>
      </c>
      <c r="E64" s="305">
        <v>44449</v>
      </c>
      <c r="F64" s="344"/>
      <c r="G64" s="344"/>
      <c r="H64" s="344"/>
      <c r="I64" s="344"/>
      <c r="J64" s="344"/>
      <c r="K64" s="344"/>
      <c r="L64" s="344"/>
      <c r="M64" s="344"/>
      <c r="N64" s="344"/>
      <c r="O64" s="344"/>
      <c r="P64" s="344"/>
      <c r="Q64" s="344"/>
      <c r="R64" s="344"/>
      <c r="S64" s="344"/>
      <c r="T64" s="344"/>
      <c r="U64" s="344"/>
      <c r="V64" s="344"/>
      <c r="W64" s="344"/>
      <c r="X64" s="344"/>
      <c r="Y64" s="344"/>
    </row>
    <row r="65" spans="1:25" ht="14.25" customHeight="1" x14ac:dyDescent="0.25">
      <c r="A65" s="484">
        <v>16</v>
      </c>
      <c r="B65" s="477" t="s">
        <v>1540</v>
      </c>
      <c r="C65" s="213" t="s">
        <v>2859</v>
      </c>
      <c r="D65" s="350">
        <v>44208</v>
      </c>
      <c r="E65" s="351" t="s">
        <v>2935</v>
      </c>
      <c r="F65" s="344"/>
      <c r="G65" s="344"/>
      <c r="H65" s="344"/>
      <c r="I65" s="344"/>
      <c r="J65" s="344"/>
      <c r="K65" s="344"/>
      <c r="L65" s="344"/>
      <c r="M65" s="344"/>
      <c r="N65" s="344"/>
      <c r="O65" s="344"/>
      <c r="P65" s="344"/>
      <c r="Q65" s="344"/>
      <c r="R65" s="344"/>
      <c r="S65" s="344"/>
      <c r="T65" s="344"/>
      <c r="U65" s="344"/>
      <c r="V65" s="344"/>
      <c r="W65" s="344"/>
      <c r="X65" s="344"/>
      <c r="Y65" s="344"/>
    </row>
    <row r="66" spans="1:25" ht="14.25" customHeight="1" x14ac:dyDescent="0.25">
      <c r="A66" s="383"/>
      <c r="B66" s="383"/>
      <c r="C66" s="213" t="s">
        <v>2866</v>
      </c>
      <c r="D66" s="353">
        <v>44245</v>
      </c>
      <c r="E66" s="305">
        <v>44246</v>
      </c>
      <c r="F66" s="344"/>
      <c r="G66" s="344"/>
      <c r="H66" s="344"/>
      <c r="I66" s="344"/>
      <c r="J66" s="344"/>
      <c r="K66" s="344"/>
      <c r="L66" s="344"/>
      <c r="M66" s="344"/>
      <c r="N66" s="344"/>
      <c r="O66" s="344"/>
      <c r="P66" s="344"/>
      <c r="Q66" s="344"/>
      <c r="R66" s="344"/>
      <c r="S66" s="344"/>
      <c r="T66" s="344"/>
      <c r="U66" s="344"/>
      <c r="V66" s="344"/>
      <c r="W66" s="344"/>
      <c r="X66" s="344"/>
      <c r="Y66" s="344"/>
    </row>
    <row r="67" spans="1:25" ht="14.25" customHeight="1" x14ac:dyDescent="0.25">
      <c r="A67" s="383"/>
      <c r="B67" s="383"/>
      <c r="C67" s="349" t="s">
        <v>2869</v>
      </c>
      <c r="D67" s="353">
        <v>44259</v>
      </c>
      <c r="E67" s="305">
        <v>44259</v>
      </c>
      <c r="F67" s="344"/>
      <c r="G67" s="344"/>
      <c r="H67" s="344"/>
      <c r="I67" s="344"/>
      <c r="J67" s="344"/>
      <c r="K67" s="344"/>
      <c r="L67" s="344"/>
      <c r="M67" s="344"/>
      <c r="N67" s="344"/>
      <c r="O67" s="344"/>
      <c r="P67" s="344"/>
      <c r="Q67" s="344"/>
      <c r="R67" s="344"/>
      <c r="S67" s="344"/>
      <c r="T67" s="344"/>
      <c r="U67" s="344"/>
      <c r="V67" s="344"/>
      <c r="W67" s="344"/>
      <c r="X67" s="344"/>
      <c r="Y67" s="344"/>
    </row>
    <row r="68" spans="1:25" ht="14.25" customHeight="1" x14ac:dyDescent="0.25">
      <c r="A68" s="383"/>
      <c r="B68" s="383"/>
      <c r="C68" s="213" t="s">
        <v>2875</v>
      </c>
      <c r="D68" s="350">
        <v>44270</v>
      </c>
      <c r="E68" s="305">
        <v>44274</v>
      </c>
      <c r="F68" s="344"/>
      <c r="G68" s="344"/>
      <c r="H68" s="344"/>
      <c r="I68" s="344"/>
      <c r="J68" s="344"/>
      <c r="K68" s="344"/>
      <c r="L68" s="344"/>
      <c r="M68" s="344"/>
      <c r="N68" s="344"/>
      <c r="O68" s="344"/>
      <c r="P68" s="344"/>
      <c r="Q68" s="344"/>
      <c r="R68" s="344"/>
      <c r="S68" s="344"/>
      <c r="T68" s="344"/>
      <c r="U68" s="344"/>
      <c r="V68" s="344"/>
      <c r="W68" s="344"/>
      <c r="X68" s="344"/>
      <c r="Y68" s="344"/>
    </row>
    <row r="69" spans="1:25" ht="14.25" customHeight="1" x14ac:dyDescent="0.25">
      <c r="A69" s="383"/>
      <c r="B69" s="383"/>
      <c r="C69" s="213" t="s">
        <v>2879</v>
      </c>
      <c r="D69" s="353">
        <v>44281</v>
      </c>
      <c r="E69" s="305">
        <v>44281</v>
      </c>
      <c r="F69" s="344"/>
      <c r="G69" s="344"/>
      <c r="H69" s="344"/>
      <c r="I69" s="344"/>
      <c r="J69" s="344"/>
      <c r="K69" s="344"/>
      <c r="L69" s="344"/>
      <c r="M69" s="344"/>
      <c r="N69" s="344"/>
      <c r="O69" s="344"/>
      <c r="P69" s="344"/>
      <c r="Q69" s="344"/>
      <c r="R69" s="344"/>
      <c r="S69" s="344"/>
      <c r="T69" s="344"/>
      <c r="U69" s="344"/>
      <c r="V69" s="344"/>
      <c r="W69" s="344"/>
      <c r="X69" s="344"/>
      <c r="Y69" s="344"/>
    </row>
    <row r="70" spans="1:25" ht="15.75" customHeight="1" x14ac:dyDescent="0.25">
      <c r="A70" s="383"/>
      <c r="B70" s="383"/>
      <c r="C70" s="349" t="s">
        <v>2886</v>
      </c>
      <c r="D70" s="353">
        <v>44343</v>
      </c>
      <c r="E70" s="305">
        <v>44343</v>
      </c>
      <c r="F70" s="344"/>
      <c r="G70" s="344"/>
      <c r="H70" s="344"/>
      <c r="I70" s="344"/>
      <c r="J70" s="344"/>
      <c r="K70" s="344"/>
      <c r="L70" s="344"/>
      <c r="M70" s="344"/>
      <c r="N70" s="344"/>
      <c r="O70" s="344"/>
      <c r="P70" s="344"/>
      <c r="Q70" s="344"/>
      <c r="R70" s="344"/>
      <c r="S70" s="344"/>
      <c r="T70" s="344"/>
      <c r="U70" s="344"/>
      <c r="V70" s="344"/>
      <c r="W70" s="344"/>
      <c r="X70" s="344"/>
      <c r="Y70" s="344"/>
    </row>
    <row r="71" spans="1:25" ht="14.25" customHeight="1" x14ac:dyDescent="0.25">
      <c r="A71" s="383"/>
      <c r="B71" s="383"/>
      <c r="C71" s="213" t="s">
        <v>2890</v>
      </c>
      <c r="D71" s="353">
        <v>44336</v>
      </c>
      <c r="E71" s="305">
        <v>44369</v>
      </c>
      <c r="F71" s="344"/>
      <c r="G71" s="344"/>
      <c r="H71" s="344"/>
      <c r="I71" s="344"/>
      <c r="J71" s="344"/>
      <c r="K71" s="344"/>
      <c r="L71" s="344"/>
      <c r="M71" s="344"/>
      <c r="N71" s="344"/>
      <c r="O71" s="344"/>
      <c r="P71" s="344"/>
      <c r="Q71" s="344"/>
      <c r="R71" s="344"/>
      <c r="S71" s="344"/>
      <c r="T71" s="344"/>
      <c r="U71" s="344"/>
      <c r="V71" s="344"/>
      <c r="W71" s="344"/>
      <c r="X71" s="344"/>
      <c r="Y71" s="344"/>
    </row>
    <row r="72" spans="1:25" ht="14.25" customHeight="1" x14ac:dyDescent="0.25">
      <c r="A72" s="383"/>
      <c r="B72" s="383"/>
      <c r="C72" s="213" t="s">
        <v>2894</v>
      </c>
      <c r="D72" s="350">
        <v>44406</v>
      </c>
      <c r="E72" s="305">
        <v>44407</v>
      </c>
      <c r="F72" s="344"/>
      <c r="G72" s="344"/>
      <c r="H72" s="344"/>
      <c r="I72" s="344"/>
      <c r="J72" s="344"/>
      <c r="K72" s="344"/>
      <c r="L72" s="344"/>
      <c r="M72" s="344"/>
      <c r="N72" s="344"/>
      <c r="O72" s="344"/>
      <c r="P72" s="344"/>
      <c r="Q72" s="344"/>
      <c r="R72" s="344"/>
      <c r="S72" s="344"/>
      <c r="T72" s="344"/>
      <c r="U72" s="344"/>
      <c r="V72" s="344"/>
      <c r="W72" s="344"/>
      <c r="X72" s="344"/>
      <c r="Y72" s="344"/>
    </row>
    <row r="73" spans="1:25" ht="15.75" customHeight="1" x14ac:dyDescent="0.25">
      <c r="A73" s="383"/>
      <c r="B73" s="383"/>
      <c r="C73" s="349" t="s">
        <v>2895</v>
      </c>
      <c r="D73" s="350">
        <v>44411</v>
      </c>
      <c r="E73" s="305">
        <v>44414</v>
      </c>
      <c r="F73" s="344"/>
      <c r="G73" s="344"/>
      <c r="H73" s="344"/>
      <c r="I73" s="344"/>
      <c r="J73" s="344"/>
      <c r="K73" s="344"/>
      <c r="L73" s="344"/>
      <c r="M73" s="344"/>
      <c r="N73" s="344"/>
      <c r="O73" s="344"/>
      <c r="P73" s="344"/>
      <c r="Q73" s="344"/>
      <c r="R73" s="344"/>
      <c r="S73" s="344"/>
      <c r="T73" s="344"/>
      <c r="U73" s="344"/>
      <c r="V73" s="344"/>
      <c r="W73" s="344"/>
      <c r="X73" s="344"/>
      <c r="Y73" s="344"/>
    </row>
    <row r="74" spans="1:25" ht="14.25" customHeight="1" x14ac:dyDescent="0.25">
      <c r="A74" s="383"/>
      <c r="B74" s="383"/>
      <c r="C74" s="349" t="s">
        <v>2947</v>
      </c>
      <c r="D74" s="350">
        <v>44428</v>
      </c>
      <c r="E74" s="305">
        <v>44438</v>
      </c>
      <c r="F74" s="344"/>
      <c r="G74" s="344"/>
      <c r="H74" s="344"/>
      <c r="I74" s="344"/>
      <c r="J74" s="344"/>
      <c r="K74" s="344"/>
      <c r="L74" s="344"/>
      <c r="M74" s="344"/>
      <c r="N74" s="344"/>
      <c r="O74" s="344"/>
      <c r="P74" s="344"/>
      <c r="Q74" s="344"/>
      <c r="R74" s="344"/>
      <c r="S74" s="344"/>
      <c r="T74" s="344"/>
      <c r="U74" s="344"/>
      <c r="V74" s="344"/>
      <c r="W74" s="344"/>
      <c r="X74" s="344"/>
      <c r="Y74" s="344"/>
    </row>
    <row r="75" spans="1:25" ht="14.25" customHeight="1" x14ac:dyDescent="0.25">
      <c r="A75" s="383"/>
      <c r="B75" s="383"/>
      <c r="C75" s="213" t="s">
        <v>2902</v>
      </c>
      <c r="D75" s="350">
        <v>44516</v>
      </c>
      <c r="E75" s="305">
        <v>44516</v>
      </c>
      <c r="F75" s="344"/>
      <c r="G75" s="344"/>
      <c r="H75" s="344"/>
      <c r="I75" s="344"/>
      <c r="J75" s="344"/>
      <c r="K75" s="344"/>
      <c r="L75" s="344"/>
      <c r="M75" s="344"/>
      <c r="N75" s="344"/>
      <c r="O75" s="344"/>
      <c r="P75" s="344"/>
      <c r="Q75" s="344"/>
      <c r="R75" s="344"/>
      <c r="S75" s="344"/>
      <c r="T75" s="344"/>
      <c r="U75" s="344"/>
      <c r="V75" s="344"/>
      <c r="W75" s="344"/>
      <c r="X75" s="344"/>
      <c r="Y75" s="344"/>
    </row>
    <row r="76" spans="1:25" ht="14.25" customHeight="1" x14ac:dyDescent="0.25">
      <c r="A76" s="368"/>
      <c r="B76" s="368"/>
      <c r="C76" s="349" t="s">
        <v>2948</v>
      </c>
      <c r="D76" s="350">
        <v>44441</v>
      </c>
      <c r="E76" s="313">
        <v>44464</v>
      </c>
      <c r="F76" s="344"/>
      <c r="G76" s="344"/>
      <c r="H76" s="344"/>
      <c r="I76" s="344"/>
      <c r="J76" s="344"/>
      <c r="K76" s="344"/>
      <c r="L76" s="344"/>
      <c r="M76" s="344"/>
      <c r="N76" s="344"/>
      <c r="O76" s="344"/>
      <c r="P76" s="344"/>
      <c r="Q76" s="344"/>
      <c r="R76" s="344"/>
      <c r="S76" s="344"/>
      <c r="T76" s="344"/>
      <c r="U76" s="344"/>
      <c r="V76" s="344"/>
      <c r="W76" s="344"/>
      <c r="X76" s="344"/>
      <c r="Y76" s="344"/>
    </row>
    <row r="77" spans="1:25" ht="14.25" customHeight="1" x14ac:dyDescent="0.25">
      <c r="A77" s="484">
        <v>17</v>
      </c>
      <c r="B77" s="477" t="s">
        <v>2949</v>
      </c>
      <c r="C77" s="213" t="s">
        <v>2860</v>
      </c>
      <c r="D77" s="350">
        <v>44217</v>
      </c>
      <c r="E77" s="351" t="s">
        <v>2950</v>
      </c>
      <c r="F77" s="344"/>
      <c r="G77" s="344"/>
      <c r="H77" s="344"/>
      <c r="I77" s="344"/>
      <c r="J77" s="344"/>
      <c r="K77" s="344"/>
      <c r="L77" s="344"/>
      <c r="M77" s="344"/>
      <c r="N77" s="344"/>
      <c r="O77" s="344"/>
      <c r="P77" s="344"/>
      <c r="Q77" s="344"/>
      <c r="R77" s="344"/>
      <c r="S77" s="344"/>
      <c r="T77" s="344"/>
      <c r="U77" s="344"/>
      <c r="V77" s="344"/>
      <c r="W77" s="344"/>
      <c r="X77" s="344"/>
      <c r="Y77" s="344"/>
    </row>
    <row r="78" spans="1:25" ht="14.25" customHeight="1" x14ac:dyDescent="0.25">
      <c r="A78" s="383"/>
      <c r="B78" s="383"/>
      <c r="C78" s="213" t="s">
        <v>2871</v>
      </c>
      <c r="D78" s="350">
        <v>44264</v>
      </c>
      <c r="E78" s="351" t="s">
        <v>2951</v>
      </c>
      <c r="F78" s="344"/>
      <c r="G78" s="344"/>
      <c r="H78" s="344"/>
      <c r="I78" s="344"/>
      <c r="J78" s="344"/>
      <c r="K78" s="344"/>
      <c r="L78" s="344"/>
      <c r="M78" s="344"/>
      <c r="N78" s="344"/>
      <c r="O78" s="344"/>
      <c r="P78" s="344"/>
      <c r="Q78" s="344"/>
      <c r="R78" s="344"/>
      <c r="S78" s="344"/>
      <c r="T78" s="344"/>
      <c r="U78" s="344"/>
      <c r="V78" s="344"/>
      <c r="W78" s="344"/>
      <c r="X78" s="344"/>
      <c r="Y78" s="344"/>
    </row>
    <row r="79" spans="1:25" ht="14.25" customHeight="1" x14ac:dyDescent="0.25">
      <c r="A79" s="383"/>
      <c r="B79" s="383"/>
      <c r="C79" s="349" t="s">
        <v>2873</v>
      </c>
      <c r="D79" s="350">
        <v>44267</v>
      </c>
      <c r="E79" s="351" t="s">
        <v>2928</v>
      </c>
      <c r="F79" s="344"/>
      <c r="G79" s="344"/>
      <c r="H79" s="344"/>
      <c r="I79" s="344"/>
      <c r="J79" s="344"/>
      <c r="K79" s="344"/>
      <c r="L79" s="344"/>
      <c r="M79" s="344"/>
      <c r="N79" s="344"/>
      <c r="O79" s="344"/>
      <c r="P79" s="344"/>
      <c r="Q79" s="344"/>
      <c r="R79" s="344"/>
      <c r="S79" s="344"/>
      <c r="T79" s="344"/>
      <c r="U79" s="344"/>
      <c r="V79" s="344"/>
      <c r="W79" s="344"/>
      <c r="X79" s="344"/>
      <c r="Y79" s="344"/>
    </row>
    <row r="80" spans="1:25" ht="14.25" customHeight="1" x14ac:dyDescent="0.25">
      <c r="A80" s="383"/>
      <c r="B80" s="383"/>
      <c r="C80" s="349" t="s">
        <v>2876</v>
      </c>
      <c r="D80" s="350">
        <v>44281</v>
      </c>
      <c r="E80" s="305">
        <v>44281</v>
      </c>
      <c r="F80" s="344"/>
      <c r="G80" s="344"/>
      <c r="H80" s="344"/>
      <c r="I80" s="344"/>
      <c r="J80" s="344"/>
      <c r="K80" s="344"/>
      <c r="L80" s="344"/>
      <c r="M80" s="344"/>
      <c r="N80" s="344"/>
      <c r="O80" s="344"/>
      <c r="P80" s="344"/>
      <c r="Q80" s="344"/>
      <c r="R80" s="344"/>
      <c r="S80" s="344"/>
      <c r="T80" s="344"/>
      <c r="U80" s="344"/>
      <c r="V80" s="344"/>
      <c r="W80" s="344"/>
      <c r="X80" s="344"/>
      <c r="Y80" s="344"/>
    </row>
    <row r="81" spans="1:25" ht="14.25" customHeight="1" x14ac:dyDescent="0.25">
      <c r="A81" s="368"/>
      <c r="B81" s="368"/>
      <c r="C81" s="213" t="s">
        <v>2902</v>
      </c>
      <c r="D81" s="350">
        <v>44516</v>
      </c>
      <c r="E81" s="305">
        <v>44516</v>
      </c>
      <c r="F81" s="344"/>
      <c r="G81" s="344"/>
      <c r="H81" s="344"/>
      <c r="I81" s="344"/>
      <c r="J81" s="344"/>
      <c r="K81" s="344"/>
      <c r="L81" s="344"/>
      <c r="M81" s="344"/>
      <c r="N81" s="344"/>
      <c r="O81" s="344"/>
      <c r="P81" s="344"/>
      <c r="Q81" s="344"/>
      <c r="R81" s="344"/>
      <c r="S81" s="344"/>
      <c r="T81" s="344"/>
      <c r="U81" s="344"/>
      <c r="V81" s="344"/>
      <c r="W81" s="344"/>
      <c r="X81" s="344"/>
      <c r="Y81" s="344"/>
    </row>
    <row r="82" spans="1:25" ht="15.75" customHeight="1" x14ac:dyDescent="0.25">
      <c r="A82" s="358">
        <v>18</v>
      </c>
      <c r="B82" s="176" t="s">
        <v>2952</v>
      </c>
      <c r="C82" s="349" t="s">
        <v>2938</v>
      </c>
      <c r="D82" s="350">
        <v>44348</v>
      </c>
      <c r="E82" s="305">
        <v>44350</v>
      </c>
      <c r="F82" s="344"/>
      <c r="G82" s="344"/>
      <c r="H82" s="344"/>
      <c r="I82" s="344"/>
      <c r="J82" s="344"/>
      <c r="K82" s="344"/>
      <c r="L82" s="344"/>
      <c r="M82" s="344"/>
      <c r="N82" s="344"/>
      <c r="O82" s="344"/>
      <c r="P82" s="344"/>
      <c r="Q82" s="344"/>
      <c r="R82" s="344"/>
      <c r="S82" s="344"/>
      <c r="T82" s="344"/>
      <c r="U82" s="344"/>
      <c r="V82" s="344"/>
      <c r="W82" s="344"/>
      <c r="X82" s="344"/>
      <c r="Y82" s="344"/>
    </row>
    <row r="83" spans="1:25" ht="15.75" customHeight="1" x14ac:dyDescent="0.25">
      <c r="A83" s="484">
        <v>19</v>
      </c>
      <c r="B83" s="491" t="s">
        <v>2953</v>
      </c>
      <c r="C83" s="349" t="s">
        <v>2881</v>
      </c>
      <c r="D83" s="313">
        <v>44279</v>
      </c>
      <c r="E83" s="305">
        <v>44279</v>
      </c>
      <c r="F83" s="344"/>
      <c r="G83" s="344"/>
      <c r="H83" s="344"/>
      <c r="I83" s="344"/>
      <c r="J83" s="344"/>
      <c r="K83" s="344"/>
      <c r="L83" s="344"/>
      <c r="M83" s="344"/>
      <c r="N83" s="344"/>
      <c r="O83" s="344"/>
      <c r="P83" s="344"/>
      <c r="Q83" s="344"/>
      <c r="R83" s="344"/>
      <c r="S83" s="344"/>
      <c r="T83" s="344"/>
      <c r="U83" s="344"/>
      <c r="V83" s="344"/>
      <c r="W83" s="344"/>
      <c r="X83" s="344"/>
      <c r="Y83" s="344"/>
    </row>
    <row r="84" spans="1:25" ht="14.25" customHeight="1" x14ac:dyDescent="0.25">
      <c r="A84" s="368"/>
      <c r="B84" s="368"/>
      <c r="C84" s="213" t="s">
        <v>2889</v>
      </c>
      <c r="D84" s="350">
        <v>44347</v>
      </c>
      <c r="E84" s="305">
        <v>44359</v>
      </c>
      <c r="F84" s="344"/>
      <c r="G84" s="344"/>
      <c r="H84" s="344"/>
      <c r="I84" s="344"/>
      <c r="J84" s="344"/>
      <c r="K84" s="344"/>
      <c r="L84" s="344"/>
      <c r="M84" s="344"/>
      <c r="N84" s="344"/>
      <c r="O84" s="344"/>
      <c r="P84" s="344"/>
      <c r="Q84" s="344"/>
      <c r="R84" s="344"/>
      <c r="S84" s="344"/>
      <c r="T84" s="344"/>
      <c r="U84" s="344"/>
      <c r="V84" s="344"/>
      <c r="W84" s="344"/>
      <c r="X84" s="344"/>
      <c r="Y84" s="344"/>
    </row>
    <row r="85" spans="1:25" ht="15.75" customHeight="1" x14ac:dyDescent="0.25">
      <c r="A85" s="358">
        <v>20</v>
      </c>
      <c r="B85" s="187" t="s">
        <v>2954</v>
      </c>
      <c r="C85" s="349" t="s">
        <v>2900</v>
      </c>
      <c r="D85" s="350">
        <v>44520</v>
      </c>
      <c r="E85" s="305">
        <v>44520</v>
      </c>
      <c r="F85" s="344"/>
      <c r="G85" s="344"/>
      <c r="H85" s="344"/>
      <c r="I85" s="344"/>
      <c r="J85" s="344"/>
      <c r="K85" s="344"/>
      <c r="L85" s="344"/>
      <c r="M85" s="344"/>
      <c r="N85" s="344"/>
      <c r="O85" s="344"/>
      <c r="P85" s="344"/>
      <c r="Q85" s="344"/>
      <c r="R85" s="344"/>
      <c r="S85" s="344"/>
      <c r="T85" s="344"/>
      <c r="U85" s="344"/>
      <c r="V85" s="344"/>
      <c r="W85" s="344"/>
      <c r="X85" s="344"/>
      <c r="Y85" s="344"/>
    </row>
    <row r="86" spans="1:25" ht="15.75" customHeight="1" x14ac:dyDescent="0.25">
      <c r="A86" s="358">
        <v>21</v>
      </c>
      <c r="B86" s="324" t="s">
        <v>2955</v>
      </c>
      <c r="C86" s="349" t="s">
        <v>2901</v>
      </c>
      <c r="D86" s="350">
        <v>44520</v>
      </c>
      <c r="E86" s="305">
        <v>44520</v>
      </c>
      <c r="F86" s="344"/>
      <c r="G86" s="344"/>
      <c r="H86" s="344"/>
      <c r="I86" s="344"/>
      <c r="J86" s="344"/>
      <c r="K86" s="344"/>
      <c r="L86" s="344"/>
      <c r="M86" s="344"/>
      <c r="N86" s="344"/>
      <c r="O86" s="344"/>
      <c r="P86" s="344"/>
      <c r="Q86" s="344"/>
      <c r="R86" s="344"/>
      <c r="S86" s="344"/>
      <c r="T86" s="344"/>
      <c r="U86" s="344"/>
      <c r="V86" s="344"/>
      <c r="W86" s="344"/>
      <c r="X86" s="344"/>
      <c r="Y86" s="344"/>
    </row>
    <row r="87" spans="1:25" ht="15.75" customHeight="1" x14ac:dyDescent="0.25">
      <c r="A87" s="359">
        <v>22</v>
      </c>
      <c r="B87" s="324" t="s">
        <v>2956</v>
      </c>
      <c r="C87" s="349" t="s">
        <v>2957</v>
      </c>
      <c r="D87" s="350">
        <v>44316</v>
      </c>
      <c r="E87" s="305">
        <v>44316</v>
      </c>
      <c r="F87" s="344"/>
      <c r="G87" s="344"/>
      <c r="H87" s="344"/>
      <c r="I87" s="344"/>
      <c r="J87" s="344"/>
      <c r="K87" s="344"/>
      <c r="L87" s="344"/>
      <c r="M87" s="344"/>
      <c r="N87" s="344"/>
      <c r="O87" s="344"/>
      <c r="P87" s="344"/>
      <c r="Q87" s="344"/>
      <c r="R87" s="344"/>
      <c r="S87" s="344"/>
      <c r="T87" s="344"/>
      <c r="U87" s="344"/>
      <c r="V87" s="344"/>
      <c r="W87" s="344"/>
      <c r="X87" s="344"/>
      <c r="Y87" s="344"/>
    </row>
    <row r="88" spans="1:25" ht="15.75" customHeight="1" x14ac:dyDescent="0.25">
      <c r="A88" s="491">
        <v>23</v>
      </c>
      <c r="B88" s="491" t="s">
        <v>2958</v>
      </c>
      <c r="C88" s="349" t="s">
        <v>2959</v>
      </c>
      <c r="D88" s="350">
        <v>44341</v>
      </c>
      <c r="E88" s="305">
        <v>44341</v>
      </c>
      <c r="F88" s="344"/>
      <c r="G88" s="344"/>
      <c r="H88" s="344"/>
      <c r="I88" s="344"/>
      <c r="J88" s="344"/>
      <c r="K88" s="344"/>
      <c r="L88" s="344"/>
      <c r="M88" s="344"/>
      <c r="N88" s="344"/>
      <c r="O88" s="344"/>
      <c r="P88" s="344"/>
      <c r="Q88" s="344"/>
      <c r="R88" s="344"/>
      <c r="S88" s="344"/>
      <c r="T88" s="344"/>
      <c r="U88" s="344"/>
      <c r="V88" s="344"/>
      <c r="W88" s="344"/>
      <c r="X88" s="344"/>
      <c r="Y88" s="344"/>
    </row>
    <row r="89" spans="1:25" ht="15.75" customHeight="1" x14ac:dyDescent="0.25">
      <c r="A89" s="368"/>
      <c r="B89" s="368"/>
      <c r="C89" s="349" t="s">
        <v>2887</v>
      </c>
      <c r="D89" s="350">
        <v>44320</v>
      </c>
      <c r="E89" s="305">
        <v>44320</v>
      </c>
      <c r="F89" s="344"/>
      <c r="G89" s="344"/>
      <c r="H89" s="344"/>
      <c r="I89" s="344"/>
      <c r="J89" s="344"/>
      <c r="K89" s="344"/>
      <c r="L89" s="344"/>
      <c r="M89" s="344"/>
      <c r="N89" s="344"/>
      <c r="O89" s="344"/>
      <c r="P89" s="344"/>
      <c r="Q89" s="344"/>
      <c r="R89" s="344"/>
      <c r="S89" s="344"/>
      <c r="T89" s="344"/>
      <c r="U89" s="344"/>
      <c r="V89" s="344"/>
      <c r="W89" s="344"/>
      <c r="X89" s="344"/>
      <c r="Y89" s="344"/>
    </row>
    <row r="90" spans="1:25" ht="14.25" customHeight="1" x14ac:dyDescent="0.25">
      <c r="A90" s="28"/>
      <c r="B90" s="347"/>
      <c r="C90" s="347"/>
      <c r="D90" s="347"/>
      <c r="E90" s="347"/>
      <c r="F90" s="344"/>
      <c r="G90" s="344"/>
      <c r="H90" s="344"/>
      <c r="I90" s="344"/>
      <c r="J90" s="344"/>
      <c r="K90" s="344"/>
      <c r="L90" s="344"/>
      <c r="M90" s="344"/>
      <c r="N90" s="344"/>
      <c r="O90" s="344"/>
      <c r="P90" s="344"/>
      <c r="Q90" s="344"/>
      <c r="R90" s="344"/>
      <c r="S90" s="344"/>
      <c r="T90" s="344"/>
      <c r="U90" s="344"/>
      <c r="V90" s="344"/>
      <c r="W90" s="344"/>
      <c r="X90" s="344"/>
      <c r="Y90" s="344"/>
    </row>
    <row r="91" spans="1:25" ht="14.25" customHeight="1" x14ac:dyDescent="0.25">
      <c r="A91" s="28"/>
      <c r="B91" s="28" t="s">
        <v>2960</v>
      </c>
      <c r="C91" s="360">
        <v>23</v>
      </c>
      <c r="D91" s="347"/>
      <c r="E91" s="347"/>
      <c r="F91" s="344"/>
      <c r="G91" s="344"/>
      <c r="H91" s="344"/>
      <c r="I91" s="344"/>
      <c r="J91" s="344"/>
      <c r="K91" s="344"/>
      <c r="L91" s="344"/>
      <c r="M91" s="344"/>
      <c r="N91" s="344"/>
      <c r="O91" s="344"/>
      <c r="P91" s="344"/>
      <c r="Q91" s="344"/>
      <c r="R91" s="344"/>
      <c r="S91" s="344"/>
      <c r="T91" s="344"/>
      <c r="U91" s="344"/>
      <c r="V91" s="344"/>
      <c r="W91" s="344"/>
      <c r="X91" s="344"/>
      <c r="Y91" s="344"/>
    </row>
    <row r="92" spans="1:25" ht="14.25" customHeight="1" x14ac:dyDescent="0.25">
      <c r="A92" s="344"/>
      <c r="B92" s="344"/>
      <c r="C92" s="344"/>
      <c r="D92" s="344"/>
      <c r="E92" s="344"/>
      <c r="F92" s="344"/>
      <c r="G92" s="344"/>
      <c r="H92" s="344"/>
      <c r="I92" s="344"/>
      <c r="J92" s="344"/>
      <c r="K92" s="344"/>
      <c r="L92" s="344"/>
      <c r="M92" s="344"/>
      <c r="N92" s="344"/>
      <c r="O92" s="344"/>
      <c r="P92" s="344"/>
      <c r="Q92" s="344"/>
      <c r="R92" s="344"/>
      <c r="S92" s="344"/>
      <c r="T92" s="344"/>
      <c r="U92" s="344"/>
      <c r="V92" s="344"/>
      <c r="W92" s="344"/>
      <c r="X92" s="344"/>
      <c r="Y92" s="344"/>
    </row>
    <row r="93" spans="1:25" ht="14.25" customHeight="1" x14ac:dyDescent="0.25">
      <c r="A93" s="344"/>
      <c r="B93" s="344"/>
      <c r="C93" s="344"/>
      <c r="D93" s="344"/>
      <c r="E93" s="344"/>
      <c r="F93" s="344"/>
      <c r="G93" s="344"/>
      <c r="H93" s="344"/>
      <c r="I93" s="344"/>
      <c r="J93" s="344"/>
      <c r="K93" s="344"/>
      <c r="L93" s="344"/>
      <c r="M93" s="344"/>
      <c r="N93" s="344"/>
      <c r="O93" s="344"/>
      <c r="P93" s="344"/>
      <c r="Q93" s="344"/>
      <c r="R93" s="344"/>
      <c r="S93" s="344"/>
      <c r="T93" s="344"/>
      <c r="U93" s="344"/>
      <c r="V93" s="344"/>
      <c r="W93" s="344"/>
      <c r="X93" s="344"/>
      <c r="Y93" s="344"/>
    </row>
    <row r="94" spans="1:25" ht="14.25" customHeight="1" x14ac:dyDescent="0.25">
      <c r="A94" s="28" t="s">
        <v>56</v>
      </c>
      <c r="B94" s="29"/>
      <c r="C94" s="5"/>
      <c r="D94" s="344"/>
      <c r="E94" s="344"/>
      <c r="F94" s="344"/>
      <c r="G94" s="344"/>
      <c r="H94" s="344"/>
      <c r="I94" s="344"/>
      <c r="J94" s="344"/>
      <c r="K94" s="344"/>
      <c r="L94" s="344"/>
      <c r="M94" s="344"/>
      <c r="N94" s="344"/>
      <c r="O94" s="344"/>
      <c r="P94" s="344"/>
      <c r="Q94" s="344"/>
      <c r="R94" s="344"/>
      <c r="S94" s="344"/>
      <c r="T94" s="344"/>
      <c r="U94" s="344"/>
      <c r="V94" s="344"/>
      <c r="W94" s="344"/>
      <c r="X94" s="344"/>
      <c r="Y94" s="344"/>
    </row>
    <row r="95" spans="1:25" ht="14.25" customHeight="1" x14ac:dyDescent="0.25">
      <c r="A95" s="29"/>
      <c r="B95" s="283"/>
      <c r="C95" s="165"/>
      <c r="D95" s="344"/>
      <c r="E95" s="344"/>
      <c r="F95" s="344"/>
      <c r="G95" s="344"/>
      <c r="H95" s="344"/>
      <c r="I95" s="344"/>
      <c r="J95" s="344"/>
      <c r="K95" s="344"/>
      <c r="L95" s="344"/>
      <c r="M95" s="344"/>
      <c r="N95" s="344"/>
      <c r="O95" s="344"/>
      <c r="P95" s="344"/>
      <c r="Q95" s="344"/>
      <c r="R95" s="344"/>
      <c r="S95" s="344"/>
      <c r="T95" s="344"/>
      <c r="U95" s="344"/>
      <c r="V95" s="344"/>
      <c r="W95" s="344"/>
      <c r="X95" s="344"/>
      <c r="Y95" s="344"/>
    </row>
    <row r="96" spans="1:25" ht="14.25" customHeight="1" x14ac:dyDescent="0.25">
      <c r="A96" s="454" t="s">
        <v>2903</v>
      </c>
      <c r="B96" s="373"/>
      <c r="C96" s="78" t="s">
        <v>2369</v>
      </c>
      <c r="D96" s="344"/>
      <c r="E96" s="344"/>
      <c r="F96" s="344"/>
      <c r="G96" s="344"/>
      <c r="H96" s="344"/>
      <c r="I96" s="344"/>
      <c r="J96" s="344"/>
      <c r="K96" s="344"/>
      <c r="L96" s="344"/>
      <c r="M96" s="344"/>
      <c r="N96" s="344"/>
      <c r="O96" s="344"/>
      <c r="P96" s="344"/>
      <c r="Q96" s="344"/>
      <c r="R96" s="344"/>
      <c r="S96" s="344"/>
      <c r="T96" s="344"/>
      <c r="U96" s="344"/>
      <c r="V96" s="344"/>
      <c r="W96" s="344"/>
      <c r="X96" s="344"/>
      <c r="Y96" s="344"/>
    </row>
    <row r="97" spans="1:25" ht="14.25" customHeight="1" x14ac:dyDescent="0.25">
      <c r="A97" s="455" t="s">
        <v>2829</v>
      </c>
      <c r="B97" s="373"/>
      <c r="C97" s="32" t="s">
        <v>59</v>
      </c>
      <c r="D97" s="344"/>
      <c r="E97" s="344"/>
      <c r="F97" s="344"/>
      <c r="G97" s="344"/>
      <c r="H97" s="344"/>
      <c r="I97" s="344"/>
      <c r="J97" s="344"/>
      <c r="K97" s="344"/>
      <c r="L97" s="344"/>
      <c r="M97" s="344"/>
      <c r="N97" s="344"/>
      <c r="O97" s="344"/>
      <c r="P97" s="344"/>
      <c r="Q97" s="344"/>
      <c r="R97" s="344"/>
      <c r="S97" s="344"/>
      <c r="T97" s="344"/>
      <c r="U97" s="344"/>
      <c r="V97" s="344"/>
      <c r="W97" s="344"/>
      <c r="X97" s="344"/>
      <c r="Y97" s="344"/>
    </row>
    <row r="98" spans="1:25" ht="14.25" customHeight="1" x14ac:dyDescent="0.25">
      <c r="A98" s="5"/>
      <c r="B98" s="5"/>
      <c r="C98" s="5"/>
      <c r="D98" s="344"/>
      <c r="E98" s="344"/>
      <c r="F98" s="344"/>
      <c r="G98" s="344"/>
      <c r="H98" s="344"/>
      <c r="I98" s="344"/>
      <c r="J98" s="344"/>
      <c r="K98" s="344"/>
      <c r="L98" s="344"/>
      <c r="M98" s="344"/>
      <c r="N98" s="344"/>
      <c r="O98" s="344"/>
      <c r="P98" s="344"/>
      <c r="Q98" s="344"/>
      <c r="R98" s="344"/>
      <c r="S98" s="344"/>
      <c r="T98" s="344"/>
      <c r="U98" s="344"/>
      <c r="V98" s="344"/>
      <c r="W98" s="344"/>
      <c r="X98" s="344"/>
      <c r="Y98" s="344"/>
    </row>
    <row r="99" spans="1:25" ht="14.25" customHeight="1" x14ac:dyDescent="0.25">
      <c r="A99" s="33" t="s">
        <v>60</v>
      </c>
      <c r="B99" s="5"/>
      <c r="C99" s="5"/>
      <c r="D99" s="344"/>
      <c r="E99" s="344"/>
      <c r="F99" s="344"/>
      <c r="G99" s="344"/>
      <c r="H99" s="344"/>
      <c r="I99" s="344"/>
      <c r="J99" s="344"/>
      <c r="K99" s="344"/>
      <c r="L99" s="344"/>
      <c r="M99" s="344"/>
      <c r="N99" s="344"/>
      <c r="O99" s="344"/>
      <c r="P99" s="344"/>
      <c r="Q99" s="344"/>
      <c r="R99" s="344"/>
      <c r="S99" s="344"/>
      <c r="T99" s="344"/>
      <c r="U99" s="344"/>
      <c r="V99" s="344"/>
      <c r="W99" s="344"/>
      <c r="X99" s="344"/>
      <c r="Y99" s="344"/>
    </row>
    <row r="100" spans="1:25" ht="14.25" customHeight="1" x14ac:dyDescent="0.25">
      <c r="A100" s="29"/>
      <c r="B100" s="283"/>
      <c r="C100" s="5"/>
      <c r="D100" s="344"/>
      <c r="E100" s="344"/>
      <c r="F100" s="344"/>
      <c r="G100" s="344"/>
      <c r="H100" s="344"/>
      <c r="I100" s="344"/>
      <c r="J100" s="344"/>
      <c r="K100" s="344"/>
      <c r="L100" s="344"/>
      <c r="M100" s="344"/>
      <c r="N100" s="344"/>
      <c r="O100" s="344"/>
      <c r="P100" s="344"/>
      <c r="Q100" s="344"/>
      <c r="R100" s="344"/>
      <c r="S100" s="344"/>
      <c r="T100" s="344"/>
      <c r="U100" s="344"/>
      <c r="V100" s="344"/>
      <c r="W100" s="344"/>
      <c r="X100" s="344"/>
      <c r="Y100" s="344"/>
    </row>
    <row r="101" spans="1:25" ht="14.25" customHeight="1" x14ac:dyDescent="0.25">
      <c r="A101" s="454" t="s">
        <v>2830</v>
      </c>
      <c r="B101" s="373"/>
      <c r="C101" s="78" t="s">
        <v>2369</v>
      </c>
      <c r="D101" s="344"/>
      <c r="E101" s="344"/>
      <c r="F101" s="344"/>
      <c r="G101" s="344"/>
      <c r="H101" s="344"/>
      <c r="I101" s="344"/>
      <c r="J101" s="344"/>
      <c r="K101" s="344"/>
      <c r="L101" s="344"/>
      <c r="M101" s="344"/>
      <c r="N101" s="344"/>
      <c r="O101" s="344"/>
      <c r="P101" s="344"/>
      <c r="Q101" s="344"/>
      <c r="R101" s="344"/>
      <c r="S101" s="344"/>
      <c r="T101" s="344"/>
      <c r="U101" s="344"/>
      <c r="V101" s="344"/>
      <c r="W101" s="344"/>
      <c r="X101" s="344"/>
      <c r="Y101" s="344"/>
    </row>
    <row r="102" spans="1:25" ht="14.25" customHeight="1" x14ac:dyDescent="0.25">
      <c r="A102" s="456" t="s">
        <v>2831</v>
      </c>
      <c r="B102" s="373"/>
      <c r="C102" s="32" t="s">
        <v>59</v>
      </c>
      <c r="D102" s="344"/>
      <c r="E102" s="344"/>
      <c r="F102" s="344"/>
      <c r="G102" s="344"/>
      <c r="H102" s="344"/>
      <c r="I102" s="344"/>
      <c r="J102" s="344"/>
      <c r="K102" s="344"/>
      <c r="L102" s="344"/>
      <c r="M102" s="344"/>
      <c r="N102" s="344"/>
      <c r="O102" s="344"/>
      <c r="P102" s="344"/>
      <c r="Q102" s="344"/>
      <c r="R102" s="344"/>
      <c r="S102" s="344"/>
      <c r="T102" s="344"/>
      <c r="U102" s="344"/>
      <c r="V102" s="344"/>
      <c r="W102" s="344"/>
      <c r="X102" s="344"/>
      <c r="Y102" s="344"/>
    </row>
    <row r="103" spans="1:25" ht="14.25" customHeight="1" x14ac:dyDescent="0.25">
      <c r="A103" s="344"/>
      <c r="B103" s="344"/>
      <c r="C103" s="344"/>
      <c r="D103" s="344"/>
      <c r="E103" s="344"/>
      <c r="F103" s="344"/>
      <c r="G103" s="344"/>
      <c r="H103" s="344"/>
      <c r="I103" s="344"/>
      <c r="J103" s="344"/>
      <c r="K103" s="344"/>
      <c r="L103" s="344"/>
      <c r="M103" s="344"/>
      <c r="N103" s="344"/>
      <c r="O103" s="344"/>
      <c r="P103" s="344"/>
      <c r="Q103" s="344"/>
      <c r="R103" s="344"/>
      <c r="S103" s="344"/>
      <c r="T103" s="344"/>
      <c r="U103" s="344"/>
      <c r="V103" s="344"/>
      <c r="W103" s="344"/>
      <c r="X103" s="344"/>
      <c r="Y103" s="344"/>
    </row>
    <row r="104" spans="1:25" ht="14.25" customHeight="1" x14ac:dyDescent="0.25">
      <c r="A104" s="344"/>
      <c r="B104" s="344"/>
      <c r="C104" s="344"/>
      <c r="D104" s="344"/>
      <c r="E104" s="344"/>
      <c r="F104" s="344"/>
      <c r="G104" s="344"/>
      <c r="H104" s="344"/>
      <c r="I104" s="344"/>
      <c r="J104" s="344"/>
      <c r="K104" s="344"/>
      <c r="L104" s="344"/>
      <c r="M104" s="344"/>
      <c r="N104" s="344"/>
      <c r="O104" s="344"/>
      <c r="P104" s="344"/>
      <c r="Q104" s="344"/>
      <c r="R104" s="344"/>
      <c r="S104" s="344"/>
      <c r="T104" s="344"/>
      <c r="U104" s="344"/>
      <c r="V104" s="344"/>
      <c r="W104" s="344"/>
      <c r="X104" s="344"/>
      <c r="Y104" s="344"/>
    </row>
    <row r="105" spans="1:25" ht="14.25" customHeight="1" x14ac:dyDescent="0.25">
      <c r="A105" s="344"/>
      <c r="B105" s="344"/>
      <c r="C105" s="344"/>
      <c r="D105" s="344"/>
      <c r="E105" s="344"/>
      <c r="F105" s="344"/>
      <c r="G105" s="344"/>
      <c r="H105" s="344"/>
      <c r="I105" s="344"/>
      <c r="J105" s="344"/>
      <c r="K105" s="344"/>
      <c r="L105" s="344"/>
      <c r="M105" s="344"/>
      <c r="N105" s="344"/>
      <c r="O105" s="344"/>
      <c r="P105" s="344"/>
      <c r="Q105" s="344"/>
      <c r="R105" s="344"/>
      <c r="S105" s="344"/>
      <c r="T105" s="344"/>
      <c r="U105" s="344"/>
      <c r="V105" s="344"/>
      <c r="W105" s="344"/>
      <c r="X105" s="344"/>
      <c r="Y105" s="344"/>
    </row>
    <row r="106" spans="1:25" ht="14.25" customHeight="1" x14ac:dyDescent="0.25">
      <c r="A106" s="344"/>
      <c r="B106" s="344"/>
      <c r="C106" s="344"/>
      <c r="D106" s="344"/>
      <c r="E106" s="344"/>
      <c r="F106" s="344"/>
      <c r="G106" s="344"/>
      <c r="H106" s="344"/>
      <c r="I106" s="344"/>
      <c r="J106" s="344"/>
      <c r="K106" s="344"/>
      <c r="L106" s="344"/>
      <c r="M106" s="344"/>
      <c r="N106" s="344"/>
      <c r="O106" s="344"/>
      <c r="P106" s="344"/>
      <c r="Q106" s="344"/>
      <c r="R106" s="344"/>
      <c r="S106" s="344"/>
      <c r="T106" s="344"/>
      <c r="U106" s="344"/>
      <c r="V106" s="344"/>
      <c r="W106" s="344"/>
      <c r="X106" s="344"/>
      <c r="Y106" s="344"/>
    </row>
    <row r="107" spans="1:25" ht="14.25" customHeight="1" x14ac:dyDescent="0.25">
      <c r="A107" s="344"/>
      <c r="B107" s="344"/>
      <c r="C107" s="344"/>
      <c r="D107" s="344"/>
      <c r="E107" s="344"/>
      <c r="F107" s="344"/>
      <c r="G107" s="344"/>
      <c r="H107" s="344"/>
      <c r="I107" s="344"/>
      <c r="J107" s="344"/>
      <c r="K107" s="344"/>
      <c r="L107" s="344"/>
      <c r="M107" s="344"/>
      <c r="N107" s="344"/>
      <c r="O107" s="344"/>
      <c r="P107" s="344"/>
      <c r="Q107" s="344"/>
      <c r="R107" s="344"/>
      <c r="S107" s="344"/>
      <c r="T107" s="344"/>
      <c r="U107" s="344"/>
      <c r="V107" s="344"/>
      <c r="W107" s="344"/>
      <c r="X107" s="344"/>
      <c r="Y107" s="344"/>
    </row>
    <row r="108" spans="1:25" ht="14.25" customHeight="1" x14ac:dyDescent="0.25">
      <c r="A108" s="344"/>
      <c r="B108" s="344"/>
      <c r="C108" s="344"/>
      <c r="D108" s="344"/>
      <c r="E108" s="344"/>
      <c r="F108" s="344"/>
      <c r="G108" s="344"/>
      <c r="H108" s="344"/>
      <c r="I108" s="344"/>
      <c r="J108" s="344"/>
      <c r="K108" s="344"/>
      <c r="L108" s="344"/>
      <c r="M108" s="344"/>
      <c r="N108" s="344"/>
      <c r="O108" s="344"/>
      <c r="P108" s="344"/>
      <c r="Q108" s="344"/>
      <c r="R108" s="344"/>
      <c r="S108" s="344"/>
      <c r="T108" s="344"/>
      <c r="U108" s="344"/>
      <c r="V108" s="344"/>
      <c r="W108" s="344"/>
      <c r="X108" s="344"/>
      <c r="Y108" s="344"/>
    </row>
    <row r="109" spans="1:25" ht="14.25" customHeight="1" x14ac:dyDescent="0.25">
      <c r="A109" s="344"/>
      <c r="B109" s="344"/>
      <c r="C109" s="344"/>
      <c r="D109" s="344"/>
      <c r="E109" s="344"/>
      <c r="F109" s="344"/>
      <c r="G109" s="344"/>
      <c r="H109" s="344"/>
      <c r="I109" s="344"/>
      <c r="J109" s="344"/>
      <c r="K109" s="344"/>
      <c r="L109" s="344"/>
      <c r="M109" s="344"/>
      <c r="N109" s="344"/>
      <c r="O109" s="344"/>
      <c r="P109" s="344"/>
      <c r="Q109" s="344"/>
      <c r="R109" s="344"/>
      <c r="S109" s="344"/>
      <c r="T109" s="344"/>
      <c r="U109" s="344"/>
      <c r="V109" s="344"/>
      <c r="W109" s="344"/>
      <c r="X109" s="344"/>
      <c r="Y109" s="344"/>
    </row>
    <row r="110" spans="1:25" ht="14.25" customHeight="1" x14ac:dyDescent="0.25">
      <c r="A110" s="344"/>
      <c r="B110" s="344"/>
      <c r="C110" s="344"/>
      <c r="D110" s="344"/>
      <c r="E110" s="344"/>
      <c r="F110" s="344"/>
      <c r="G110" s="344"/>
      <c r="H110" s="344"/>
      <c r="I110" s="344"/>
      <c r="J110" s="344"/>
      <c r="K110" s="344"/>
      <c r="L110" s="344"/>
      <c r="M110" s="344"/>
      <c r="N110" s="344"/>
      <c r="O110" s="344"/>
      <c r="P110" s="344"/>
      <c r="Q110" s="344"/>
      <c r="R110" s="344"/>
      <c r="S110" s="344"/>
      <c r="T110" s="344"/>
      <c r="U110" s="344"/>
      <c r="V110" s="344"/>
      <c r="W110" s="344"/>
      <c r="X110" s="344"/>
      <c r="Y110" s="344"/>
    </row>
    <row r="111" spans="1:25" ht="14.25" customHeight="1" x14ac:dyDescent="0.25">
      <c r="A111" s="344"/>
      <c r="B111" s="344"/>
      <c r="C111" s="344"/>
      <c r="D111" s="344"/>
      <c r="E111" s="344"/>
      <c r="F111" s="344"/>
      <c r="G111" s="344"/>
      <c r="H111" s="344"/>
      <c r="I111" s="344"/>
      <c r="J111" s="344"/>
      <c r="K111" s="344"/>
      <c r="L111" s="344"/>
      <c r="M111" s="344"/>
      <c r="N111" s="344"/>
      <c r="O111" s="344"/>
      <c r="P111" s="344"/>
      <c r="Q111" s="344"/>
      <c r="R111" s="344"/>
      <c r="S111" s="344"/>
      <c r="T111" s="344"/>
      <c r="U111" s="344"/>
      <c r="V111" s="344"/>
      <c r="W111" s="344"/>
      <c r="X111" s="344"/>
      <c r="Y111" s="344"/>
    </row>
    <row r="112" spans="1:25" ht="14.25" customHeight="1" x14ac:dyDescent="0.25">
      <c r="A112" s="344"/>
      <c r="B112" s="344"/>
      <c r="C112" s="344"/>
      <c r="D112" s="344"/>
      <c r="E112" s="344"/>
      <c r="F112" s="344"/>
      <c r="G112" s="344"/>
      <c r="H112" s="344"/>
      <c r="I112" s="344"/>
      <c r="J112" s="344"/>
      <c r="K112" s="344"/>
      <c r="L112" s="344"/>
      <c r="M112" s="344"/>
      <c r="N112" s="344"/>
      <c r="O112" s="344"/>
      <c r="P112" s="344"/>
      <c r="Q112" s="344"/>
      <c r="R112" s="344"/>
      <c r="S112" s="344"/>
      <c r="T112" s="344"/>
      <c r="U112" s="344"/>
      <c r="V112" s="344"/>
      <c r="W112" s="344"/>
      <c r="X112" s="344"/>
      <c r="Y112" s="344"/>
    </row>
    <row r="113" spans="1:25" ht="14.25" customHeight="1" x14ac:dyDescent="0.25">
      <c r="A113" s="344"/>
      <c r="B113" s="344"/>
      <c r="C113" s="344"/>
      <c r="D113" s="344"/>
      <c r="E113" s="344"/>
      <c r="F113" s="344"/>
      <c r="G113" s="344"/>
      <c r="H113" s="344"/>
      <c r="I113" s="344"/>
      <c r="J113" s="344"/>
      <c r="K113" s="344"/>
      <c r="L113" s="344"/>
      <c r="M113" s="344"/>
      <c r="N113" s="344"/>
      <c r="O113" s="344"/>
      <c r="P113" s="344"/>
      <c r="Q113" s="344"/>
      <c r="R113" s="344"/>
      <c r="S113" s="344"/>
      <c r="T113" s="344"/>
      <c r="U113" s="344"/>
      <c r="V113" s="344"/>
      <c r="W113" s="344"/>
      <c r="X113" s="344"/>
      <c r="Y113" s="344"/>
    </row>
    <row r="114" spans="1:25" ht="14.25" customHeight="1" x14ac:dyDescent="0.25">
      <c r="A114" s="344"/>
      <c r="B114" s="344"/>
      <c r="C114" s="344"/>
      <c r="D114" s="344"/>
      <c r="E114" s="344"/>
      <c r="F114" s="344"/>
      <c r="G114" s="344"/>
      <c r="H114" s="344"/>
      <c r="I114" s="344"/>
      <c r="J114" s="344"/>
      <c r="K114" s="344"/>
      <c r="L114" s="344"/>
      <c r="M114" s="344"/>
      <c r="N114" s="344"/>
      <c r="O114" s="344"/>
      <c r="P114" s="344"/>
      <c r="Q114" s="344"/>
      <c r="R114" s="344"/>
      <c r="S114" s="344"/>
      <c r="T114" s="344"/>
      <c r="U114" s="344"/>
      <c r="V114" s="344"/>
      <c r="W114" s="344"/>
      <c r="X114" s="344"/>
      <c r="Y114" s="344"/>
    </row>
    <row r="115" spans="1:25" ht="14.25" customHeight="1" x14ac:dyDescent="0.25">
      <c r="A115" s="344"/>
      <c r="B115" s="344"/>
      <c r="C115" s="344"/>
      <c r="D115" s="344"/>
      <c r="E115" s="344"/>
      <c r="F115" s="344"/>
      <c r="G115" s="344"/>
      <c r="H115" s="344"/>
      <c r="I115" s="344"/>
      <c r="J115" s="344"/>
      <c r="K115" s="344"/>
      <c r="L115" s="344"/>
      <c r="M115" s="344"/>
      <c r="N115" s="344"/>
      <c r="O115" s="344"/>
      <c r="P115" s="344"/>
      <c r="Q115" s="344"/>
      <c r="R115" s="344"/>
      <c r="S115" s="344"/>
      <c r="T115" s="344"/>
      <c r="U115" s="344"/>
      <c r="V115" s="344"/>
      <c r="W115" s="344"/>
      <c r="X115" s="344"/>
      <c r="Y115" s="344"/>
    </row>
    <row r="116" spans="1:25" ht="14.25" customHeight="1" x14ac:dyDescent="0.25">
      <c r="A116" s="344"/>
      <c r="B116" s="344"/>
      <c r="C116" s="344"/>
      <c r="D116" s="344"/>
      <c r="E116" s="344"/>
      <c r="F116" s="344"/>
      <c r="G116" s="344"/>
      <c r="H116" s="344"/>
      <c r="I116" s="344"/>
      <c r="J116" s="344"/>
      <c r="K116" s="344"/>
      <c r="L116" s="344"/>
      <c r="M116" s="344"/>
      <c r="N116" s="344"/>
      <c r="O116" s="344"/>
      <c r="P116" s="344"/>
      <c r="Q116" s="344"/>
      <c r="R116" s="344"/>
      <c r="S116" s="344"/>
      <c r="T116" s="344"/>
      <c r="U116" s="344"/>
      <c r="V116" s="344"/>
      <c r="W116" s="344"/>
      <c r="X116" s="344"/>
      <c r="Y116" s="344"/>
    </row>
    <row r="117" spans="1:25" ht="14.25" customHeight="1" x14ac:dyDescent="0.25">
      <c r="A117" s="344"/>
      <c r="B117" s="344"/>
      <c r="C117" s="344"/>
      <c r="D117" s="344"/>
      <c r="E117" s="344"/>
      <c r="F117" s="344"/>
      <c r="G117" s="344"/>
      <c r="H117" s="344"/>
      <c r="I117" s="344"/>
      <c r="J117" s="344"/>
      <c r="K117" s="344"/>
      <c r="L117" s="344"/>
      <c r="M117" s="344"/>
      <c r="N117" s="344"/>
      <c r="O117" s="344"/>
      <c r="P117" s="344"/>
      <c r="Q117" s="344"/>
      <c r="R117" s="344"/>
      <c r="S117" s="344"/>
      <c r="T117" s="344"/>
      <c r="U117" s="344"/>
      <c r="V117" s="344"/>
      <c r="W117" s="344"/>
      <c r="X117" s="344"/>
      <c r="Y117" s="344"/>
    </row>
    <row r="118" spans="1:25" ht="14.25" customHeight="1" x14ac:dyDescent="0.25">
      <c r="A118" s="344"/>
      <c r="B118" s="344"/>
      <c r="C118" s="344"/>
      <c r="D118" s="344"/>
      <c r="E118" s="344"/>
      <c r="F118" s="344"/>
      <c r="G118" s="344"/>
      <c r="H118" s="344"/>
      <c r="I118" s="344"/>
      <c r="J118" s="344"/>
      <c r="K118" s="344"/>
      <c r="L118" s="344"/>
      <c r="M118" s="344"/>
      <c r="N118" s="344"/>
      <c r="O118" s="344"/>
      <c r="P118" s="344"/>
      <c r="Q118" s="344"/>
      <c r="R118" s="344"/>
      <c r="S118" s="344"/>
      <c r="T118" s="344"/>
      <c r="U118" s="344"/>
      <c r="V118" s="344"/>
      <c r="W118" s="344"/>
      <c r="X118" s="344"/>
      <c r="Y118" s="344"/>
    </row>
    <row r="119" spans="1:25" ht="14.25" customHeight="1" x14ac:dyDescent="0.25">
      <c r="A119" s="344"/>
      <c r="B119" s="344"/>
      <c r="C119" s="344"/>
      <c r="D119" s="344"/>
      <c r="E119" s="344"/>
      <c r="F119" s="344"/>
      <c r="G119" s="344"/>
      <c r="H119" s="344"/>
      <c r="I119" s="344"/>
      <c r="J119" s="344"/>
      <c r="K119" s="344"/>
      <c r="L119" s="344"/>
      <c r="M119" s="344"/>
      <c r="N119" s="344"/>
      <c r="O119" s="344"/>
      <c r="P119" s="344"/>
      <c r="Q119" s="344"/>
      <c r="R119" s="344"/>
      <c r="S119" s="344"/>
      <c r="T119" s="344"/>
      <c r="U119" s="344"/>
      <c r="V119" s="344"/>
      <c r="W119" s="344"/>
      <c r="X119" s="344"/>
      <c r="Y119" s="344"/>
    </row>
    <row r="120" spans="1:25" ht="14.25" customHeight="1" x14ac:dyDescent="0.25">
      <c r="A120" s="344"/>
      <c r="B120" s="344"/>
      <c r="C120" s="344"/>
      <c r="D120" s="344"/>
      <c r="E120" s="344"/>
      <c r="F120" s="344"/>
      <c r="G120" s="344"/>
      <c r="H120" s="344"/>
      <c r="I120" s="344"/>
      <c r="J120" s="344"/>
      <c r="K120" s="344"/>
      <c r="L120" s="344"/>
      <c r="M120" s="344"/>
      <c r="N120" s="344"/>
      <c r="O120" s="344"/>
      <c r="P120" s="344"/>
      <c r="Q120" s="344"/>
      <c r="R120" s="344"/>
      <c r="S120" s="344"/>
      <c r="T120" s="344"/>
      <c r="U120" s="344"/>
      <c r="V120" s="344"/>
      <c r="W120" s="344"/>
      <c r="X120" s="344"/>
      <c r="Y120" s="344"/>
    </row>
    <row r="121" spans="1:25" ht="14.25" customHeight="1" x14ac:dyDescent="0.25">
      <c r="A121" s="344"/>
      <c r="B121" s="344"/>
      <c r="C121" s="344"/>
      <c r="D121" s="344"/>
      <c r="E121" s="344"/>
      <c r="F121" s="344"/>
      <c r="G121" s="344"/>
      <c r="H121" s="344"/>
      <c r="I121" s="344"/>
      <c r="J121" s="344"/>
      <c r="K121" s="344"/>
      <c r="L121" s="344"/>
      <c r="M121" s="344"/>
      <c r="N121" s="344"/>
      <c r="O121" s="344"/>
      <c r="P121" s="344"/>
      <c r="Q121" s="344"/>
      <c r="R121" s="344"/>
      <c r="S121" s="344"/>
      <c r="T121" s="344"/>
      <c r="U121" s="344"/>
      <c r="V121" s="344"/>
      <c r="W121" s="344"/>
      <c r="X121" s="344"/>
      <c r="Y121" s="344"/>
    </row>
    <row r="122" spans="1:25" ht="14.25" customHeight="1" x14ac:dyDescent="0.25">
      <c r="A122" s="344"/>
      <c r="B122" s="344"/>
      <c r="C122" s="344"/>
      <c r="D122" s="344"/>
      <c r="E122" s="344"/>
      <c r="F122" s="344"/>
      <c r="G122" s="344"/>
      <c r="H122" s="344"/>
      <c r="I122" s="344"/>
      <c r="J122" s="344"/>
      <c r="K122" s="344"/>
      <c r="L122" s="344"/>
      <c r="M122" s="344"/>
      <c r="N122" s="344"/>
      <c r="O122" s="344"/>
      <c r="P122" s="344"/>
      <c r="Q122" s="344"/>
      <c r="R122" s="344"/>
      <c r="S122" s="344"/>
      <c r="T122" s="344"/>
      <c r="U122" s="344"/>
      <c r="V122" s="344"/>
      <c r="W122" s="344"/>
      <c r="X122" s="344"/>
      <c r="Y122" s="344"/>
    </row>
    <row r="123" spans="1:25" ht="14.25" customHeight="1" x14ac:dyDescent="0.25">
      <c r="A123" s="344"/>
      <c r="B123" s="344"/>
      <c r="C123" s="344"/>
      <c r="D123" s="344"/>
      <c r="E123" s="344"/>
      <c r="F123" s="344"/>
      <c r="G123" s="344"/>
      <c r="H123" s="344"/>
      <c r="I123" s="344"/>
      <c r="J123" s="344"/>
      <c r="K123" s="344"/>
      <c r="L123" s="344"/>
      <c r="M123" s="344"/>
      <c r="N123" s="344"/>
      <c r="O123" s="344"/>
      <c r="P123" s="344"/>
      <c r="Q123" s="344"/>
      <c r="R123" s="344"/>
      <c r="S123" s="344"/>
      <c r="T123" s="344"/>
      <c r="U123" s="344"/>
      <c r="V123" s="344"/>
      <c r="W123" s="344"/>
      <c r="X123" s="344"/>
      <c r="Y123" s="344"/>
    </row>
    <row r="124" spans="1:25" ht="14.25" customHeight="1" x14ac:dyDescent="0.25">
      <c r="A124" s="344"/>
      <c r="B124" s="344"/>
      <c r="C124" s="344"/>
      <c r="D124" s="344"/>
      <c r="E124" s="344"/>
      <c r="F124" s="344"/>
      <c r="G124" s="344"/>
      <c r="H124" s="344"/>
      <c r="I124" s="344"/>
      <c r="J124" s="344"/>
      <c r="K124" s="344"/>
      <c r="L124" s="344"/>
      <c r="M124" s="344"/>
      <c r="N124" s="344"/>
      <c r="O124" s="344"/>
      <c r="P124" s="344"/>
      <c r="Q124" s="344"/>
      <c r="R124" s="344"/>
      <c r="S124" s="344"/>
      <c r="T124" s="344"/>
      <c r="U124" s="344"/>
      <c r="V124" s="344"/>
      <c r="W124" s="344"/>
      <c r="X124" s="344"/>
      <c r="Y124" s="344"/>
    </row>
    <row r="125" spans="1:25" ht="14.25" customHeight="1" x14ac:dyDescent="0.25">
      <c r="A125" s="344"/>
      <c r="B125" s="344"/>
      <c r="C125" s="344"/>
      <c r="D125" s="344"/>
      <c r="E125" s="344"/>
      <c r="F125" s="344"/>
      <c r="G125" s="344"/>
      <c r="H125" s="344"/>
      <c r="I125" s="344"/>
      <c r="J125" s="344"/>
      <c r="K125" s="344"/>
      <c r="L125" s="344"/>
      <c r="M125" s="344"/>
      <c r="N125" s="344"/>
      <c r="O125" s="344"/>
      <c r="P125" s="344"/>
      <c r="Q125" s="344"/>
      <c r="R125" s="344"/>
      <c r="S125" s="344"/>
      <c r="T125" s="344"/>
      <c r="U125" s="344"/>
      <c r="V125" s="344"/>
      <c r="W125" s="344"/>
      <c r="X125" s="344"/>
      <c r="Y125" s="344"/>
    </row>
    <row r="126" spans="1:25" ht="14.25" customHeight="1" x14ac:dyDescent="0.25">
      <c r="A126" s="344"/>
      <c r="B126" s="344"/>
      <c r="C126" s="344"/>
      <c r="D126" s="344"/>
      <c r="E126" s="344"/>
      <c r="F126" s="344"/>
      <c r="G126" s="344"/>
      <c r="H126" s="344"/>
      <c r="I126" s="344"/>
      <c r="J126" s="344"/>
      <c r="K126" s="344"/>
      <c r="L126" s="344"/>
      <c r="M126" s="344"/>
      <c r="N126" s="344"/>
      <c r="O126" s="344"/>
      <c r="P126" s="344"/>
      <c r="Q126" s="344"/>
      <c r="R126" s="344"/>
      <c r="S126" s="344"/>
      <c r="T126" s="344"/>
      <c r="U126" s="344"/>
      <c r="V126" s="344"/>
      <c r="W126" s="344"/>
      <c r="X126" s="344"/>
      <c r="Y126" s="344"/>
    </row>
    <row r="127" spans="1:25" ht="14.25" customHeight="1" x14ac:dyDescent="0.25">
      <c r="A127" s="344"/>
      <c r="B127" s="344"/>
      <c r="C127" s="344"/>
      <c r="D127" s="344"/>
      <c r="E127" s="344"/>
      <c r="F127" s="344"/>
      <c r="G127" s="344"/>
      <c r="H127" s="344"/>
      <c r="I127" s="344"/>
      <c r="J127" s="344"/>
      <c r="K127" s="344"/>
      <c r="L127" s="344"/>
      <c r="M127" s="344"/>
      <c r="N127" s="344"/>
      <c r="O127" s="344"/>
      <c r="P127" s="344"/>
      <c r="Q127" s="344"/>
      <c r="R127" s="344"/>
      <c r="S127" s="344"/>
      <c r="T127" s="344"/>
      <c r="U127" s="344"/>
      <c r="V127" s="344"/>
      <c r="W127" s="344"/>
      <c r="X127" s="344"/>
      <c r="Y127" s="344"/>
    </row>
    <row r="128" spans="1:25" ht="14.25" customHeight="1" x14ac:dyDescent="0.25">
      <c r="A128" s="344"/>
      <c r="B128" s="344"/>
      <c r="C128" s="344"/>
      <c r="D128" s="344"/>
      <c r="E128" s="344"/>
      <c r="F128" s="344"/>
      <c r="G128" s="344"/>
      <c r="H128" s="344"/>
      <c r="I128" s="344"/>
      <c r="J128" s="344"/>
      <c r="K128" s="344"/>
      <c r="L128" s="344"/>
      <c r="M128" s="344"/>
      <c r="N128" s="344"/>
      <c r="O128" s="344"/>
      <c r="P128" s="344"/>
      <c r="Q128" s="344"/>
      <c r="R128" s="344"/>
      <c r="S128" s="344"/>
      <c r="T128" s="344"/>
      <c r="U128" s="344"/>
      <c r="V128" s="344"/>
      <c r="W128" s="344"/>
      <c r="X128" s="344"/>
      <c r="Y128" s="344"/>
    </row>
    <row r="129" spans="1:25" ht="14.25" customHeight="1" x14ac:dyDescent="0.25">
      <c r="A129" s="344"/>
      <c r="B129" s="344"/>
      <c r="C129" s="344"/>
      <c r="D129" s="344"/>
      <c r="E129" s="344"/>
      <c r="F129" s="344"/>
      <c r="G129" s="344"/>
      <c r="H129" s="344"/>
      <c r="I129" s="344"/>
      <c r="J129" s="344"/>
      <c r="K129" s="344"/>
      <c r="L129" s="344"/>
      <c r="M129" s="344"/>
      <c r="N129" s="344"/>
      <c r="O129" s="344"/>
      <c r="P129" s="344"/>
      <c r="Q129" s="344"/>
      <c r="R129" s="344"/>
      <c r="S129" s="344"/>
      <c r="T129" s="344"/>
      <c r="U129" s="344"/>
      <c r="V129" s="344"/>
      <c r="W129" s="344"/>
      <c r="X129" s="344"/>
      <c r="Y129" s="344"/>
    </row>
    <row r="130" spans="1:25" ht="14.25" customHeight="1" x14ac:dyDescent="0.25">
      <c r="A130" s="344"/>
      <c r="B130" s="344"/>
      <c r="C130" s="344"/>
      <c r="D130" s="344"/>
      <c r="E130" s="344"/>
      <c r="F130" s="344"/>
      <c r="G130" s="344"/>
      <c r="H130" s="344"/>
      <c r="I130" s="344"/>
      <c r="J130" s="344"/>
      <c r="K130" s="344"/>
      <c r="L130" s="344"/>
      <c r="M130" s="344"/>
      <c r="N130" s="344"/>
      <c r="O130" s="344"/>
      <c r="P130" s="344"/>
      <c r="Q130" s="344"/>
      <c r="R130" s="344"/>
      <c r="S130" s="344"/>
      <c r="T130" s="344"/>
      <c r="U130" s="344"/>
      <c r="V130" s="344"/>
      <c r="W130" s="344"/>
      <c r="X130" s="344"/>
      <c r="Y130" s="344"/>
    </row>
    <row r="131" spans="1:25" ht="14.25" customHeight="1" x14ac:dyDescent="0.25">
      <c r="A131" s="344"/>
      <c r="B131" s="344"/>
      <c r="C131" s="344"/>
      <c r="D131" s="344"/>
      <c r="E131" s="344"/>
      <c r="F131" s="344"/>
      <c r="G131" s="344"/>
      <c r="H131" s="344"/>
      <c r="I131" s="344"/>
      <c r="J131" s="344"/>
      <c r="K131" s="344"/>
      <c r="L131" s="344"/>
      <c r="M131" s="344"/>
      <c r="N131" s="344"/>
      <c r="O131" s="344"/>
      <c r="P131" s="344"/>
      <c r="Q131" s="344"/>
      <c r="R131" s="344"/>
      <c r="S131" s="344"/>
      <c r="T131" s="344"/>
      <c r="U131" s="344"/>
      <c r="V131" s="344"/>
      <c r="W131" s="344"/>
      <c r="X131" s="344"/>
      <c r="Y131" s="344"/>
    </row>
    <row r="132" spans="1:25" ht="14.25" customHeight="1" x14ac:dyDescent="0.25">
      <c r="A132" s="344"/>
      <c r="B132" s="344"/>
      <c r="C132" s="344"/>
      <c r="D132" s="344"/>
      <c r="E132" s="344"/>
      <c r="F132" s="344"/>
      <c r="G132" s="344"/>
      <c r="H132" s="344"/>
      <c r="I132" s="344"/>
      <c r="J132" s="344"/>
      <c r="K132" s="344"/>
      <c r="L132" s="344"/>
      <c r="M132" s="344"/>
      <c r="N132" s="344"/>
      <c r="O132" s="344"/>
      <c r="P132" s="344"/>
      <c r="Q132" s="344"/>
      <c r="R132" s="344"/>
      <c r="S132" s="344"/>
      <c r="T132" s="344"/>
      <c r="U132" s="344"/>
      <c r="V132" s="344"/>
      <c r="W132" s="344"/>
      <c r="X132" s="344"/>
      <c r="Y132" s="344"/>
    </row>
    <row r="133" spans="1:25" ht="14.25" customHeight="1" x14ac:dyDescent="0.25">
      <c r="A133" s="344"/>
      <c r="B133" s="344"/>
      <c r="C133" s="344"/>
      <c r="D133" s="344"/>
      <c r="E133" s="344"/>
      <c r="F133" s="344"/>
      <c r="G133" s="344"/>
      <c r="H133" s="344"/>
      <c r="I133" s="344"/>
      <c r="J133" s="344"/>
      <c r="K133" s="344"/>
      <c r="L133" s="344"/>
      <c r="M133" s="344"/>
      <c r="N133" s="344"/>
      <c r="O133" s="344"/>
      <c r="P133" s="344"/>
      <c r="Q133" s="344"/>
      <c r="R133" s="344"/>
      <c r="S133" s="344"/>
      <c r="T133" s="344"/>
      <c r="U133" s="344"/>
      <c r="V133" s="344"/>
      <c r="W133" s="344"/>
      <c r="X133" s="344"/>
      <c r="Y133" s="344"/>
    </row>
    <row r="134" spans="1:25" ht="14.25" customHeight="1" x14ac:dyDescent="0.25">
      <c r="A134" s="344"/>
      <c r="B134" s="344"/>
      <c r="C134" s="344"/>
      <c r="D134" s="344"/>
      <c r="E134" s="344"/>
      <c r="F134" s="344"/>
      <c r="G134" s="344"/>
      <c r="H134" s="344"/>
      <c r="I134" s="344"/>
      <c r="J134" s="344"/>
      <c r="K134" s="344"/>
      <c r="L134" s="344"/>
      <c r="M134" s="344"/>
      <c r="N134" s="344"/>
      <c r="O134" s="344"/>
      <c r="P134" s="344"/>
      <c r="Q134" s="344"/>
      <c r="R134" s="344"/>
      <c r="S134" s="344"/>
      <c r="T134" s="344"/>
      <c r="U134" s="344"/>
      <c r="V134" s="344"/>
      <c r="W134" s="344"/>
      <c r="X134" s="344"/>
      <c r="Y134" s="344"/>
    </row>
    <row r="135" spans="1:25" ht="14.25" customHeight="1" x14ac:dyDescent="0.25">
      <c r="A135" s="344"/>
      <c r="B135" s="344"/>
      <c r="C135" s="344"/>
      <c r="D135" s="344"/>
      <c r="E135" s="344"/>
      <c r="F135" s="344"/>
      <c r="G135" s="344"/>
      <c r="H135" s="344"/>
      <c r="I135" s="344"/>
      <c r="J135" s="344"/>
      <c r="K135" s="344"/>
      <c r="L135" s="344"/>
      <c r="M135" s="344"/>
      <c r="N135" s="344"/>
      <c r="O135" s="344"/>
      <c r="P135" s="344"/>
      <c r="Q135" s="344"/>
      <c r="R135" s="344"/>
      <c r="S135" s="344"/>
      <c r="T135" s="344"/>
      <c r="U135" s="344"/>
      <c r="V135" s="344"/>
      <c r="W135" s="344"/>
      <c r="X135" s="344"/>
      <c r="Y135" s="344"/>
    </row>
    <row r="136" spans="1:25" ht="14.25" customHeight="1" x14ac:dyDescent="0.25">
      <c r="A136" s="344"/>
      <c r="B136" s="344"/>
      <c r="C136" s="344"/>
      <c r="D136" s="344"/>
      <c r="E136" s="344"/>
      <c r="F136" s="344"/>
      <c r="G136" s="344"/>
      <c r="H136" s="344"/>
      <c r="I136" s="344"/>
      <c r="J136" s="344"/>
      <c r="K136" s="344"/>
      <c r="L136" s="344"/>
      <c r="M136" s="344"/>
      <c r="N136" s="344"/>
      <c r="O136" s="344"/>
      <c r="P136" s="344"/>
      <c r="Q136" s="344"/>
      <c r="R136" s="344"/>
      <c r="S136" s="344"/>
      <c r="T136" s="344"/>
      <c r="U136" s="344"/>
      <c r="V136" s="344"/>
      <c r="W136" s="344"/>
      <c r="X136" s="344"/>
      <c r="Y136" s="344"/>
    </row>
    <row r="137" spans="1:25" ht="14.25" customHeight="1" x14ac:dyDescent="0.25">
      <c r="A137" s="344"/>
      <c r="B137" s="344"/>
      <c r="C137" s="344"/>
      <c r="D137" s="344"/>
      <c r="E137" s="344"/>
      <c r="F137" s="344"/>
      <c r="G137" s="344"/>
      <c r="H137" s="344"/>
      <c r="I137" s="344"/>
      <c r="J137" s="344"/>
      <c r="K137" s="344"/>
      <c r="L137" s="344"/>
      <c r="M137" s="344"/>
      <c r="N137" s="344"/>
      <c r="O137" s="344"/>
      <c r="P137" s="344"/>
      <c r="Q137" s="344"/>
      <c r="R137" s="344"/>
      <c r="S137" s="344"/>
      <c r="T137" s="344"/>
      <c r="U137" s="344"/>
      <c r="V137" s="344"/>
      <c r="W137" s="344"/>
      <c r="X137" s="344"/>
      <c r="Y137" s="344"/>
    </row>
    <row r="138" spans="1:25" ht="14.25" customHeight="1" x14ac:dyDescent="0.25">
      <c r="A138" s="344"/>
      <c r="B138" s="344"/>
      <c r="C138" s="344"/>
      <c r="D138" s="344"/>
      <c r="E138" s="344"/>
      <c r="F138" s="344"/>
      <c r="G138" s="344"/>
      <c r="H138" s="344"/>
      <c r="I138" s="344"/>
      <c r="J138" s="344"/>
      <c r="K138" s="344"/>
      <c r="L138" s="344"/>
      <c r="M138" s="344"/>
      <c r="N138" s="344"/>
      <c r="O138" s="344"/>
      <c r="P138" s="344"/>
      <c r="Q138" s="344"/>
      <c r="R138" s="344"/>
      <c r="S138" s="344"/>
      <c r="T138" s="344"/>
      <c r="U138" s="344"/>
      <c r="V138" s="344"/>
      <c r="W138" s="344"/>
      <c r="X138" s="344"/>
      <c r="Y138" s="344"/>
    </row>
    <row r="139" spans="1:25" ht="14.25" customHeight="1" x14ac:dyDescent="0.25">
      <c r="A139" s="344"/>
      <c r="B139" s="344"/>
      <c r="C139" s="344"/>
      <c r="D139" s="344"/>
      <c r="E139" s="344"/>
      <c r="F139" s="344"/>
      <c r="G139" s="344"/>
      <c r="H139" s="344"/>
      <c r="I139" s="344"/>
      <c r="J139" s="344"/>
      <c r="K139" s="344"/>
      <c r="L139" s="344"/>
      <c r="M139" s="344"/>
      <c r="N139" s="344"/>
      <c r="O139" s="344"/>
      <c r="P139" s="344"/>
      <c r="Q139" s="344"/>
      <c r="R139" s="344"/>
      <c r="S139" s="344"/>
      <c r="T139" s="344"/>
      <c r="U139" s="344"/>
      <c r="V139" s="344"/>
      <c r="W139" s="344"/>
      <c r="X139" s="344"/>
      <c r="Y139" s="344"/>
    </row>
    <row r="140" spans="1:25" ht="14.25" customHeight="1" x14ac:dyDescent="0.25">
      <c r="A140" s="344"/>
      <c r="B140" s="344"/>
      <c r="C140" s="344"/>
      <c r="D140" s="344"/>
      <c r="E140" s="344"/>
      <c r="F140" s="344"/>
      <c r="G140" s="344"/>
      <c r="H140" s="344"/>
      <c r="I140" s="344"/>
      <c r="J140" s="344"/>
      <c r="K140" s="344"/>
      <c r="L140" s="344"/>
      <c r="M140" s="344"/>
      <c r="N140" s="344"/>
      <c r="O140" s="344"/>
      <c r="P140" s="344"/>
      <c r="Q140" s="344"/>
      <c r="R140" s="344"/>
      <c r="S140" s="344"/>
      <c r="T140" s="344"/>
      <c r="U140" s="344"/>
      <c r="V140" s="344"/>
      <c r="W140" s="344"/>
      <c r="X140" s="344"/>
      <c r="Y140" s="344"/>
    </row>
    <row r="141" spans="1:25" ht="14.25" customHeight="1" x14ac:dyDescent="0.25">
      <c r="A141" s="344"/>
      <c r="B141" s="344"/>
      <c r="C141" s="344"/>
      <c r="D141" s="344"/>
      <c r="E141" s="344"/>
      <c r="F141" s="344"/>
      <c r="G141" s="344"/>
      <c r="H141" s="344"/>
      <c r="I141" s="344"/>
      <c r="J141" s="344"/>
      <c r="K141" s="344"/>
      <c r="L141" s="344"/>
      <c r="M141" s="344"/>
      <c r="N141" s="344"/>
      <c r="O141" s="344"/>
      <c r="P141" s="344"/>
      <c r="Q141" s="344"/>
      <c r="R141" s="344"/>
      <c r="S141" s="344"/>
      <c r="T141" s="344"/>
      <c r="U141" s="344"/>
      <c r="V141" s="344"/>
      <c r="W141" s="344"/>
      <c r="X141" s="344"/>
      <c r="Y141" s="344"/>
    </row>
    <row r="142" spans="1:25" ht="14.25" customHeight="1" x14ac:dyDescent="0.25">
      <c r="A142" s="344"/>
      <c r="B142" s="344"/>
      <c r="C142" s="344"/>
      <c r="D142" s="344"/>
      <c r="E142" s="344"/>
      <c r="F142" s="344"/>
      <c r="G142" s="344"/>
      <c r="H142" s="344"/>
      <c r="I142" s="344"/>
      <c r="J142" s="344"/>
      <c r="K142" s="344"/>
      <c r="L142" s="344"/>
      <c r="M142" s="344"/>
      <c r="N142" s="344"/>
      <c r="O142" s="344"/>
      <c r="P142" s="344"/>
      <c r="Q142" s="344"/>
      <c r="R142" s="344"/>
      <c r="S142" s="344"/>
      <c r="T142" s="344"/>
      <c r="U142" s="344"/>
      <c r="V142" s="344"/>
      <c r="W142" s="344"/>
      <c r="X142" s="344"/>
      <c r="Y142" s="344"/>
    </row>
    <row r="143" spans="1:25" ht="14.25" customHeight="1" x14ac:dyDescent="0.25">
      <c r="A143" s="344"/>
      <c r="B143" s="344"/>
      <c r="C143" s="344"/>
      <c r="D143" s="344"/>
      <c r="E143" s="344"/>
      <c r="F143" s="344"/>
      <c r="G143" s="344"/>
      <c r="H143" s="344"/>
      <c r="I143" s="344"/>
      <c r="J143" s="344"/>
      <c r="K143" s="344"/>
      <c r="L143" s="344"/>
      <c r="M143" s="344"/>
      <c r="N143" s="344"/>
      <c r="O143" s="344"/>
      <c r="P143" s="344"/>
      <c r="Q143" s="344"/>
      <c r="R143" s="344"/>
      <c r="S143" s="344"/>
      <c r="T143" s="344"/>
      <c r="U143" s="344"/>
      <c r="V143" s="344"/>
      <c r="W143" s="344"/>
      <c r="X143" s="344"/>
      <c r="Y143" s="344"/>
    </row>
    <row r="144" spans="1:25" ht="14.25" customHeight="1" x14ac:dyDescent="0.25">
      <c r="A144" s="344"/>
      <c r="B144" s="344"/>
      <c r="C144" s="344"/>
      <c r="D144" s="344"/>
      <c r="E144" s="344"/>
      <c r="F144" s="344"/>
      <c r="G144" s="344"/>
      <c r="H144" s="344"/>
      <c r="I144" s="344"/>
      <c r="J144" s="344"/>
      <c r="K144" s="344"/>
      <c r="L144" s="344"/>
      <c r="M144" s="344"/>
      <c r="N144" s="344"/>
      <c r="O144" s="344"/>
      <c r="P144" s="344"/>
      <c r="Q144" s="344"/>
      <c r="R144" s="344"/>
      <c r="S144" s="344"/>
      <c r="T144" s="344"/>
      <c r="U144" s="344"/>
      <c r="V144" s="344"/>
      <c r="W144" s="344"/>
      <c r="X144" s="344"/>
      <c r="Y144" s="344"/>
    </row>
    <row r="145" spans="1:25" ht="14.25" customHeight="1" x14ac:dyDescent="0.25">
      <c r="A145" s="344"/>
      <c r="B145" s="344"/>
      <c r="C145" s="344"/>
      <c r="D145" s="344"/>
      <c r="E145" s="344"/>
      <c r="F145" s="344"/>
      <c r="G145" s="344"/>
      <c r="H145" s="344"/>
      <c r="I145" s="344"/>
      <c r="J145" s="344"/>
      <c r="K145" s="344"/>
      <c r="L145" s="344"/>
      <c r="M145" s="344"/>
      <c r="N145" s="344"/>
      <c r="O145" s="344"/>
      <c r="P145" s="344"/>
      <c r="Q145" s="344"/>
      <c r="R145" s="344"/>
      <c r="S145" s="344"/>
      <c r="T145" s="344"/>
      <c r="U145" s="344"/>
      <c r="V145" s="344"/>
      <c r="W145" s="344"/>
      <c r="X145" s="344"/>
      <c r="Y145" s="344"/>
    </row>
    <row r="146" spans="1:25" ht="14.25" customHeight="1" x14ac:dyDescent="0.25">
      <c r="A146" s="344"/>
      <c r="B146" s="344"/>
      <c r="C146" s="344"/>
      <c r="D146" s="344"/>
      <c r="E146" s="344"/>
      <c r="F146" s="344"/>
      <c r="G146" s="344"/>
      <c r="H146" s="344"/>
      <c r="I146" s="344"/>
      <c r="J146" s="344"/>
      <c r="K146" s="344"/>
      <c r="L146" s="344"/>
      <c r="M146" s="344"/>
      <c r="N146" s="344"/>
      <c r="O146" s="344"/>
      <c r="P146" s="344"/>
      <c r="Q146" s="344"/>
      <c r="R146" s="344"/>
      <c r="S146" s="344"/>
      <c r="T146" s="344"/>
      <c r="U146" s="344"/>
      <c r="V146" s="344"/>
      <c r="W146" s="344"/>
      <c r="X146" s="344"/>
      <c r="Y146" s="344"/>
    </row>
    <row r="147" spans="1:25" ht="14.25" customHeight="1" x14ac:dyDescent="0.25">
      <c r="A147" s="344"/>
      <c r="B147" s="344"/>
      <c r="C147" s="344"/>
      <c r="D147" s="344"/>
      <c r="E147" s="344"/>
      <c r="F147" s="344"/>
      <c r="G147" s="344"/>
      <c r="H147" s="344"/>
      <c r="I147" s="344"/>
      <c r="J147" s="344"/>
      <c r="K147" s="344"/>
      <c r="L147" s="344"/>
      <c r="M147" s="344"/>
      <c r="N147" s="344"/>
      <c r="O147" s="344"/>
      <c r="P147" s="344"/>
      <c r="Q147" s="344"/>
      <c r="R147" s="344"/>
      <c r="S147" s="344"/>
      <c r="T147" s="344"/>
      <c r="U147" s="344"/>
      <c r="V147" s="344"/>
      <c r="W147" s="344"/>
      <c r="X147" s="344"/>
      <c r="Y147" s="344"/>
    </row>
    <row r="148" spans="1:25" ht="14.25" customHeight="1" x14ac:dyDescent="0.25">
      <c r="A148" s="344"/>
      <c r="B148" s="344"/>
      <c r="C148" s="344"/>
      <c r="D148" s="344"/>
      <c r="E148" s="344"/>
      <c r="F148" s="344"/>
      <c r="G148" s="344"/>
      <c r="H148" s="344"/>
      <c r="I148" s="344"/>
      <c r="J148" s="344"/>
      <c r="K148" s="344"/>
      <c r="L148" s="344"/>
      <c r="M148" s="344"/>
      <c r="N148" s="344"/>
      <c r="O148" s="344"/>
      <c r="P148" s="344"/>
      <c r="Q148" s="344"/>
      <c r="R148" s="344"/>
      <c r="S148" s="344"/>
      <c r="T148" s="344"/>
      <c r="U148" s="344"/>
      <c r="V148" s="344"/>
      <c r="W148" s="344"/>
      <c r="X148" s="344"/>
      <c r="Y148" s="344"/>
    </row>
    <row r="149" spans="1:25" ht="14.25" customHeight="1" x14ac:dyDescent="0.25">
      <c r="A149" s="344"/>
      <c r="B149" s="344"/>
      <c r="C149" s="344"/>
      <c r="D149" s="344"/>
      <c r="E149" s="344"/>
      <c r="F149" s="344"/>
      <c r="G149" s="344"/>
      <c r="H149" s="344"/>
      <c r="I149" s="344"/>
      <c r="J149" s="344"/>
      <c r="K149" s="344"/>
      <c r="L149" s="344"/>
      <c r="M149" s="344"/>
      <c r="N149" s="344"/>
      <c r="O149" s="344"/>
      <c r="P149" s="344"/>
      <c r="Q149" s="344"/>
      <c r="R149" s="344"/>
      <c r="S149" s="344"/>
      <c r="T149" s="344"/>
      <c r="U149" s="344"/>
      <c r="V149" s="344"/>
      <c r="W149" s="344"/>
      <c r="X149" s="344"/>
      <c r="Y149" s="344"/>
    </row>
    <row r="150" spans="1:25" ht="14.25" customHeight="1" x14ac:dyDescent="0.25">
      <c r="A150" s="344"/>
      <c r="B150" s="344"/>
      <c r="C150" s="344"/>
      <c r="D150" s="344"/>
      <c r="E150" s="344"/>
      <c r="F150" s="344"/>
      <c r="G150" s="344"/>
      <c r="H150" s="344"/>
      <c r="I150" s="344"/>
      <c r="J150" s="344"/>
      <c r="K150" s="344"/>
      <c r="L150" s="344"/>
      <c r="M150" s="344"/>
      <c r="N150" s="344"/>
      <c r="O150" s="344"/>
      <c r="P150" s="344"/>
      <c r="Q150" s="344"/>
      <c r="R150" s="344"/>
      <c r="S150" s="344"/>
      <c r="T150" s="344"/>
      <c r="U150" s="344"/>
      <c r="V150" s="344"/>
      <c r="W150" s="344"/>
      <c r="X150" s="344"/>
      <c r="Y150" s="344"/>
    </row>
    <row r="151" spans="1:25" ht="14.25" customHeight="1" x14ac:dyDescent="0.25">
      <c r="A151" s="344"/>
      <c r="B151" s="344"/>
      <c r="C151" s="344"/>
      <c r="D151" s="344"/>
      <c r="E151" s="344"/>
      <c r="F151" s="344"/>
      <c r="G151" s="344"/>
      <c r="H151" s="344"/>
      <c r="I151" s="344"/>
      <c r="J151" s="344"/>
      <c r="K151" s="344"/>
      <c r="L151" s="344"/>
      <c r="M151" s="344"/>
      <c r="N151" s="344"/>
      <c r="O151" s="344"/>
      <c r="P151" s="344"/>
      <c r="Q151" s="344"/>
      <c r="R151" s="344"/>
      <c r="S151" s="344"/>
      <c r="T151" s="344"/>
      <c r="U151" s="344"/>
      <c r="V151" s="344"/>
      <c r="W151" s="344"/>
      <c r="X151" s="344"/>
      <c r="Y151" s="344"/>
    </row>
    <row r="152" spans="1:25" ht="14.25" customHeight="1" x14ac:dyDescent="0.25">
      <c r="A152" s="344"/>
      <c r="B152" s="344"/>
      <c r="C152" s="344"/>
      <c r="D152" s="344"/>
      <c r="E152" s="344"/>
      <c r="F152" s="344"/>
      <c r="G152" s="344"/>
      <c r="H152" s="344"/>
      <c r="I152" s="344"/>
      <c r="J152" s="344"/>
      <c r="K152" s="344"/>
      <c r="L152" s="344"/>
      <c r="M152" s="344"/>
      <c r="N152" s="344"/>
      <c r="O152" s="344"/>
      <c r="P152" s="344"/>
      <c r="Q152" s="344"/>
      <c r="R152" s="344"/>
      <c r="S152" s="344"/>
      <c r="T152" s="344"/>
      <c r="U152" s="344"/>
      <c r="V152" s="344"/>
      <c r="W152" s="344"/>
      <c r="X152" s="344"/>
      <c r="Y152" s="344"/>
    </row>
    <row r="153" spans="1:25" ht="14.25" customHeight="1" x14ac:dyDescent="0.25">
      <c r="A153" s="344"/>
      <c r="B153" s="344"/>
      <c r="C153" s="344"/>
      <c r="D153" s="344"/>
      <c r="E153" s="344"/>
      <c r="F153" s="344"/>
      <c r="G153" s="344"/>
      <c r="H153" s="344"/>
      <c r="I153" s="344"/>
      <c r="J153" s="344"/>
      <c r="K153" s="344"/>
      <c r="L153" s="344"/>
      <c r="M153" s="344"/>
      <c r="N153" s="344"/>
      <c r="O153" s="344"/>
      <c r="P153" s="344"/>
      <c r="Q153" s="344"/>
      <c r="R153" s="344"/>
      <c r="S153" s="344"/>
      <c r="T153" s="344"/>
      <c r="U153" s="344"/>
      <c r="V153" s="344"/>
      <c r="W153" s="344"/>
      <c r="X153" s="344"/>
      <c r="Y153" s="344"/>
    </row>
    <row r="154" spans="1:25" ht="14.25" customHeight="1" x14ac:dyDescent="0.25">
      <c r="A154" s="344"/>
      <c r="B154" s="344"/>
      <c r="C154" s="344"/>
      <c r="D154" s="344"/>
      <c r="E154" s="344"/>
      <c r="F154" s="344"/>
      <c r="G154" s="344"/>
      <c r="H154" s="344"/>
      <c r="I154" s="344"/>
      <c r="J154" s="344"/>
      <c r="K154" s="344"/>
      <c r="L154" s="344"/>
      <c r="M154" s="344"/>
      <c r="N154" s="344"/>
      <c r="O154" s="344"/>
      <c r="P154" s="344"/>
      <c r="Q154" s="344"/>
      <c r="R154" s="344"/>
      <c r="S154" s="344"/>
      <c r="T154" s="344"/>
      <c r="U154" s="344"/>
      <c r="V154" s="344"/>
      <c r="W154" s="344"/>
      <c r="X154" s="344"/>
      <c r="Y154" s="344"/>
    </row>
    <row r="155" spans="1:25" ht="14.25" customHeight="1" x14ac:dyDescent="0.25">
      <c r="A155" s="344"/>
      <c r="B155" s="344"/>
      <c r="C155" s="344"/>
      <c r="D155" s="344"/>
      <c r="E155" s="344"/>
      <c r="F155" s="344"/>
      <c r="G155" s="344"/>
      <c r="H155" s="344"/>
      <c r="I155" s="344"/>
      <c r="J155" s="344"/>
      <c r="K155" s="344"/>
      <c r="L155" s="344"/>
      <c r="M155" s="344"/>
      <c r="N155" s="344"/>
      <c r="O155" s="344"/>
      <c r="P155" s="344"/>
      <c r="Q155" s="344"/>
      <c r="R155" s="344"/>
      <c r="S155" s="344"/>
      <c r="T155" s="344"/>
      <c r="U155" s="344"/>
      <c r="V155" s="344"/>
      <c r="W155" s="344"/>
      <c r="X155" s="344"/>
      <c r="Y155" s="344"/>
    </row>
    <row r="156" spans="1:25" ht="14.25" customHeight="1" x14ac:dyDescent="0.25">
      <c r="A156" s="344"/>
      <c r="B156" s="344"/>
      <c r="C156" s="344"/>
      <c r="D156" s="344"/>
      <c r="E156" s="344"/>
      <c r="F156" s="344"/>
      <c r="G156" s="344"/>
      <c r="H156" s="344"/>
      <c r="I156" s="344"/>
      <c r="J156" s="344"/>
      <c r="K156" s="344"/>
      <c r="L156" s="344"/>
      <c r="M156" s="344"/>
      <c r="N156" s="344"/>
      <c r="O156" s="344"/>
      <c r="P156" s="344"/>
      <c r="Q156" s="344"/>
      <c r="R156" s="344"/>
      <c r="S156" s="344"/>
      <c r="T156" s="344"/>
      <c r="U156" s="344"/>
      <c r="V156" s="344"/>
      <c r="W156" s="344"/>
      <c r="X156" s="344"/>
      <c r="Y156" s="344"/>
    </row>
    <row r="157" spans="1:25" ht="14.25" customHeight="1" x14ac:dyDescent="0.25">
      <c r="A157" s="344"/>
      <c r="B157" s="344"/>
      <c r="C157" s="344"/>
      <c r="D157" s="344"/>
      <c r="E157" s="344"/>
      <c r="F157" s="344"/>
      <c r="G157" s="344"/>
      <c r="H157" s="344"/>
      <c r="I157" s="344"/>
      <c r="J157" s="344"/>
      <c r="K157" s="344"/>
      <c r="L157" s="344"/>
      <c r="M157" s="344"/>
      <c r="N157" s="344"/>
      <c r="O157" s="344"/>
      <c r="P157" s="344"/>
      <c r="Q157" s="344"/>
      <c r="R157" s="344"/>
      <c r="S157" s="344"/>
      <c r="T157" s="344"/>
      <c r="U157" s="344"/>
      <c r="V157" s="344"/>
      <c r="W157" s="344"/>
      <c r="X157" s="344"/>
      <c r="Y157" s="344"/>
    </row>
    <row r="158" spans="1:25" ht="14.25" customHeight="1" x14ac:dyDescent="0.25">
      <c r="A158" s="344"/>
      <c r="B158" s="344"/>
      <c r="C158" s="344"/>
      <c r="D158" s="344"/>
      <c r="E158" s="344"/>
      <c r="F158" s="344"/>
      <c r="G158" s="344"/>
      <c r="H158" s="344"/>
      <c r="I158" s="344"/>
      <c r="J158" s="344"/>
      <c r="K158" s="344"/>
      <c r="L158" s="344"/>
      <c r="M158" s="344"/>
      <c r="N158" s="344"/>
      <c r="O158" s="344"/>
      <c r="P158" s="344"/>
      <c r="Q158" s="344"/>
      <c r="R158" s="344"/>
      <c r="S158" s="344"/>
      <c r="T158" s="344"/>
      <c r="U158" s="344"/>
      <c r="V158" s="344"/>
      <c r="W158" s="344"/>
      <c r="X158" s="344"/>
      <c r="Y158" s="344"/>
    </row>
    <row r="159" spans="1:25" ht="14.25" customHeight="1" x14ac:dyDescent="0.25">
      <c r="A159" s="344"/>
      <c r="B159" s="344"/>
      <c r="C159" s="344"/>
      <c r="D159" s="344"/>
      <c r="E159" s="344"/>
      <c r="F159" s="344"/>
      <c r="G159" s="344"/>
      <c r="H159" s="344"/>
      <c r="I159" s="344"/>
      <c r="J159" s="344"/>
      <c r="K159" s="344"/>
      <c r="L159" s="344"/>
      <c r="M159" s="344"/>
      <c r="N159" s="344"/>
      <c r="O159" s="344"/>
      <c r="P159" s="344"/>
      <c r="Q159" s="344"/>
      <c r="R159" s="344"/>
      <c r="S159" s="344"/>
      <c r="T159" s="344"/>
      <c r="U159" s="344"/>
      <c r="V159" s="344"/>
      <c r="W159" s="344"/>
      <c r="X159" s="344"/>
      <c r="Y159" s="344"/>
    </row>
    <row r="160" spans="1:25" ht="14.25" customHeight="1" x14ac:dyDescent="0.25">
      <c r="A160" s="344"/>
      <c r="B160" s="344"/>
      <c r="C160" s="344"/>
      <c r="D160" s="344"/>
      <c r="E160" s="344"/>
      <c r="F160" s="344"/>
      <c r="G160" s="344"/>
      <c r="H160" s="344"/>
      <c r="I160" s="344"/>
      <c r="J160" s="344"/>
      <c r="K160" s="344"/>
      <c r="L160" s="344"/>
      <c r="M160" s="344"/>
      <c r="N160" s="344"/>
      <c r="O160" s="344"/>
      <c r="P160" s="344"/>
      <c r="Q160" s="344"/>
      <c r="R160" s="344"/>
      <c r="S160" s="344"/>
      <c r="T160" s="344"/>
      <c r="U160" s="344"/>
      <c r="V160" s="344"/>
      <c r="W160" s="344"/>
      <c r="X160" s="344"/>
      <c r="Y160" s="344"/>
    </row>
    <row r="161" spans="1:25" ht="14.25" customHeight="1" x14ac:dyDescent="0.25">
      <c r="A161" s="344"/>
      <c r="B161" s="344"/>
      <c r="C161" s="344"/>
      <c r="D161" s="344"/>
      <c r="E161" s="344"/>
      <c r="F161" s="344"/>
      <c r="G161" s="344"/>
      <c r="H161" s="344"/>
      <c r="I161" s="344"/>
      <c r="J161" s="344"/>
      <c r="K161" s="344"/>
      <c r="L161" s="344"/>
      <c r="M161" s="344"/>
      <c r="N161" s="344"/>
      <c r="O161" s="344"/>
      <c r="P161" s="344"/>
      <c r="Q161" s="344"/>
      <c r="R161" s="344"/>
      <c r="S161" s="344"/>
      <c r="T161" s="344"/>
      <c r="U161" s="344"/>
      <c r="V161" s="344"/>
      <c r="W161" s="344"/>
      <c r="X161" s="344"/>
      <c r="Y161" s="344"/>
    </row>
    <row r="162" spans="1:25" ht="14.25" customHeight="1" x14ac:dyDescent="0.25">
      <c r="A162" s="344"/>
      <c r="B162" s="344"/>
      <c r="C162" s="344"/>
      <c r="D162" s="344"/>
      <c r="E162" s="344"/>
      <c r="F162" s="344"/>
      <c r="G162" s="344"/>
      <c r="H162" s="344"/>
      <c r="I162" s="344"/>
      <c r="J162" s="344"/>
      <c r="K162" s="344"/>
      <c r="L162" s="344"/>
      <c r="M162" s="344"/>
      <c r="N162" s="344"/>
      <c r="O162" s="344"/>
      <c r="P162" s="344"/>
      <c r="Q162" s="344"/>
      <c r="R162" s="344"/>
      <c r="S162" s="344"/>
      <c r="T162" s="344"/>
      <c r="U162" s="344"/>
      <c r="V162" s="344"/>
      <c r="W162" s="344"/>
      <c r="X162" s="344"/>
      <c r="Y162" s="344"/>
    </row>
    <row r="163" spans="1:25" ht="14.25" customHeight="1" x14ac:dyDescent="0.25">
      <c r="A163" s="344"/>
      <c r="B163" s="344"/>
      <c r="C163" s="344"/>
      <c r="D163" s="344"/>
      <c r="E163" s="344"/>
      <c r="F163" s="344"/>
      <c r="G163" s="344"/>
      <c r="H163" s="344"/>
      <c r="I163" s="344"/>
      <c r="J163" s="344"/>
      <c r="K163" s="344"/>
      <c r="L163" s="344"/>
      <c r="M163" s="344"/>
      <c r="N163" s="344"/>
      <c r="O163" s="344"/>
      <c r="P163" s="344"/>
      <c r="Q163" s="344"/>
      <c r="R163" s="344"/>
      <c r="S163" s="344"/>
      <c r="T163" s="344"/>
      <c r="U163" s="344"/>
      <c r="V163" s="344"/>
      <c r="W163" s="344"/>
      <c r="X163" s="344"/>
      <c r="Y163" s="344"/>
    </row>
    <row r="164" spans="1:25" ht="14.25" customHeight="1" x14ac:dyDescent="0.25">
      <c r="A164" s="344"/>
      <c r="B164" s="344"/>
      <c r="C164" s="344"/>
      <c r="D164" s="344"/>
      <c r="E164" s="344"/>
      <c r="F164" s="344"/>
      <c r="G164" s="344"/>
      <c r="H164" s="344"/>
      <c r="I164" s="344"/>
      <c r="J164" s="344"/>
      <c r="K164" s="344"/>
      <c r="L164" s="344"/>
      <c r="M164" s="344"/>
      <c r="N164" s="344"/>
      <c r="O164" s="344"/>
      <c r="P164" s="344"/>
      <c r="Q164" s="344"/>
      <c r="R164" s="344"/>
      <c r="S164" s="344"/>
      <c r="T164" s="344"/>
      <c r="U164" s="344"/>
      <c r="V164" s="344"/>
      <c r="W164" s="344"/>
      <c r="X164" s="344"/>
      <c r="Y164" s="344"/>
    </row>
    <row r="165" spans="1:25" ht="14.25" customHeight="1" x14ac:dyDescent="0.25">
      <c r="A165" s="344"/>
      <c r="B165" s="344"/>
      <c r="C165" s="344"/>
      <c r="D165" s="344"/>
      <c r="E165" s="344"/>
      <c r="F165" s="344"/>
      <c r="G165" s="344"/>
      <c r="H165" s="344"/>
      <c r="I165" s="344"/>
      <c r="J165" s="344"/>
      <c r="K165" s="344"/>
      <c r="L165" s="344"/>
      <c r="M165" s="344"/>
      <c r="N165" s="344"/>
      <c r="O165" s="344"/>
      <c r="P165" s="344"/>
      <c r="Q165" s="344"/>
      <c r="R165" s="344"/>
      <c r="S165" s="344"/>
      <c r="T165" s="344"/>
      <c r="U165" s="344"/>
      <c r="V165" s="344"/>
      <c r="W165" s="344"/>
      <c r="X165" s="344"/>
      <c r="Y165" s="344"/>
    </row>
    <row r="166" spans="1:25" ht="14.25" customHeight="1" x14ac:dyDescent="0.25">
      <c r="A166" s="344"/>
      <c r="B166" s="344"/>
      <c r="C166" s="344"/>
      <c r="D166" s="344"/>
      <c r="E166" s="344"/>
      <c r="F166" s="344"/>
      <c r="G166" s="344"/>
      <c r="H166" s="344"/>
      <c r="I166" s="344"/>
      <c r="J166" s="344"/>
      <c r="K166" s="344"/>
      <c r="L166" s="344"/>
      <c r="M166" s="344"/>
      <c r="N166" s="344"/>
      <c r="O166" s="344"/>
      <c r="P166" s="344"/>
      <c r="Q166" s="344"/>
      <c r="R166" s="344"/>
      <c r="S166" s="344"/>
      <c r="T166" s="344"/>
      <c r="U166" s="344"/>
      <c r="V166" s="344"/>
      <c r="W166" s="344"/>
      <c r="X166" s="344"/>
      <c r="Y166" s="344"/>
    </row>
    <row r="167" spans="1:25" ht="14.25" customHeight="1" x14ac:dyDescent="0.25">
      <c r="A167" s="344"/>
      <c r="B167" s="344"/>
      <c r="C167" s="344"/>
      <c r="D167" s="344"/>
      <c r="E167" s="344"/>
      <c r="F167" s="344"/>
      <c r="G167" s="344"/>
      <c r="H167" s="344"/>
      <c r="I167" s="344"/>
      <c r="J167" s="344"/>
      <c r="K167" s="344"/>
      <c r="L167" s="344"/>
      <c r="M167" s="344"/>
      <c r="N167" s="344"/>
      <c r="O167" s="344"/>
      <c r="P167" s="344"/>
      <c r="Q167" s="344"/>
      <c r="R167" s="344"/>
      <c r="S167" s="344"/>
      <c r="T167" s="344"/>
      <c r="U167" s="344"/>
      <c r="V167" s="344"/>
      <c r="W167" s="344"/>
      <c r="X167" s="344"/>
      <c r="Y167" s="344"/>
    </row>
    <row r="168" spans="1:25" ht="14.25" customHeight="1" x14ac:dyDescent="0.25">
      <c r="A168" s="344"/>
      <c r="B168" s="344"/>
      <c r="C168" s="344"/>
      <c r="D168" s="344"/>
      <c r="E168" s="344"/>
      <c r="F168" s="344"/>
      <c r="G168" s="344"/>
      <c r="H168" s="344"/>
      <c r="I168" s="344"/>
      <c r="J168" s="344"/>
      <c r="K168" s="344"/>
      <c r="L168" s="344"/>
      <c r="M168" s="344"/>
      <c r="N168" s="344"/>
      <c r="O168" s="344"/>
      <c r="P168" s="344"/>
      <c r="Q168" s="344"/>
      <c r="R168" s="344"/>
      <c r="S168" s="344"/>
      <c r="T168" s="344"/>
      <c r="U168" s="344"/>
      <c r="V168" s="344"/>
      <c r="W168" s="344"/>
      <c r="X168" s="344"/>
      <c r="Y168" s="344"/>
    </row>
    <row r="169" spans="1:25" ht="14.25" customHeight="1" x14ac:dyDescent="0.25">
      <c r="A169" s="344"/>
      <c r="B169" s="344"/>
      <c r="C169" s="344"/>
      <c r="D169" s="344"/>
      <c r="E169" s="344"/>
      <c r="F169" s="344"/>
      <c r="G169" s="344"/>
      <c r="H169" s="344"/>
      <c r="I169" s="344"/>
      <c r="J169" s="344"/>
      <c r="K169" s="344"/>
      <c r="L169" s="344"/>
      <c r="M169" s="344"/>
      <c r="N169" s="344"/>
      <c r="O169" s="344"/>
      <c r="P169" s="344"/>
      <c r="Q169" s="344"/>
      <c r="R169" s="344"/>
      <c r="S169" s="344"/>
      <c r="T169" s="344"/>
      <c r="U169" s="344"/>
      <c r="V169" s="344"/>
      <c r="W169" s="344"/>
      <c r="X169" s="344"/>
      <c r="Y169" s="344"/>
    </row>
    <row r="170" spans="1:25" ht="14.25" customHeight="1" x14ac:dyDescent="0.25">
      <c r="A170" s="344"/>
      <c r="B170" s="344"/>
      <c r="C170" s="344"/>
      <c r="D170" s="344"/>
      <c r="E170" s="344"/>
      <c r="F170" s="344"/>
      <c r="G170" s="344"/>
      <c r="H170" s="344"/>
      <c r="I170" s="344"/>
      <c r="J170" s="344"/>
      <c r="K170" s="344"/>
      <c r="L170" s="344"/>
      <c r="M170" s="344"/>
      <c r="N170" s="344"/>
      <c r="O170" s="344"/>
      <c r="P170" s="344"/>
      <c r="Q170" s="344"/>
      <c r="R170" s="344"/>
      <c r="S170" s="344"/>
      <c r="T170" s="344"/>
      <c r="U170" s="344"/>
      <c r="V170" s="344"/>
      <c r="W170" s="344"/>
      <c r="X170" s="344"/>
      <c r="Y170" s="344"/>
    </row>
    <row r="171" spans="1:25" ht="14.25" customHeight="1" x14ac:dyDescent="0.25">
      <c r="A171" s="344"/>
      <c r="B171" s="344"/>
      <c r="C171" s="344"/>
      <c r="D171" s="344"/>
      <c r="E171" s="344"/>
      <c r="F171" s="344"/>
      <c r="G171" s="344"/>
      <c r="H171" s="344"/>
      <c r="I171" s="344"/>
      <c r="J171" s="344"/>
      <c r="K171" s="344"/>
      <c r="L171" s="344"/>
      <c r="M171" s="344"/>
      <c r="N171" s="344"/>
      <c r="O171" s="344"/>
      <c r="P171" s="344"/>
      <c r="Q171" s="344"/>
      <c r="R171" s="344"/>
      <c r="S171" s="344"/>
      <c r="T171" s="344"/>
      <c r="U171" s="344"/>
      <c r="V171" s="344"/>
      <c r="W171" s="344"/>
      <c r="X171" s="344"/>
      <c r="Y171" s="344"/>
    </row>
    <row r="172" spans="1:25" ht="14.25" customHeight="1" x14ac:dyDescent="0.25">
      <c r="A172" s="344"/>
      <c r="B172" s="344"/>
      <c r="C172" s="344"/>
      <c r="D172" s="344"/>
      <c r="E172" s="344"/>
      <c r="F172" s="344"/>
      <c r="G172" s="344"/>
      <c r="H172" s="344"/>
      <c r="I172" s="344"/>
      <c r="J172" s="344"/>
      <c r="K172" s="344"/>
      <c r="L172" s="344"/>
      <c r="M172" s="344"/>
      <c r="N172" s="344"/>
      <c r="O172" s="344"/>
      <c r="P172" s="344"/>
      <c r="Q172" s="344"/>
      <c r="R172" s="344"/>
      <c r="S172" s="344"/>
      <c r="T172" s="344"/>
      <c r="U172" s="344"/>
      <c r="V172" s="344"/>
      <c r="W172" s="344"/>
      <c r="X172" s="344"/>
      <c r="Y172" s="344"/>
    </row>
    <row r="173" spans="1:25" ht="14.25" customHeight="1" x14ac:dyDescent="0.25">
      <c r="A173" s="344"/>
      <c r="B173" s="344"/>
      <c r="C173" s="344"/>
      <c r="D173" s="344"/>
      <c r="E173" s="344"/>
      <c r="F173" s="344"/>
      <c r="G173" s="344"/>
      <c r="H173" s="344"/>
      <c r="I173" s="344"/>
      <c r="J173" s="344"/>
      <c r="K173" s="344"/>
      <c r="L173" s="344"/>
      <c r="M173" s="344"/>
      <c r="N173" s="344"/>
      <c r="O173" s="344"/>
      <c r="P173" s="344"/>
      <c r="Q173" s="344"/>
      <c r="R173" s="344"/>
      <c r="S173" s="344"/>
      <c r="T173" s="344"/>
      <c r="U173" s="344"/>
      <c r="V173" s="344"/>
      <c r="W173" s="344"/>
      <c r="X173" s="344"/>
      <c r="Y173" s="344"/>
    </row>
    <row r="174" spans="1:25" ht="14.25" customHeight="1" x14ac:dyDescent="0.25">
      <c r="A174" s="344"/>
      <c r="B174" s="344"/>
      <c r="C174" s="344"/>
      <c r="D174" s="344"/>
      <c r="E174" s="344"/>
      <c r="F174" s="344"/>
      <c r="G174" s="344"/>
      <c r="H174" s="344"/>
      <c r="I174" s="344"/>
      <c r="J174" s="344"/>
      <c r="K174" s="344"/>
      <c r="L174" s="344"/>
      <c r="M174" s="344"/>
      <c r="N174" s="344"/>
      <c r="O174" s="344"/>
      <c r="P174" s="344"/>
      <c r="Q174" s="344"/>
      <c r="R174" s="344"/>
      <c r="S174" s="344"/>
      <c r="T174" s="344"/>
      <c r="U174" s="344"/>
      <c r="V174" s="344"/>
      <c r="W174" s="344"/>
      <c r="X174" s="344"/>
      <c r="Y174" s="344"/>
    </row>
    <row r="175" spans="1:25" ht="14.25" customHeight="1" x14ac:dyDescent="0.25">
      <c r="A175" s="344"/>
      <c r="B175" s="344"/>
      <c r="C175" s="344"/>
      <c r="D175" s="344"/>
      <c r="E175" s="344"/>
      <c r="F175" s="344"/>
      <c r="G175" s="344"/>
      <c r="H175" s="344"/>
      <c r="I175" s="344"/>
      <c r="J175" s="344"/>
      <c r="K175" s="344"/>
      <c r="L175" s="344"/>
      <c r="M175" s="344"/>
      <c r="N175" s="344"/>
      <c r="O175" s="344"/>
      <c r="P175" s="344"/>
      <c r="Q175" s="344"/>
      <c r="R175" s="344"/>
      <c r="S175" s="344"/>
      <c r="T175" s="344"/>
      <c r="U175" s="344"/>
      <c r="V175" s="344"/>
      <c r="W175" s="344"/>
      <c r="X175" s="344"/>
      <c r="Y175" s="344"/>
    </row>
    <row r="176" spans="1:25" ht="14.25" customHeight="1" x14ac:dyDescent="0.25">
      <c r="A176" s="344"/>
      <c r="B176" s="344"/>
      <c r="C176" s="344"/>
      <c r="D176" s="344"/>
      <c r="E176" s="344"/>
      <c r="F176" s="344"/>
      <c r="G176" s="344"/>
      <c r="H176" s="344"/>
      <c r="I176" s="344"/>
      <c r="J176" s="344"/>
      <c r="K176" s="344"/>
      <c r="L176" s="344"/>
      <c r="M176" s="344"/>
      <c r="N176" s="344"/>
      <c r="O176" s="344"/>
      <c r="P176" s="344"/>
      <c r="Q176" s="344"/>
      <c r="R176" s="344"/>
      <c r="S176" s="344"/>
      <c r="T176" s="344"/>
      <c r="U176" s="344"/>
      <c r="V176" s="344"/>
      <c r="W176" s="344"/>
      <c r="X176" s="344"/>
      <c r="Y176" s="344"/>
    </row>
    <row r="177" spans="1:25" ht="14.25" customHeight="1" x14ac:dyDescent="0.25">
      <c r="A177" s="344"/>
      <c r="B177" s="344"/>
      <c r="C177" s="344"/>
      <c r="D177" s="344"/>
      <c r="E177" s="344"/>
      <c r="F177" s="344"/>
      <c r="G177" s="344"/>
      <c r="H177" s="344"/>
      <c r="I177" s="344"/>
      <c r="J177" s="344"/>
      <c r="K177" s="344"/>
      <c r="L177" s="344"/>
      <c r="M177" s="344"/>
      <c r="N177" s="344"/>
      <c r="O177" s="344"/>
      <c r="P177" s="344"/>
      <c r="Q177" s="344"/>
      <c r="R177" s="344"/>
      <c r="S177" s="344"/>
      <c r="T177" s="344"/>
      <c r="U177" s="344"/>
      <c r="V177" s="344"/>
      <c r="W177" s="344"/>
      <c r="X177" s="344"/>
      <c r="Y177" s="344"/>
    </row>
    <row r="178" spans="1:25" ht="14.25" customHeight="1" x14ac:dyDescent="0.25">
      <c r="A178" s="344"/>
      <c r="B178" s="344"/>
      <c r="C178" s="344"/>
      <c r="D178" s="344"/>
      <c r="E178" s="344"/>
      <c r="F178" s="344"/>
      <c r="G178" s="344"/>
      <c r="H178" s="344"/>
      <c r="I178" s="344"/>
      <c r="J178" s="344"/>
      <c r="K178" s="344"/>
      <c r="L178" s="344"/>
      <c r="M178" s="344"/>
      <c r="N178" s="344"/>
      <c r="O178" s="344"/>
      <c r="P178" s="344"/>
      <c r="Q178" s="344"/>
      <c r="R178" s="344"/>
      <c r="S178" s="344"/>
      <c r="T178" s="344"/>
      <c r="U178" s="344"/>
      <c r="V178" s="344"/>
      <c r="W178" s="344"/>
      <c r="X178" s="344"/>
      <c r="Y178" s="344"/>
    </row>
    <row r="179" spans="1:25" ht="14.25" customHeight="1" x14ac:dyDescent="0.25">
      <c r="A179" s="344"/>
      <c r="B179" s="344"/>
      <c r="C179" s="344"/>
      <c r="D179" s="344"/>
      <c r="E179" s="344"/>
      <c r="F179" s="344"/>
      <c r="G179" s="344"/>
      <c r="H179" s="344"/>
      <c r="I179" s="344"/>
      <c r="J179" s="344"/>
      <c r="K179" s="344"/>
      <c r="L179" s="344"/>
      <c r="M179" s="344"/>
      <c r="N179" s="344"/>
      <c r="O179" s="344"/>
      <c r="P179" s="344"/>
      <c r="Q179" s="344"/>
      <c r="R179" s="344"/>
      <c r="S179" s="344"/>
      <c r="T179" s="344"/>
      <c r="U179" s="344"/>
      <c r="V179" s="344"/>
      <c r="W179" s="344"/>
      <c r="X179" s="344"/>
      <c r="Y179" s="344"/>
    </row>
    <row r="180" spans="1:25" ht="14.25" customHeight="1" x14ac:dyDescent="0.25">
      <c r="A180" s="344"/>
      <c r="B180" s="344"/>
      <c r="C180" s="344"/>
      <c r="D180" s="344"/>
      <c r="E180" s="344"/>
      <c r="F180" s="344"/>
      <c r="G180" s="344"/>
      <c r="H180" s="344"/>
      <c r="I180" s="344"/>
      <c r="J180" s="344"/>
      <c r="K180" s="344"/>
      <c r="L180" s="344"/>
      <c r="M180" s="344"/>
      <c r="N180" s="344"/>
      <c r="O180" s="344"/>
      <c r="P180" s="344"/>
      <c r="Q180" s="344"/>
      <c r="R180" s="344"/>
      <c r="S180" s="344"/>
      <c r="T180" s="344"/>
      <c r="U180" s="344"/>
      <c r="V180" s="344"/>
      <c r="W180" s="344"/>
      <c r="X180" s="344"/>
      <c r="Y180" s="344"/>
    </row>
    <row r="181" spans="1:25" ht="14.25" customHeight="1" x14ac:dyDescent="0.25">
      <c r="A181" s="344"/>
      <c r="B181" s="344"/>
      <c r="C181" s="344"/>
      <c r="D181" s="344"/>
      <c r="E181" s="344"/>
      <c r="F181" s="344"/>
      <c r="G181" s="344"/>
      <c r="H181" s="344"/>
      <c r="I181" s="344"/>
      <c r="J181" s="344"/>
      <c r="K181" s="344"/>
      <c r="L181" s="344"/>
      <c r="M181" s="344"/>
      <c r="N181" s="344"/>
      <c r="O181" s="344"/>
      <c r="P181" s="344"/>
      <c r="Q181" s="344"/>
      <c r="R181" s="344"/>
      <c r="S181" s="344"/>
      <c r="T181" s="344"/>
      <c r="U181" s="344"/>
      <c r="V181" s="344"/>
      <c r="W181" s="344"/>
      <c r="X181" s="344"/>
      <c r="Y181" s="344"/>
    </row>
    <row r="182" spans="1:25" ht="14.25" customHeight="1" x14ac:dyDescent="0.25">
      <c r="A182" s="344"/>
      <c r="B182" s="344"/>
      <c r="C182" s="344"/>
      <c r="D182" s="344"/>
      <c r="E182" s="344"/>
      <c r="F182" s="344"/>
      <c r="G182" s="344"/>
      <c r="H182" s="344"/>
      <c r="I182" s="344"/>
      <c r="J182" s="344"/>
      <c r="K182" s="344"/>
      <c r="L182" s="344"/>
      <c r="M182" s="344"/>
      <c r="N182" s="344"/>
      <c r="O182" s="344"/>
      <c r="P182" s="344"/>
      <c r="Q182" s="344"/>
      <c r="R182" s="344"/>
      <c r="S182" s="344"/>
      <c r="T182" s="344"/>
      <c r="U182" s="344"/>
      <c r="V182" s="344"/>
      <c r="W182" s="344"/>
      <c r="X182" s="344"/>
      <c r="Y182" s="344"/>
    </row>
    <row r="183" spans="1:25" ht="14.25" customHeight="1" x14ac:dyDescent="0.25">
      <c r="A183" s="344"/>
      <c r="B183" s="344"/>
      <c r="C183" s="344"/>
      <c r="D183" s="344"/>
      <c r="E183" s="344"/>
      <c r="F183" s="344"/>
      <c r="G183" s="344"/>
      <c r="H183" s="344"/>
      <c r="I183" s="344"/>
      <c r="J183" s="344"/>
      <c r="K183" s="344"/>
      <c r="L183" s="344"/>
      <c r="M183" s="344"/>
      <c r="N183" s="344"/>
      <c r="O183" s="344"/>
      <c r="P183" s="344"/>
      <c r="Q183" s="344"/>
      <c r="R183" s="344"/>
      <c r="S183" s="344"/>
      <c r="T183" s="344"/>
      <c r="U183" s="344"/>
      <c r="V183" s="344"/>
      <c r="W183" s="344"/>
      <c r="X183" s="344"/>
      <c r="Y183" s="344"/>
    </row>
    <row r="184" spans="1:25" ht="14.25" customHeight="1" x14ac:dyDescent="0.25">
      <c r="A184" s="344"/>
      <c r="B184" s="344"/>
      <c r="C184" s="344"/>
      <c r="D184" s="344"/>
      <c r="E184" s="344"/>
      <c r="F184" s="344"/>
      <c r="G184" s="344"/>
      <c r="H184" s="344"/>
      <c r="I184" s="344"/>
      <c r="J184" s="344"/>
      <c r="K184" s="344"/>
      <c r="L184" s="344"/>
      <c r="M184" s="344"/>
      <c r="N184" s="344"/>
      <c r="O184" s="344"/>
      <c r="P184" s="344"/>
      <c r="Q184" s="344"/>
      <c r="R184" s="344"/>
      <c r="S184" s="344"/>
      <c r="T184" s="344"/>
      <c r="U184" s="344"/>
      <c r="V184" s="344"/>
      <c r="W184" s="344"/>
      <c r="X184" s="344"/>
      <c r="Y184" s="344"/>
    </row>
    <row r="185" spans="1:25" ht="14.25" customHeight="1" x14ac:dyDescent="0.25">
      <c r="A185" s="344"/>
      <c r="B185" s="344"/>
      <c r="C185" s="344"/>
      <c r="D185" s="344"/>
      <c r="E185" s="344"/>
      <c r="F185" s="344"/>
      <c r="G185" s="344"/>
      <c r="H185" s="344"/>
      <c r="I185" s="344"/>
      <c r="J185" s="344"/>
      <c r="K185" s="344"/>
      <c r="L185" s="344"/>
      <c r="M185" s="344"/>
      <c r="N185" s="344"/>
      <c r="O185" s="344"/>
      <c r="P185" s="344"/>
      <c r="Q185" s="344"/>
      <c r="R185" s="344"/>
      <c r="S185" s="344"/>
      <c r="T185" s="344"/>
      <c r="U185" s="344"/>
      <c r="V185" s="344"/>
      <c r="W185" s="344"/>
      <c r="X185" s="344"/>
      <c r="Y185" s="344"/>
    </row>
    <row r="186" spans="1:25" ht="14.25" customHeight="1" x14ac:dyDescent="0.25">
      <c r="A186" s="344"/>
      <c r="B186" s="344"/>
      <c r="C186" s="344"/>
      <c r="D186" s="344"/>
      <c r="E186" s="344"/>
      <c r="F186" s="344"/>
      <c r="G186" s="344"/>
      <c r="H186" s="344"/>
      <c r="I186" s="344"/>
      <c r="J186" s="344"/>
      <c r="K186" s="344"/>
      <c r="L186" s="344"/>
      <c r="M186" s="344"/>
      <c r="N186" s="344"/>
      <c r="O186" s="344"/>
      <c r="P186" s="344"/>
      <c r="Q186" s="344"/>
      <c r="R186" s="344"/>
      <c r="S186" s="344"/>
      <c r="T186" s="344"/>
      <c r="U186" s="344"/>
      <c r="V186" s="344"/>
      <c r="W186" s="344"/>
      <c r="X186" s="344"/>
      <c r="Y186" s="344"/>
    </row>
    <row r="187" spans="1:25" ht="14.25" customHeight="1" x14ac:dyDescent="0.25">
      <c r="A187" s="344"/>
      <c r="B187" s="344"/>
      <c r="C187" s="344"/>
      <c r="D187" s="344"/>
      <c r="E187" s="344"/>
      <c r="F187" s="344"/>
      <c r="G187" s="344"/>
      <c r="H187" s="344"/>
      <c r="I187" s="344"/>
      <c r="J187" s="344"/>
      <c r="K187" s="344"/>
      <c r="L187" s="344"/>
      <c r="M187" s="344"/>
      <c r="N187" s="344"/>
      <c r="O187" s="344"/>
      <c r="P187" s="344"/>
      <c r="Q187" s="344"/>
      <c r="R187" s="344"/>
      <c r="S187" s="344"/>
      <c r="T187" s="344"/>
      <c r="U187" s="344"/>
      <c r="V187" s="344"/>
      <c r="W187" s="344"/>
      <c r="X187" s="344"/>
      <c r="Y187" s="344"/>
    </row>
    <row r="188" spans="1:25" ht="14.25" customHeight="1" x14ac:dyDescent="0.25">
      <c r="A188" s="344"/>
      <c r="B188" s="344"/>
      <c r="C188" s="344"/>
      <c r="D188" s="344"/>
      <c r="E188" s="344"/>
      <c r="F188" s="344"/>
      <c r="G188" s="344"/>
      <c r="H188" s="344"/>
      <c r="I188" s="344"/>
      <c r="J188" s="344"/>
      <c r="K188" s="344"/>
      <c r="L188" s="344"/>
      <c r="M188" s="344"/>
      <c r="N188" s="344"/>
      <c r="O188" s="344"/>
      <c r="P188" s="344"/>
      <c r="Q188" s="344"/>
      <c r="R188" s="344"/>
      <c r="S188" s="344"/>
      <c r="T188" s="344"/>
      <c r="U188" s="344"/>
      <c r="V188" s="344"/>
      <c r="W188" s="344"/>
      <c r="X188" s="344"/>
      <c r="Y188" s="344"/>
    </row>
    <row r="189" spans="1:25" ht="14.25" customHeight="1" x14ac:dyDescent="0.25">
      <c r="A189" s="344"/>
      <c r="B189" s="344"/>
      <c r="C189" s="344"/>
      <c r="D189" s="344"/>
      <c r="E189" s="344"/>
      <c r="F189" s="344"/>
      <c r="G189" s="344"/>
      <c r="H189" s="344"/>
      <c r="I189" s="344"/>
      <c r="J189" s="344"/>
      <c r="K189" s="344"/>
      <c r="L189" s="344"/>
      <c r="M189" s="344"/>
      <c r="N189" s="344"/>
      <c r="O189" s="344"/>
      <c r="P189" s="344"/>
      <c r="Q189" s="344"/>
      <c r="R189" s="344"/>
      <c r="S189" s="344"/>
      <c r="T189" s="344"/>
      <c r="U189" s="344"/>
      <c r="V189" s="344"/>
      <c r="W189" s="344"/>
      <c r="X189" s="344"/>
      <c r="Y189" s="344"/>
    </row>
    <row r="190" spans="1:25" ht="14.25" customHeight="1" x14ac:dyDescent="0.25">
      <c r="A190" s="344"/>
      <c r="B190" s="344"/>
      <c r="C190" s="344"/>
      <c r="D190" s="344"/>
      <c r="E190" s="344"/>
      <c r="F190" s="344"/>
      <c r="G190" s="344"/>
      <c r="H190" s="344"/>
      <c r="I190" s="344"/>
      <c r="J190" s="344"/>
      <c r="K190" s="344"/>
      <c r="L190" s="344"/>
      <c r="M190" s="344"/>
      <c r="N190" s="344"/>
      <c r="O190" s="344"/>
      <c r="P190" s="344"/>
      <c r="Q190" s="344"/>
      <c r="R190" s="344"/>
      <c r="S190" s="344"/>
      <c r="T190" s="344"/>
      <c r="U190" s="344"/>
      <c r="V190" s="344"/>
      <c r="W190" s="344"/>
      <c r="X190" s="344"/>
      <c r="Y190" s="344"/>
    </row>
    <row r="191" spans="1:25" ht="14.25" customHeight="1" x14ac:dyDescent="0.25">
      <c r="A191" s="344"/>
      <c r="B191" s="344"/>
      <c r="C191" s="344"/>
      <c r="D191" s="344"/>
      <c r="E191" s="344"/>
      <c r="F191" s="344"/>
      <c r="G191" s="344"/>
      <c r="H191" s="344"/>
      <c r="I191" s="344"/>
      <c r="J191" s="344"/>
      <c r="K191" s="344"/>
      <c r="L191" s="344"/>
      <c r="M191" s="344"/>
      <c r="N191" s="344"/>
      <c r="O191" s="344"/>
      <c r="P191" s="344"/>
      <c r="Q191" s="344"/>
      <c r="R191" s="344"/>
      <c r="S191" s="344"/>
      <c r="T191" s="344"/>
      <c r="U191" s="344"/>
      <c r="V191" s="344"/>
      <c r="W191" s="344"/>
      <c r="X191" s="344"/>
      <c r="Y191" s="344"/>
    </row>
    <row r="192" spans="1:25" ht="14.25" customHeight="1" x14ac:dyDescent="0.25">
      <c r="A192" s="344"/>
      <c r="B192" s="344"/>
      <c r="C192" s="344"/>
      <c r="D192" s="344"/>
      <c r="E192" s="344"/>
      <c r="F192" s="344"/>
      <c r="G192" s="344"/>
      <c r="H192" s="344"/>
      <c r="I192" s="344"/>
      <c r="J192" s="344"/>
      <c r="K192" s="344"/>
      <c r="L192" s="344"/>
      <c r="M192" s="344"/>
      <c r="N192" s="344"/>
      <c r="O192" s="344"/>
      <c r="P192" s="344"/>
      <c r="Q192" s="344"/>
      <c r="R192" s="344"/>
      <c r="S192" s="344"/>
      <c r="T192" s="344"/>
      <c r="U192" s="344"/>
      <c r="V192" s="344"/>
      <c r="W192" s="344"/>
      <c r="X192" s="344"/>
      <c r="Y192" s="344"/>
    </row>
    <row r="193" spans="1:25" ht="14.25" customHeight="1" x14ac:dyDescent="0.25">
      <c r="A193" s="344"/>
      <c r="B193" s="344"/>
      <c r="C193" s="344"/>
      <c r="D193" s="344"/>
      <c r="E193" s="344"/>
      <c r="F193" s="344"/>
      <c r="G193" s="344"/>
      <c r="H193" s="344"/>
      <c r="I193" s="344"/>
      <c r="J193" s="344"/>
      <c r="K193" s="344"/>
      <c r="L193" s="344"/>
      <c r="M193" s="344"/>
      <c r="N193" s="344"/>
      <c r="O193" s="344"/>
      <c r="P193" s="344"/>
      <c r="Q193" s="344"/>
      <c r="R193" s="344"/>
      <c r="S193" s="344"/>
      <c r="T193" s="344"/>
      <c r="U193" s="344"/>
      <c r="V193" s="344"/>
      <c r="W193" s="344"/>
      <c r="X193" s="344"/>
      <c r="Y193" s="344"/>
    </row>
    <row r="194" spans="1:25" ht="14.25" customHeight="1" x14ac:dyDescent="0.25">
      <c r="A194" s="344"/>
      <c r="B194" s="344"/>
      <c r="C194" s="344"/>
      <c r="D194" s="344"/>
      <c r="E194" s="344"/>
      <c r="F194" s="344"/>
      <c r="G194" s="344"/>
      <c r="H194" s="344"/>
      <c r="I194" s="344"/>
      <c r="J194" s="344"/>
      <c r="K194" s="344"/>
      <c r="L194" s="344"/>
      <c r="M194" s="344"/>
      <c r="N194" s="344"/>
      <c r="O194" s="344"/>
      <c r="P194" s="344"/>
      <c r="Q194" s="344"/>
      <c r="R194" s="344"/>
      <c r="S194" s="344"/>
      <c r="T194" s="344"/>
      <c r="U194" s="344"/>
      <c r="V194" s="344"/>
      <c r="W194" s="344"/>
      <c r="X194" s="344"/>
      <c r="Y194" s="344"/>
    </row>
    <row r="195" spans="1:25" ht="14.25" customHeight="1" x14ac:dyDescent="0.25">
      <c r="A195" s="344"/>
      <c r="B195" s="344"/>
      <c r="C195" s="344"/>
      <c r="D195" s="344"/>
      <c r="E195" s="344"/>
      <c r="F195" s="344"/>
      <c r="G195" s="344"/>
      <c r="H195" s="344"/>
      <c r="I195" s="344"/>
      <c r="J195" s="344"/>
      <c r="K195" s="344"/>
      <c r="L195" s="344"/>
      <c r="M195" s="344"/>
      <c r="N195" s="344"/>
      <c r="O195" s="344"/>
      <c r="P195" s="344"/>
      <c r="Q195" s="344"/>
      <c r="R195" s="344"/>
      <c r="S195" s="344"/>
      <c r="T195" s="344"/>
      <c r="U195" s="344"/>
      <c r="V195" s="344"/>
      <c r="W195" s="344"/>
      <c r="X195" s="344"/>
      <c r="Y195" s="344"/>
    </row>
    <row r="196" spans="1:25" ht="14.25" customHeight="1" x14ac:dyDescent="0.25">
      <c r="A196" s="344"/>
      <c r="B196" s="344"/>
      <c r="C196" s="344"/>
      <c r="D196" s="344"/>
      <c r="E196" s="344"/>
      <c r="F196" s="344"/>
      <c r="G196" s="344"/>
      <c r="H196" s="344"/>
      <c r="I196" s="344"/>
      <c r="J196" s="344"/>
      <c r="K196" s="344"/>
      <c r="L196" s="344"/>
      <c r="M196" s="344"/>
      <c r="N196" s="344"/>
      <c r="O196" s="344"/>
      <c r="P196" s="344"/>
      <c r="Q196" s="344"/>
      <c r="R196" s="344"/>
      <c r="S196" s="344"/>
      <c r="T196" s="344"/>
      <c r="U196" s="344"/>
      <c r="V196" s="344"/>
      <c r="W196" s="344"/>
      <c r="X196" s="344"/>
      <c r="Y196" s="344"/>
    </row>
    <row r="197" spans="1:25" ht="14.25" customHeight="1" x14ac:dyDescent="0.25">
      <c r="A197" s="344"/>
      <c r="B197" s="344"/>
      <c r="C197" s="344"/>
      <c r="D197" s="344"/>
      <c r="E197" s="344"/>
      <c r="F197" s="344"/>
      <c r="G197" s="344"/>
      <c r="H197" s="344"/>
      <c r="I197" s="344"/>
      <c r="J197" s="344"/>
      <c r="K197" s="344"/>
      <c r="L197" s="344"/>
      <c r="M197" s="344"/>
      <c r="N197" s="344"/>
      <c r="O197" s="344"/>
      <c r="P197" s="344"/>
      <c r="Q197" s="344"/>
      <c r="R197" s="344"/>
      <c r="S197" s="344"/>
      <c r="T197" s="344"/>
      <c r="U197" s="344"/>
      <c r="V197" s="344"/>
      <c r="W197" s="344"/>
      <c r="X197" s="344"/>
      <c r="Y197" s="344"/>
    </row>
    <row r="198" spans="1:25" ht="14.25" customHeight="1" x14ac:dyDescent="0.25">
      <c r="A198" s="344"/>
      <c r="B198" s="344"/>
      <c r="C198" s="344"/>
      <c r="D198" s="344"/>
      <c r="E198" s="344"/>
      <c r="F198" s="344"/>
      <c r="G198" s="344"/>
      <c r="H198" s="344"/>
      <c r="I198" s="344"/>
      <c r="J198" s="344"/>
      <c r="K198" s="344"/>
      <c r="L198" s="344"/>
      <c r="M198" s="344"/>
      <c r="N198" s="344"/>
      <c r="O198" s="344"/>
      <c r="P198" s="344"/>
      <c r="Q198" s="344"/>
      <c r="R198" s="344"/>
      <c r="S198" s="344"/>
      <c r="T198" s="344"/>
      <c r="U198" s="344"/>
      <c r="V198" s="344"/>
      <c r="W198" s="344"/>
      <c r="X198" s="344"/>
      <c r="Y198" s="344"/>
    </row>
    <row r="199" spans="1:25" ht="14.25" customHeight="1" x14ac:dyDescent="0.25">
      <c r="A199" s="344"/>
      <c r="B199" s="344"/>
      <c r="C199" s="344"/>
      <c r="D199" s="344"/>
      <c r="E199" s="344"/>
      <c r="F199" s="344"/>
      <c r="G199" s="344"/>
      <c r="H199" s="344"/>
      <c r="I199" s="344"/>
      <c r="J199" s="344"/>
      <c r="K199" s="344"/>
      <c r="L199" s="344"/>
      <c r="M199" s="344"/>
      <c r="N199" s="344"/>
      <c r="O199" s="344"/>
      <c r="P199" s="344"/>
      <c r="Q199" s="344"/>
      <c r="R199" s="344"/>
      <c r="S199" s="344"/>
      <c r="T199" s="344"/>
      <c r="U199" s="344"/>
      <c r="V199" s="344"/>
      <c r="W199" s="344"/>
      <c r="X199" s="344"/>
      <c r="Y199" s="344"/>
    </row>
    <row r="200" spans="1:25" ht="14.25" customHeight="1" x14ac:dyDescent="0.25">
      <c r="A200" s="344"/>
      <c r="B200" s="344"/>
      <c r="C200" s="344"/>
      <c r="D200" s="344"/>
      <c r="E200" s="344"/>
      <c r="F200" s="344"/>
      <c r="G200" s="344"/>
      <c r="H200" s="344"/>
      <c r="I200" s="344"/>
      <c r="J200" s="344"/>
      <c r="K200" s="344"/>
      <c r="L200" s="344"/>
      <c r="M200" s="344"/>
      <c r="N200" s="344"/>
      <c r="O200" s="344"/>
      <c r="P200" s="344"/>
      <c r="Q200" s="344"/>
      <c r="R200" s="344"/>
      <c r="S200" s="344"/>
      <c r="T200" s="344"/>
      <c r="U200" s="344"/>
      <c r="V200" s="344"/>
      <c r="W200" s="344"/>
      <c r="X200" s="344"/>
      <c r="Y200" s="344"/>
    </row>
    <row r="201" spans="1:25" ht="14.25" customHeight="1" x14ac:dyDescent="0.25">
      <c r="A201" s="344"/>
      <c r="B201" s="344"/>
      <c r="C201" s="344"/>
      <c r="D201" s="344"/>
      <c r="E201" s="344"/>
      <c r="F201" s="344"/>
      <c r="G201" s="344"/>
      <c r="H201" s="344"/>
      <c r="I201" s="344"/>
      <c r="J201" s="344"/>
      <c r="K201" s="344"/>
      <c r="L201" s="344"/>
      <c r="M201" s="344"/>
      <c r="N201" s="344"/>
      <c r="O201" s="344"/>
      <c r="P201" s="344"/>
      <c r="Q201" s="344"/>
      <c r="R201" s="344"/>
      <c r="S201" s="344"/>
      <c r="T201" s="344"/>
      <c r="U201" s="344"/>
      <c r="V201" s="344"/>
      <c r="W201" s="344"/>
      <c r="X201" s="344"/>
      <c r="Y201" s="344"/>
    </row>
    <row r="202" spans="1:25" ht="14.25" customHeight="1" x14ac:dyDescent="0.25">
      <c r="A202" s="344"/>
      <c r="B202" s="344"/>
      <c r="C202" s="344"/>
      <c r="D202" s="344"/>
      <c r="E202" s="344"/>
      <c r="F202" s="344"/>
      <c r="G202" s="344"/>
      <c r="H202" s="344"/>
      <c r="I202" s="344"/>
      <c r="J202" s="344"/>
      <c r="K202" s="344"/>
      <c r="L202" s="344"/>
      <c r="M202" s="344"/>
      <c r="N202" s="344"/>
      <c r="O202" s="344"/>
      <c r="P202" s="344"/>
      <c r="Q202" s="344"/>
      <c r="R202" s="344"/>
      <c r="S202" s="344"/>
      <c r="T202" s="344"/>
      <c r="U202" s="344"/>
      <c r="V202" s="344"/>
      <c r="W202" s="344"/>
      <c r="X202" s="344"/>
      <c r="Y202" s="344"/>
    </row>
    <row r="203" spans="1:25" ht="14.25" customHeight="1" x14ac:dyDescent="0.25">
      <c r="A203" s="344"/>
      <c r="B203" s="344"/>
      <c r="C203" s="344"/>
      <c r="D203" s="344"/>
      <c r="E203" s="344"/>
      <c r="F203" s="344"/>
      <c r="G203" s="344"/>
      <c r="H203" s="344"/>
      <c r="I203" s="344"/>
      <c r="J203" s="344"/>
      <c r="K203" s="344"/>
      <c r="L203" s="344"/>
      <c r="M203" s="344"/>
      <c r="N203" s="344"/>
      <c r="O203" s="344"/>
      <c r="P203" s="344"/>
      <c r="Q203" s="344"/>
      <c r="R203" s="344"/>
      <c r="S203" s="344"/>
      <c r="T203" s="344"/>
      <c r="U203" s="344"/>
      <c r="V203" s="344"/>
      <c r="W203" s="344"/>
      <c r="X203" s="344"/>
      <c r="Y203" s="344"/>
    </row>
    <row r="204" spans="1:25" ht="14.25" customHeight="1" x14ac:dyDescent="0.25">
      <c r="A204" s="344"/>
      <c r="B204" s="344"/>
      <c r="C204" s="344"/>
      <c r="D204" s="344"/>
      <c r="E204" s="344"/>
      <c r="F204" s="344"/>
      <c r="G204" s="344"/>
      <c r="H204" s="344"/>
      <c r="I204" s="344"/>
      <c r="J204" s="344"/>
      <c r="K204" s="344"/>
      <c r="L204" s="344"/>
      <c r="M204" s="344"/>
      <c r="N204" s="344"/>
      <c r="O204" s="344"/>
      <c r="P204" s="344"/>
      <c r="Q204" s="344"/>
      <c r="R204" s="344"/>
      <c r="S204" s="344"/>
      <c r="T204" s="344"/>
      <c r="U204" s="344"/>
      <c r="V204" s="344"/>
      <c r="W204" s="344"/>
      <c r="X204" s="344"/>
      <c r="Y204" s="344"/>
    </row>
    <row r="205" spans="1:25" ht="14.25" customHeight="1" x14ac:dyDescent="0.25">
      <c r="A205" s="344"/>
      <c r="B205" s="344"/>
      <c r="C205" s="344"/>
      <c r="D205" s="344"/>
      <c r="E205" s="344"/>
      <c r="F205" s="344"/>
      <c r="G205" s="344"/>
      <c r="H205" s="344"/>
      <c r="I205" s="344"/>
      <c r="J205" s="344"/>
      <c r="K205" s="344"/>
      <c r="L205" s="344"/>
      <c r="M205" s="344"/>
      <c r="N205" s="344"/>
      <c r="O205" s="344"/>
      <c r="P205" s="344"/>
      <c r="Q205" s="344"/>
      <c r="R205" s="344"/>
      <c r="S205" s="344"/>
      <c r="T205" s="344"/>
      <c r="U205" s="344"/>
      <c r="V205" s="344"/>
      <c r="W205" s="344"/>
      <c r="X205" s="344"/>
      <c r="Y205" s="344"/>
    </row>
    <row r="206" spans="1:25" ht="14.25" customHeight="1" x14ac:dyDescent="0.25">
      <c r="A206" s="344"/>
      <c r="B206" s="344"/>
      <c r="C206" s="344"/>
      <c r="D206" s="344"/>
      <c r="E206" s="344"/>
      <c r="F206" s="344"/>
      <c r="G206" s="344"/>
      <c r="H206" s="344"/>
      <c r="I206" s="344"/>
      <c r="J206" s="344"/>
      <c r="K206" s="344"/>
      <c r="L206" s="344"/>
      <c r="M206" s="344"/>
      <c r="N206" s="344"/>
      <c r="O206" s="344"/>
      <c r="P206" s="344"/>
      <c r="Q206" s="344"/>
      <c r="R206" s="344"/>
      <c r="S206" s="344"/>
      <c r="T206" s="344"/>
      <c r="U206" s="344"/>
      <c r="V206" s="344"/>
      <c r="W206" s="344"/>
      <c r="X206" s="344"/>
      <c r="Y206" s="344"/>
    </row>
    <row r="207" spans="1:25" ht="14.25" customHeight="1" x14ac:dyDescent="0.25">
      <c r="A207" s="344"/>
      <c r="B207" s="344"/>
      <c r="C207" s="344"/>
      <c r="D207" s="344"/>
      <c r="E207" s="344"/>
      <c r="F207" s="344"/>
      <c r="G207" s="344"/>
      <c r="H207" s="344"/>
      <c r="I207" s="344"/>
      <c r="J207" s="344"/>
      <c r="K207" s="344"/>
      <c r="L207" s="344"/>
      <c r="M207" s="344"/>
      <c r="N207" s="344"/>
      <c r="O207" s="344"/>
      <c r="P207" s="344"/>
      <c r="Q207" s="344"/>
      <c r="R207" s="344"/>
      <c r="S207" s="344"/>
      <c r="T207" s="344"/>
      <c r="U207" s="344"/>
      <c r="V207" s="344"/>
      <c r="W207" s="344"/>
      <c r="X207" s="344"/>
      <c r="Y207" s="344"/>
    </row>
    <row r="208" spans="1:25" ht="14.25" customHeight="1" x14ac:dyDescent="0.25">
      <c r="A208" s="344"/>
      <c r="B208" s="344"/>
      <c r="C208" s="344"/>
      <c r="D208" s="344"/>
      <c r="E208" s="344"/>
      <c r="F208" s="344"/>
      <c r="G208" s="344"/>
      <c r="H208" s="344"/>
      <c r="I208" s="344"/>
      <c r="J208" s="344"/>
      <c r="K208" s="344"/>
      <c r="L208" s="344"/>
      <c r="M208" s="344"/>
      <c r="N208" s="344"/>
      <c r="O208" s="344"/>
      <c r="P208" s="344"/>
      <c r="Q208" s="344"/>
      <c r="R208" s="344"/>
      <c r="S208" s="344"/>
      <c r="T208" s="344"/>
      <c r="U208" s="344"/>
      <c r="V208" s="344"/>
      <c r="W208" s="344"/>
      <c r="X208" s="344"/>
      <c r="Y208" s="344"/>
    </row>
    <row r="209" spans="1:25" ht="14.25" customHeight="1" x14ac:dyDescent="0.25">
      <c r="A209" s="344"/>
      <c r="B209" s="344"/>
      <c r="C209" s="344"/>
      <c r="D209" s="344"/>
      <c r="E209" s="344"/>
      <c r="F209" s="344"/>
      <c r="G209" s="344"/>
      <c r="H209" s="344"/>
      <c r="I209" s="344"/>
      <c r="J209" s="344"/>
      <c r="K209" s="344"/>
      <c r="L209" s="344"/>
      <c r="M209" s="344"/>
      <c r="N209" s="344"/>
      <c r="O209" s="344"/>
      <c r="P209" s="344"/>
      <c r="Q209" s="344"/>
      <c r="R209" s="344"/>
      <c r="S209" s="344"/>
      <c r="T209" s="344"/>
      <c r="U209" s="344"/>
      <c r="V209" s="344"/>
      <c r="W209" s="344"/>
      <c r="X209" s="344"/>
      <c r="Y209" s="344"/>
    </row>
    <row r="210" spans="1:25" ht="14.25" customHeight="1" x14ac:dyDescent="0.25">
      <c r="A210" s="344"/>
      <c r="B210" s="344"/>
      <c r="C210" s="344"/>
      <c r="D210" s="344"/>
      <c r="E210" s="344"/>
      <c r="F210" s="344"/>
      <c r="G210" s="344"/>
      <c r="H210" s="344"/>
      <c r="I210" s="344"/>
      <c r="J210" s="344"/>
      <c r="K210" s="344"/>
      <c r="L210" s="344"/>
      <c r="M210" s="344"/>
      <c r="N210" s="344"/>
      <c r="O210" s="344"/>
      <c r="P210" s="344"/>
      <c r="Q210" s="344"/>
      <c r="R210" s="344"/>
      <c r="S210" s="344"/>
      <c r="T210" s="344"/>
      <c r="U210" s="344"/>
      <c r="V210" s="344"/>
      <c r="W210" s="344"/>
      <c r="X210" s="344"/>
      <c r="Y210" s="344"/>
    </row>
    <row r="211" spans="1:25" ht="14.25" customHeight="1" x14ac:dyDescent="0.25">
      <c r="A211" s="344"/>
      <c r="B211" s="344"/>
      <c r="C211" s="344"/>
      <c r="D211" s="344"/>
      <c r="E211" s="344"/>
      <c r="F211" s="344"/>
      <c r="G211" s="344"/>
      <c r="H211" s="344"/>
      <c r="I211" s="344"/>
      <c r="J211" s="344"/>
      <c r="K211" s="344"/>
      <c r="L211" s="344"/>
      <c r="M211" s="344"/>
      <c r="N211" s="344"/>
      <c r="O211" s="344"/>
      <c r="P211" s="344"/>
      <c r="Q211" s="344"/>
      <c r="R211" s="344"/>
      <c r="S211" s="344"/>
      <c r="T211" s="344"/>
      <c r="U211" s="344"/>
      <c r="V211" s="344"/>
      <c r="W211" s="344"/>
      <c r="X211" s="344"/>
      <c r="Y211" s="344"/>
    </row>
    <row r="212" spans="1:25" ht="14.25" customHeight="1" x14ac:dyDescent="0.25">
      <c r="A212" s="344"/>
      <c r="B212" s="344"/>
      <c r="C212" s="344"/>
      <c r="D212" s="344"/>
      <c r="E212" s="344"/>
      <c r="F212" s="344"/>
      <c r="G212" s="344"/>
      <c r="H212" s="344"/>
      <c r="I212" s="344"/>
      <c r="J212" s="344"/>
      <c r="K212" s="344"/>
      <c r="L212" s="344"/>
      <c r="M212" s="344"/>
      <c r="N212" s="344"/>
      <c r="O212" s="344"/>
      <c r="P212" s="344"/>
      <c r="Q212" s="344"/>
      <c r="R212" s="344"/>
      <c r="S212" s="344"/>
      <c r="T212" s="344"/>
      <c r="U212" s="344"/>
      <c r="V212" s="344"/>
      <c r="W212" s="344"/>
      <c r="X212" s="344"/>
      <c r="Y212" s="344"/>
    </row>
    <row r="213" spans="1:25" ht="14.25" customHeight="1" x14ac:dyDescent="0.25">
      <c r="A213" s="344"/>
      <c r="B213" s="344"/>
      <c r="C213" s="344"/>
      <c r="D213" s="344"/>
      <c r="E213" s="344"/>
      <c r="F213" s="344"/>
      <c r="G213" s="344"/>
      <c r="H213" s="344"/>
      <c r="I213" s="344"/>
      <c r="J213" s="344"/>
      <c r="K213" s="344"/>
      <c r="L213" s="344"/>
      <c r="M213" s="344"/>
      <c r="N213" s="344"/>
      <c r="O213" s="344"/>
      <c r="P213" s="344"/>
      <c r="Q213" s="344"/>
      <c r="R213" s="344"/>
      <c r="S213" s="344"/>
      <c r="T213" s="344"/>
      <c r="U213" s="344"/>
      <c r="V213" s="344"/>
      <c r="W213" s="344"/>
      <c r="X213" s="344"/>
      <c r="Y213" s="344"/>
    </row>
    <row r="214" spans="1:25" ht="14.25" customHeight="1" x14ac:dyDescent="0.25">
      <c r="A214" s="344"/>
      <c r="B214" s="344"/>
      <c r="C214" s="344"/>
      <c r="D214" s="344"/>
      <c r="E214" s="344"/>
      <c r="F214" s="344"/>
      <c r="G214" s="344"/>
      <c r="H214" s="344"/>
      <c r="I214" s="344"/>
      <c r="J214" s="344"/>
      <c r="K214" s="344"/>
      <c r="L214" s="344"/>
      <c r="M214" s="344"/>
      <c r="N214" s="344"/>
      <c r="O214" s="344"/>
      <c r="P214" s="344"/>
      <c r="Q214" s="344"/>
      <c r="R214" s="344"/>
      <c r="S214" s="344"/>
      <c r="T214" s="344"/>
      <c r="U214" s="344"/>
      <c r="V214" s="344"/>
      <c r="W214" s="344"/>
      <c r="X214" s="344"/>
      <c r="Y214" s="344"/>
    </row>
    <row r="215" spans="1:25" ht="14.25" customHeight="1" x14ac:dyDescent="0.25">
      <c r="A215" s="344"/>
      <c r="B215" s="344"/>
      <c r="C215" s="344"/>
      <c r="D215" s="344"/>
      <c r="E215" s="344"/>
      <c r="F215" s="344"/>
      <c r="G215" s="344"/>
      <c r="H215" s="344"/>
      <c r="I215" s="344"/>
      <c r="J215" s="344"/>
      <c r="K215" s="344"/>
      <c r="L215" s="344"/>
      <c r="M215" s="344"/>
      <c r="N215" s="344"/>
      <c r="O215" s="344"/>
      <c r="P215" s="344"/>
      <c r="Q215" s="344"/>
      <c r="R215" s="344"/>
      <c r="S215" s="344"/>
      <c r="T215" s="344"/>
      <c r="U215" s="344"/>
      <c r="V215" s="344"/>
      <c r="W215" s="344"/>
      <c r="X215" s="344"/>
      <c r="Y215" s="344"/>
    </row>
    <row r="216" spans="1:25" ht="14.25" customHeight="1" x14ac:dyDescent="0.25">
      <c r="A216" s="344"/>
      <c r="B216" s="344"/>
      <c r="C216" s="344"/>
      <c r="D216" s="344"/>
      <c r="E216" s="344"/>
      <c r="F216" s="344"/>
      <c r="G216" s="344"/>
      <c r="H216" s="344"/>
      <c r="I216" s="344"/>
      <c r="J216" s="344"/>
      <c r="K216" s="344"/>
      <c r="L216" s="344"/>
      <c r="M216" s="344"/>
      <c r="N216" s="344"/>
      <c r="O216" s="344"/>
      <c r="P216" s="344"/>
      <c r="Q216" s="344"/>
      <c r="R216" s="344"/>
      <c r="S216" s="344"/>
      <c r="T216" s="344"/>
      <c r="U216" s="344"/>
      <c r="V216" s="344"/>
      <c r="W216" s="344"/>
      <c r="X216" s="344"/>
      <c r="Y216" s="344"/>
    </row>
    <row r="217" spans="1:25" ht="14.25" customHeight="1" x14ac:dyDescent="0.25">
      <c r="A217" s="344"/>
      <c r="B217" s="344"/>
      <c r="C217" s="344"/>
      <c r="D217" s="344"/>
      <c r="E217" s="344"/>
      <c r="F217" s="344"/>
      <c r="G217" s="344"/>
      <c r="H217" s="344"/>
      <c r="I217" s="344"/>
      <c r="J217" s="344"/>
      <c r="K217" s="344"/>
      <c r="L217" s="344"/>
      <c r="M217" s="344"/>
      <c r="N217" s="344"/>
      <c r="O217" s="344"/>
      <c r="P217" s="344"/>
      <c r="Q217" s="344"/>
      <c r="R217" s="344"/>
      <c r="S217" s="344"/>
      <c r="T217" s="344"/>
      <c r="U217" s="344"/>
      <c r="V217" s="344"/>
      <c r="W217" s="344"/>
      <c r="X217" s="344"/>
      <c r="Y217" s="344"/>
    </row>
    <row r="218" spans="1:25" ht="14.25" customHeight="1" x14ac:dyDescent="0.25">
      <c r="A218" s="344"/>
      <c r="B218" s="344"/>
      <c r="C218" s="344"/>
      <c r="D218" s="344"/>
      <c r="E218" s="344"/>
      <c r="F218" s="344"/>
      <c r="G218" s="344"/>
      <c r="H218" s="344"/>
      <c r="I218" s="344"/>
      <c r="J218" s="344"/>
      <c r="K218" s="344"/>
      <c r="L218" s="344"/>
      <c r="M218" s="344"/>
      <c r="N218" s="344"/>
      <c r="O218" s="344"/>
      <c r="P218" s="344"/>
      <c r="Q218" s="344"/>
      <c r="R218" s="344"/>
      <c r="S218" s="344"/>
      <c r="T218" s="344"/>
      <c r="U218" s="344"/>
      <c r="V218" s="344"/>
      <c r="W218" s="344"/>
      <c r="X218" s="344"/>
      <c r="Y218" s="344"/>
    </row>
    <row r="219" spans="1:25" ht="14.25" customHeight="1" x14ac:dyDescent="0.25">
      <c r="A219" s="344"/>
      <c r="B219" s="344"/>
      <c r="C219" s="344"/>
      <c r="D219" s="344"/>
      <c r="E219" s="344"/>
      <c r="F219" s="344"/>
      <c r="G219" s="344"/>
      <c r="H219" s="344"/>
      <c r="I219" s="344"/>
      <c r="J219" s="344"/>
      <c r="K219" s="344"/>
      <c r="L219" s="344"/>
      <c r="M219" s="344"/>
      <c r="N219" s="344"/>
      <c r="O219" s="344"/>
      <c r="P219" s="344"/>
      <c r="Q219" s="344"/>
      <c r="R219" s="344"/>
      <c r="S219" s="344"/>
      <c r="T219" s="344"/>
      <c r="U219" s="344"/>
      <c r="V219" s="344"/>
      <c r="W219" s="344"/>
      <c r="X219" s="344"/>
      <c r="Y219" s="344"/>
    </row>
    <row r="220" spans="1:25" ht="14.25" customHeight="1" x14ac:dyDescent="0.25">
      <c r="A220" s="344"/>
      <c r="B220" s="344"/>
      <c r="C220" s="344"/>
      <c r="D220" s="344"/>
      <c r="E220" s="344"/>
      <c r="F220" s="344"/>
      <c r="G220" s="344"/>
      <c r="H220" s="344"/>
      <c r="I220" s="344"/>
      <c r="J220" s="344"/>
      <c r="K220" s="344"/>
      <c r="L220" s="344"/>
      <c r="M220" s="344"/>
      <c r="N220" s="344"/>
      <c r="O220" s="344"/>
      <c r="P220" s="344"/>
      <c r="Q220" s="344"/>
      <c r="R220" s="344"/>
      <c r="S220" s="344"/>
      <c r="T220" s="344"/>
      <c r="U220" s="344"/>
      <c r="V220" s="344"/>
      <c r="W220" s="344"/>
      <c r="X220" s="344"/>
      <c r="Y220" s="344"/>
    </row>
    <row r="221" spans="1:25" ht="14.25" customHeight="1" x14ac:dyDescent="0.25">
      <c r="A221" s="344"/>
      <c r="B221" s="344"/>
      <c r="C221" s="344"/>
      <c r="D221" s="344"/>
      <c r="E221" s="344"/>
      <c r="F221" s="344"/>
      <c r="G221" s="344"/>
      <c r="H221" s="344"/>
      <c r="I221" s="344"/>
      <c r="J221" s="344"/>
      <c r="K221" s="344"/>
      <c r="L221" s="344"/>
      <c r="M221" s="344"/>
      <c r="N221" s="344"/>
      <c r="O221" s="344"/>
      <c r="P221" s="344"/>
      <c r="Q221" s="344"/>
      <c r="R221" s="344"/>
      <c r="S221" s="344"/>
      <c r="T221" s="344"/>
      <c r="U221" s="344"/>
      <c r="V221" s="344"/>
      <c r="W221" s="344"/>
      <c r="X221" s="344"/>
      <c r="Y221" s="344"/>
    </row>
    <row r="222" spans="1:25" ht="14.25" customHeight="1" x14ac:dyDescent="0.25">
      <c r="A222" s="344"/>
      <c r="B222" s="344"/>
      <c r="C222" s="344"/>
      <c r="D222" s="344"/>
      <c r="E222" s="344"/>
      <c r="F222" s="344"/>
      <c r="G222" s="344"/>
      <c r="H222" s="344"/>
      <c r="I222" s="344"/>
      <c r="J222" s="344"/>
      <c r="K222" s="344"/>
      <c r="L222" s="344"/>
      <c r="M222" s="344"/>
      <c r="N222" s="344"/>
      <c r="O222" s="344"/>
      <c r="P222" s="344"/>
      <c r="Q222" s="344"/>
      <c r="R222" s="344"/>
      <c r="S222" s="344"/>
      <c r="T222" s="344"/>
      <c r="U222" s="344"/>
      <c r="V222" s="344"/>
      <c r="W222" s="344"/>
      <c r="X222" s="344"/>
      <c r="Y222" s="344"/>
    </row>
    <row r="223" spans="1:25" ht="14.25" customHeight="1" x14ac:dyDescent="0.25">
      <c r="A223" s="344"/>
      <c r="B223" s="344"/>
      <c r="C223" s="344"/>
      <c r="D223" s="344"/>
      <c r="E223" s="344"/>
      <c r="F223" s="344"/>
      <c r="G223" s="344"/>
      <c r="H223" s="344"/>
      <c r="I223" s="344"/>
      <c r="J223" s="344"/>
      <c r="K223" s="344"/>
      <c r="L223" s="344"/>
      <c r="M223" s="344"/>
      <c r="N223" s="344"/>
      <c r="O223" s="344"/>
      <c r="P223" s="344"/>
      <c r="Q223" s="344"/>
      <c r="R223" s="344"/>
      <c r="S223" s="344"/>
      <c r="T223" s="344"/>
      <c r="U223" s="344"/>
      <c r="V223" s="344"/>
      <c r="W223" s="344"/>
      <c r="X223" s="344"/>
      <c r="Y223" s="344"/>
    </row>
    <row r="224" spans="1:25" ht="14.25" customHeight="1" x14ac:dyDescent="0.25">
      <c r="A224" s="344"/>
      <c r="B224" s="344"/>
      <c r="C224" s="344"/>
      <c r="D224" s="344"/>
      <c r="E224" s="344"/>
      <c r="F224" s="344"/>
      <c r="G224" s="344"/>
      <c r="H224" s="344"/>
      <c r="I224" s="344"/>
      <c r="J224" s="344"/>
      <c r="K224" s="344"/>
      <c r="L224" s="344"/>
      <c r="M224" s="344"/>
      <c r="N224" s="344"/>
      <c r="O224" s="344"/>
      <c r="P224" s="344"/>
      <c r="Q224" s="344"/>
      <c r="R224" s="344"/>
      <c r="S224" s="344"/>
      <c r="T224" s="344"/>
      <c r="U224" s="344"/>
      <c r="V224" s="344"/>
      <c r="W224" s="344"/>
      <c r="X224" s="344"/>
      <c r="Y224" s="344"/>
    </row>
    <row r="225" spans="1:25" ht="14.25" customHeight="1" x14ac:dyDescent="0.25">
      <c r="A225" s="344"/>
      <c r="B225" s="344"/>
      <c r="C225" s="344"/>
      <c r="D225" s="344"/>
      <c r="E225" s="344"/>
      <c r="F225" s="344"/>
      <c r="G225" s="344"/>
      <c r="H225" s="344"/>
      <c r="I225" s="344"/>
      <c r="J225" s="344"/>
      <c r="K225" s="344"/>
      <c r="L225" s="344"/>
      <c r="M225" s="344"/>
      <c r="N225" s="344"/>
      <c r="O225" s="344"/>
      <c r="P225" s="344"/>
      <c r="Q225" s="344"/>
      <c r="R225" s="344"/>
      <c r="S225" s="344"/>
      <c r="T225" s="344"/>
      <c r="U225" s="344"/>
      <c r="V225" s="344"/>
      <c r="W225" s="344"/>
      <c r="X225" s="344"/>
      <c r="Y225" s="344"/>
    </row>
    <row r="226" spans="1:25" ht="14.25" customHeight="1" x14ac:dyDescent="0.25">
      <c r="A226" s="344"/>
      <c r="B226" s="344"/>
      <c r="C226" s="344"/>
      <c r="D226" s="344"/>
      <c r="E226" s="344"/>
      <c r="F226" s="344"/>
      <c r="G226" s="344"/>
      <c r="H226" s="344"/>
      <c r="I226" s="344"/>
      <c r="J226" s="344"/>
      <c r="K226" s="344"/>
      <c r="L226" s="344"/>
      <c r="M226" s="344"/>
      <c r="N226" s="344"/>
      <c r="O226" s="344"/>
      <c r="P226" s="344"/>
      <c r="Q226" s="344"/>
      <c r="R226" s="344"/>
      <c r="S226" s="344"/>
      <c r="T226" s="344"/>
      <c r="U226" s="344"/>
      <c r="V226" s="344"/>
      <c r="W226" s="344"/>
      <c r="X226" s="344"/>
      <c r="Y226" s="344"/>
    </row>
    <row r="227" spans="1:25" ht="14.25" customHeight="1" x14ac:dyDescent="0.25">
      <c r="A227" s="344"/>
      <c r="B227" s="344"/>
      <c r="C227" s="344"/>
      <c r="D227" s="344"/>
      <c r="E227" s="344"/>
      <c r="F227" s="344"/>
      <c r="G227" s="344"/>
      <c r="H227" s="344"/>
      <c r="I227" s="344"/>
      <c r="J227" s="344"/>
      <c r="K227" s="344"/>
      <c r="L227" s="344"/>
      <c r="M227" s="344"/>
      <c r="N227" s="344"/>
      <c r="O227" s="344"/>
      <c r="P227" s="344"/>
      <c r="Q227" s="344"/>
      <c r="R227" s="344"/>
      <c r="S227" s="344"/>
      <c r="T227" s="344"/>
      <c r="U227" s="344"/>
      <c r="V227" s="344"/>
      <c r="W227" s="344"/>
      <c r="X227" s="344"/>
      <c r="Y227" s="344"/>
    </row>
    <row r="228" spans="1:25" ht="14.25" customHeight="1" x14ac:dyDescent="0.25">
      <c r="A228" s="344"/>
      <c r="B228" s="344"/>
      <c r="C228" s="344"/>
      <c r="D228" s="344"/>
      <c r="E228" s="344"/>
      <c r="F228" s="344"/>
      <c r="G228" s="344"/>
      <c r="H228" s="344"/>
      <c r="I228" s="344"/>
      <c r="J228" s="344"/>
      <c r="K228" s="344"/>
      <c r="L228" s="344"/>
      <c r="M228" s="344"/>
      <c r="N228" s="344"/>
      <c r="O228" s="344"/>
      <c r="P228" s="344"/>
      <c r="Q228" s="344"/>
      <c r="R228" s="344"/>
      <c r="S228" s="344"/>
      <c r="T228" s="344"/>
      <c r="U228" s="344"/>
      <c r="V228" s="344"/>
      <c r="W228" s="344"/>
      <c r="X228" s="344"/>
      <c r="Y228" s="344"/>
    </row>
    <row r="229" spans="1:25" ht="14.25" customHeight="1" x14ac:dyDescent="0.25">
      <c r="A229" s="344"/>
      <c r="B229" s="344"/>
      <c r="C229" s="344"/>
      <c r="D229" s="344"/>
      <c r="E229" s="344"/>
      <c r="F229" s="344"/>
      <c r="G229" s="344"/>
      <c r="H229" s="344"/>
      <c r="I229" s="344"/>
      <c r="J229" s="344"/>
      <c r="K229" s="344"/>
      <c r="L229" s="344"/>
      <c r="M229" s="344"/>
      <c r="N229" s="344"/>
      <c r="O229" s="344"/>
      <c r="P229" s="344"/>
      <c r="Q229" s="344"/>
      <c r="R229" s="344"/>
      <c r="S229" s="344"/>
      <c r="T229" s="344"/>
      <c r="U229" s="344"/>
      <c r="V229" s="344"/>
      <c r="W229" s="344"/>
      <c r="X229" s="344"/>
      <c r="Y229" s="344"/>
    </row>
    <row r="230" spans="1:25" ht="14.25" customHeight="1" x14ac:dyDescent="0.25">
      <c r="A230" s="344"/>
      <c r="B230" s="344"/>
      <c r="C230" s="344"/>
      <c r="D230" s="344"/>
      <c r="E230" s="344"/>
      <c r="F230" s="344"/>
      <c r="G230" s="344"/>
      <c r="H230" s="344"/>
      <c r="I230" s="344"/>
      <c r="J230" s="344"/>
      <c r="K230" s="344"/>
      <c r="L230" s="344"/>
      <c r="M230" s="344"/>
      <c r="N230" s="344"/>
      <c r="O230" s="344"/>
      <c r="P230" s="344"/>
      <c r="Q230" s="344"/>
      <c r="R230" s="344"/>
      <c r="S230" s="344"/>
      <c r="T230" s="344"/>
      <c r="U230" s="344"/>
      <c r="V230" s="344"/>
      <c r="W230" s="344"/>
      <c r="X230" s="344"/>
      <c r="Y230" s="344"/>
    </row>
    <row r="231" spans="1:25" ht="14.25" customHeight="1" x14ac:dyDescent="0.25">
      <c r="A231" s="344"/>
      <c r="B231" s="344"/>
      <c r="C231" s="344"/>
      <c r="D231" s="344"/>
      <c r="E231" s="344"/>
      <c r="F231" s="344"/>
      <c r="G231" s="344"/>
      <c r="H231" s="344"/>
      <c r="I231" s="344"/>
      <c r="J231" s="344"/>
      <c r="K231" s="344"/>
      <c r="L231" s="344"/>
      <c r="M231" s="344"/>
      <c r="N231" s="344"/>
      <c r="O231" s="344"/>
      <c r="P231" s="344"/>
      <c r="Q231" s="344"/>
      <c r="R231" s="344"/>
      <c r="S231" s="344"/>
      <c r="T231" s="344"/>
      <c r="U231" s="344"/>
      <c r="V231" s="344"/>
      <c r="W231" s="344"/>
      <c r="X231" s="344"/>
      <c r="Y231" s="344"/>
    </row>
    <row r="232" spans="1:25" ht="14.25" customHeight="1" x14ac:dyDescent="0.25">
      <c r="A232" s="344"/>
      <c r="B232" s="344"/>
      <c r="C232" s="344"/>
      <c r="D232" s="344"/>
      <c r="E232" s="344"/>
      <c r="F232" s="344"/>
      <c r="G232" s="344"/>
      <c r="H232" s="344"/>
      <c r="I232" s="344"/>
      <c r="J232" s="344"/>
      <c r="K232" s="344"/>
      <c r="L232" s="344"/>
      <c r="M232" s="344"/>
      <c r="N232" s="344"/>
      <c r="O232" s="344"/>
      <c r="P232" s="344"/>
      <c r="Q232" s="344"/>
      <c r="R232" s="344"/>
      <c r="S232" s="344"/>
      <c r="T232" s="344"/>
      <c r="U232" s="344"/>
      <c r="V232" s="344"/>
      <c r="W232" s="344"/>
      <c r="X232" s="344"/>
      <c r="Y232" s="344"/>
    </row>
    <row r="233" spans="1:25" ht="14.25" customHeight="1" x14ac:dyDescent="0.25">
      <c r="A233" s="344"/>
      <c r="B233" s="344"/>
      <c r="C233" s="344"/>
      <c r="D233" s="344"/>
      <c r="E233" s="344"/>
      <c r="F233" s="344"/>
      <c r="G233" s="344"/>
      <c r="H233" s="344"/>
      <c r="I233" s="344"/>
      <c r="J233" s="344"/>
      <c r="K233" s="344"/>
      <c r="L233" s="344"/>
      <c r="M233" s="344"/>
      <c r="N233" s="344"/>
      <c r="O233" s="344"/>
      <c r="P233" s="344"/>
      <c r="Q233" s="344"/>
      <c r="R233" s="344"/>
      <c r="S233" s="344"/>
      <c r="T233" s="344"/>
      <c r="U233" s="344"/>
      <c r="V233" s="344"/>
      <c r="W233" s="344"/>
      <c r="X233" s="344"/>
      <c r="Y233" s="344"/>
    </row>
    <row r="234" spans="1:25" ht="14.25" customHeight="1" x14ac:dyDescent="0.25">
      <c r="A234" s="344"/>
      <c r="B234" s="344"/>
      <c r="C234" s="344"/>
      <c r="D234" s="344"/>
      <c r="E234" s="344"/>
      <c r="F234" s="344"/>
      <c r="G234" s="344"/>
      <c r="H234" s="344"/>
      <c r="I234" s="344"/>
      <c r="J234" s="344"/>
      <c r="K234" s="344"/>
      <c r="L234" s="344"/>
      <c r="M234" s="344"/>
      <c r="N234" s="344"/>
      <c r="O234" s="344"/>
      <c r="P234" s="344"/>
      <c r="Q234" s="344"/>
      <c r="R234" s="344"/>
      <c r="S234" s="344"/>
      <c r="T234" s="344"/>
      <c r="U234" s="344"/>
      <c r="V234" s="344"/>
      <c r="W234" s="344"/>
      <c r="X234" s="344"/>
      <c r="Y234" s="344"/>
    </row>
    <row r="235" spans="1:25" ht="14.25" customHeight="1" x14ac:dyDescent="0.25">
      <c r="A235" s="344"/>
      <c r="B235" s="344"/>
      <c r="C235" s="344"/>
      <c r="D235" s="344"/>
      <c r="E235" s="344"/>
      <c r="F235" s="344"/>
      <c r="G235" s="344"/>
      <c r="H235" s="344"/>
      <c r="I235" s="344"/>
      <c r="J235" s="344"/>
      <c r="K235" s="344"/>
      <c r="L235" s="344"/>
      <c r="M235" s="344"/>
      <c r="N235" s="344"/>
      <c r="O235" s="344"/>
      <c r="P235" s="344"/>
      <c r="Q235" s="344"/>
      <c r="R235" s="344"/>
      <c r="S235" s="344"/>
      <c r="T235" s="344"/>
      <c r="U235" s="344"/>
      <c r="V235" s="344"/>
      <c r="W235" s="344"/>
      <c r="X235" s="344"/>
      <c r="Y235" s="344"/>
    </row>
    <row r="236" spans="1:25" ht="14.25" customHeight="1" x14ac:dyDescent="0.25">
      <c r="A236" s="344"/>
      <c r="B236" s="344"/>
      <c r="C236" s="344"/>
      <c r="D236" s="344"/>
      <c r="E236" s="344"/>
      <c r="F236" s="344"/>
      <c r="G236" s="344"/>
      <c r="H236" s="344"/>
      <c r="I236" s="344"/>
      <c r="J236" s="344"/>
      <c r="K236" s="344"/>
      <c r="L236" s="344"/>
      <c r="M236" s="344"/>
      <c r="N236" s="344"/>
      <c r="O236" s="344"/>
      <c r="P236" s="344"/>
      <c r="Q236" s="344"/>
      <c r="R236" s="344"/>
      <c r="S236" s="344"/>
      <c r="T236" s="344"/>
      <c r="U236" s="344"/>
      <c r="V236" s="344"/>
      <c r="W236" s="344"/>
      <c r="X236" s="344"/>
      <c r="Y236" s="344"/>
    </row>
    <row r="237" spans="1:25" ht="14.25" customHeight="1" x14ac:dyDescent="0.25">
      <c r="A237" s="344"/>
      <c r="B237" s="344"/>
      <c r="C237" s="344"/>
      <c r="D237" s="344"/>
      <c r="E237" s="344"/>
      <c r="F237" s="344"/>
      <c r="G237" s="344"/>
      <c r="H237" s="344"/>
      <c r="I237" s="344"/>
      <c r="J237" s="344"/>
      <c r="K237" s="344"/>
      <c r="L237" s="344"/>
      <c r="M237" s="344"/>
      <c r="N237" s="344"/>
      <c r="O237" s="344"/>
      <c r="P237" s="344"/>
      <c r="Q237" s="344"/>
      <c r="R237" s="344"/>
      <c r="S237" s="344"/>
      <c r="T237" s="344"/>
      <c r="U237" s="344"/>
      <c r="V237" s="344"/>
      <c r="W237" s="344"/>
      <c r="X237" s="344"/>
      <c r="Y237" s="344"/>
    </row>
    <row r="238" spans="1:25" ht="14.25" customHeight="1" x14ac:dyDescent="0.25">
      <c r="A238" s="344"/>
      <c r="B238" s="344"/>
      <c r="C238" s="344"/>
      <c r="D238" s="344"/>
      <c r="E238" s="344"/>
      <c r="F238" s="344"/>
      <c r="G238" s="344"/>
      <c r="H238" s="344"/>
      <c r="I238" s="344"/>
      <c r="J238" s="344"/>
      <c r="K238" s="344"/>
      <c r="L238" s="344"/>
      <c r="M238" s="344"/>
      <c r="N238" s="344"/>
      <c r="O238" s="344"/>
      <c r="P238" s="344"/>
      <c r="Q238" s="344"/>
      <c r="R238" s="344"/>
      <c r="S238" s="344"/>
      <c r="T238" s="344"/>
      <c r="U238" s="344"/>
      <c r="V238" s="344"/>
      <c r="W238" s="344"/>
      <c r="X238" s="344"/>
      <c r="Y238" s="344"/>
    </row>
    <row r="239" spans="1:25" ht="15.75" customHeight="1" x14ac:dyDescent="0.25"/>
    <row r="240" spans="1:25"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3">
    <mergeCell ref="A101:B101"/>
    <mergeCell ref="A102:B102"/>
    <mergeCell ref="A77:A81"/>
    <mergeCell ref="B77:B81"/>
    <mergeCell ref="A83:A84"/>
    <mergeCell ref="B83:B84"/>
    <mergeCell ref="A88:A89"/>
    <mergeCell ref="B88:B89"/>
    <mergeCell ref="A96:B96"/>
    <mergeCell ref="A63:A64"/>
    <mergeCell ref="B63:B64"/>
    <mergeCell ref="A65:A76"/>
    <mergeCell ref="B65:B76"/>
    <mergeCell ref="A97:B97"/>
    <mergeCell ref="E42:E43"/>
    <mergeCell ref="E45:E46"/>
    <mergeCell ref="A26:A51"/>
    <mergeCell ref="A53:A58"/>
    <mergeCell ref="B53:B58"/>
    <mergeCell ref="A18:A21"/>
    <mergeCell ref="B18:B21"/>
    <mergeCell ref="C45:C46"/>
    <mergeCell ref="D45:D46"/>
    <mergeCell ref="A22:A25"/>
    <mergeCell ref="B22:B25"/>
    <mergeCell ref="B26:B51"/>
    <mergeCell ref="C42:C43"/>
    <mergeCell ref="D42:D43"/>
    <mergeCell ref="A12:B12"/>
    <mergeCell ref="D12:E12"/>
    <mergeCell ref="A13:B17"/>
    <mergeCell ref="C13:C17"/>
    <mergeCell ref="D13:E15"/>
  </mergeCells>
  <pageMargins left="0.7" right="0.7" top="0.75" bottom="0.75" header="0" footer="0"/>
  <pageSetup paperSize="14" orientation="landscape"/>
  <rowBreaks count="3" manualBreakCount="3">
    <brk id="49" man="1"/>
    <brk id="68" man="1"/>
    <brk id="29" man="1"/>
  </rowBreaks>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0000"/>
  </sheetPr>
  <dimension ref="A1:V1000"/>
  <sheetViews>
    <sheetView workbookViewId="0"/>
  </sheetViews>
  <sheetFormatPr defaultColWidth="12.59765625" defaultRowHeight="15" customHeight="1" x14ac:dyDescent="0.25"/>
  <cols>
    <col min="1" max="6" width="9" customWidth="1"/>
    <col min="7" max="22" width="8.59765625" customWidth="1"/>
  </cols>
  <sheetData>
    <row r="1" spans="1:22" ht="14.25" customHeight="1" x14ac:dyDescent="0.25">
      <c r="A1" s="361" t="s">
        <v>2961</v>
      </c>
      <c r="B1" s="29"/>
      <c r="C1" s="29"/>
      <c r="D1" s="29"/>
      <c r="E1" s="29"/>
      <c r="F1" s="29"/>
      <c r="G1" s="29"/>
      <c r="H1" s="29"/>
      <c r="I1" s="29"/>
      <c r="J1" s="29"/>
      <c r="K1" s="29"/>
      <c r="L1" s="29"/>
      <c r="M1" s="29"/>
      <c r="N1" s="29"/>
      <c r="O1" s="29"/>
      <c r="P1" s="29"/>
      <c r="Q1" s="29"/>
      <c r="R1" s="29"/>
      <c r="S1" s="29"/>
      <c r="T1" s="29"/>
      <c r="U1" s="29"/>
      <c r="V1" s="29"/>
    </row>
    <row r="2" spans="1:22" ht="14.25" customHeight="1" x14ac:dyDescent="0.25">
      <c r="A2" s="29"/>
      <c r="B2" s="29"/>
      <c r="C2" s="29"/>
      <c r="D2" s="29"/>
      <c r="E2" s="29"/>
      <c r="F2" s="29"/>
      <c r="G2" s="29"/>
      <c r="H2" s="29"/>
      <c r="I2" s="29"/>
      <c r="J2" s="29"/>
      <c r="K2" s="29"/>
      <c r="L2" s="29"/>
      <c r="M2" s="29"/>
      <c r="N2" s="29"/>
      <c r="O2" s="29"/>
      <c r="P2" s="29"/>
      <c r="Q2" s="29"/>
      <c r="R2" s="29"/>
      <c r="S2" s="29"/>
      <c r="T2" s="29"/>
      <c r="U2" s="29"/>
      <c r="V2" s="29"/>
    </row>
    <row r="3" spans="1:22" ht="14.25" customHeight="1" x14ac:dyDescent="0.25">
      <c r="A3" s="154" t="s">
        <v>203</v>
      </c>
      <c r="B3" s="154" t="s">
        <v>2962</v>
      </c>
      <c r="C3" s="29"/>
      <c r="D3" s="29"/>
      <c r="E3" s="29"/>
      <c r="F3" s="29"/>
      <c r="G3" s="29"/>
      <c r="H3" s="29"/>
      <c r="I3" s="29"/>
      <c r="J3" s="29"/>
      <c r="K3" s="29"/>
      <c r="L3" s="29"/>
      <c r="M3" s="29"/>
      <c r="N3" s="29"/>
      <c r="O3" s="29"/>
      <c r="P3" s="29"/>
      <c r="Q3" s="29"/>
      <c r="R3" s="29"/>
      <c r="S3" s="29"/>
      <c r="T3" s="29"/>
      <c r="U3" s="29"/>
      <c r="V3" s="29"/>
    </row>
    <row r="4" spans="1:22" ht="14.25" customHeight="1" x14ac:dyDescent="0.25">
      <c r="A4" s="154" t="s">
        <v>247</v>
      </c>
      <c r="B4" s="154" t="s">
        <v>2963</v>
      </c>
      <c r="C4" s="29"/>
      <c r="D4" s="29"/>
      <c r="E4" s="29"/>
      <c r="F4" s="29"/>
      <c r="G4" s="29"/>
      <c r="H4" s="29"/>
      <c r="I4" s="29"/>
      <c r="J4" s="29"/>
      <c r="K4" s="29"/>
      <c r="L4" s="29"/>
      <c r="M4" s="29"/>
      <c r="N4" s="29"/>
      <c r="O4" s="29"/>
      <c r="P4" s="29"/>
      <c r="Q4" s="29"/>
      <c r="R4" s="29"/>
      <c r="S4" s="29"/>
      <c r="T4" s="29"/>
      <c r="U4" s="29"/>
      <c r="V4" s="29"/>
    </row>
    <row r="5" spans="1:22" ht="14.25" customHeight="1" x14ac:dyDescent="0.25">
      <c r="A5" s="154" t="s">
        <v>208</v>
      </c>
      <c r="B5" s="29"/>
      <c r="C5" s="29"/>
      <c r="D5" s="29"/>
      <c r="E5" s="29"/>
      <c r="F5" s="29"/>
      <c r="G5" s="29"/>
      <c r="H5" s="29"/>
      <c r="I5" s="29"/>
      <c r="J5" s="29"/>
      <c r="K5" s="29"/>
      <c r="L5" s="29"/>
      <c r="M5" s="29"/>
      <c r="N5" s="29"/>
      <c r="O5" s="29"/>
      <c r="P5" s="29"/>
      <c r="Q5" s="29"/>
      <c r="R5" s="29"/>
      <c r="S5" s="29"/>
      <c r="T5" s="29"/>
      <c r="U5" s="29"/>
      <c r="V5" s="29"/>
    </row>
    <row r="6" spans="1:22" ht="14.25" customHeight="1" x14ac:dyDescent="0.25">
      <c r="A6" s="29"/>
      <c r="B6" s="29"/>
      <c r="C6" s="29"/>
      <c r="D6" s="29"/>
      <c r="E6" s="29"/>
      <c r="F6" s="29"/>
      <c r="G6" s="29"/>
      <c r="H6" s="29"/>
      <c r="I6" s="29"/>
      <c r="J6" s="29"/>
      <c r="K6" s="29"/>
      <c r="L6" s="29"/>
      <c r="M6" s="29"/>
      <c r="N6" s="29"/>
      <c r="O6" s="29"/>
      <c r="P6" s="29"/>
      <c r="Q6" s="29"/>
      <c r="R6" s="29"/>
      <c r="S6" s="29"/>
      <c r="T6" s="29"/>
      <c r="U6" s="29"/>
      <c r="V6" s="29"/>
    </row>
    <row r="7" spans="1:22" ht="14.25" customHeight="1" x14ac:dyDescent="0.25">
      <c r="A7" s="154" t="s">
        <v>2964</v>
      </c>
      <c r="B7" s="29"/>
      <c r="C7" s="29"/>
      <c r="D7" s="29"/>
      <c r="E7" s="29"/>
      <c r="F7" s="29"/>
      <c r="G7" s="29"/>
      <c r="H7" s="29"/>
      <c r="I7" s="29"/>
      <c r="J7" s="29"/>
      <c r="K7" s="29"/>
      <c r="L7" s="29"/>
      <c r="M7" s="29"/>
      <c r="N7" s="29"/>
      <c r="O7" s="29"/>
      <c r="P7" s="29"/>
      <c r="Q7" s="29"/>
      <c r="R7" s="29"/>
      <c r="S7" s="29"/>
      <c r="T7" s="29"/>
      <c r="U7" s="29"/>
      <c r="V7" s="29"/>
    </row>
    <row r="8" spans="1:22" ht="14.25" customHeight="1" x14ac:dyDescent="0.25">
      <c r="A8" s="154" t="s">
        <v>2965</v>
      </c>
      <c r="B8" s="29"/>
      <c r="C8" s="29"/>
      <c r="D8" s="29"/>
      <c r="E8" s="29"/>
      <c r="F8" s="29"/>
      <c r="G8" s="29"/>
      <c r="H8" s="29"/>
      <c r="I8" s="29"/>
      <c r="J8" s="29"/>
      <c r="K8" s="29"/>
      <c r="L8" s="29"/>
      <c r="M8" s="29"/>
      <c r="N8" s="29"/>
      <c r="O8" s="29"/>
      <c r="P8" s="29"/>
      <c r="Q8" s="29"/>
      <c r="R8" s="29"/>
      <c r="S8" s="29"/>
      <c r="T8" s="29"/>
      <c r="U8" s="29"/>
      <c r="V8" s="29"/>
    </row>
    <row r="9" spans="1:22" ht="14.25" customHeight="1" x14ac:dyDescent="0.25">
      <c r="A9" s="154" t="s">
        <v>2966</v>
      </c>
      <c r="B9" s="29"/>
      <c r="C9" s="29"/>
      <c r="D9" s="29"/>
      <c r="E9" s="29"/>
      <c r="F9" s="29"/>
      <c r="G9" s="29"/>
      <c r="H9" s="29"/>
      <c r="I9" s="29"/>
      <c r="J9" s="29"/>
      <c r="K9" s="29"/>
      <c r="L9" s="29"/>
      <c r="M9" s="29"/>
      <c r="N9" s="29"/>
      <c r="O9" s="29"/>
      <c r="P9" s="29"/>
      <c r="Q9" s="29"/>
      <c r="R9" s="29"/>
      <c r="S9" s="29"/>
      <c r="T9" s="29"/>
      <c r="U9" s="29"/>
      <c r="V9" s="29"/>
    </row>
    <row r="10" spans="1:22" ht="14.25" customHeight="1" x14ac:dyDescent="0.25">
      <c r="A10" s="154" t="s">
        <v>2967</v>
      </c>
      <c r="B10" s="29"/>
      <c r="C10" s="29"/>
      <c r="D10" s="29"/>
      <c r="E10" s="29"/>
      <c r="F10" s="29"/>
      <c r="G10" s="29"/>
      <c r="H10" s="29"/>
      <c r="I10" s="29"/>
      <c r="J10" s="29"/>
      <c r="K10" s="29"/>
      <c r="L10" s="29"/>
      <c r="M10" s="29"/>
      <c r="N10" s="29"/>
      <c r="O10" s="29"/>
      <c r="P10" s="29"/>
      <c r="Q10" s="29"/>
      <c r="R10" s="29"/>
      <c r="S10" s="29"/>
      <c r="T10" s="29"/>
      <c r="U10" s="29"/>
      <c r="V10" s="29"/>
    </row>
    <row r="11" spans="1:22" ht="14.25" customHeight="1" x14ac:dyDescent="0.25">
      <c r="A11" s="154" t="s">
        <v>2968</v>
      </c>
      <c r="B11" s="29"/>
      <c r="C11" s="29"/>
      <c r="D11" s="29"/>
      <c r="E11" s="29"/>
      <c r="F11" s="29"/>
      <c r="G11" s="29"/>
      <c r="H11" s="29"/>
      <c r="I11" s="29"/>
      <c r="J11" s="29"/>
      <c r="K11" s="29"/>
      <c r="L11" s="29"/>
      <c r="M11" s="29"/>
      <c r="N11" s="29"/>
      <c r="O11" s="29"/>
      <c r="P11" s="29"/>
      <c r="Q11" s="29"/>
      <c r="R11" s="29"/>
      <c r="S11" s="29"/>
      <c r="T11" s="29"/>
      <c r="U11" s="29"/>
      <c r="V11" s="29"/>
    </row>
    <row r="12" spans="1:22" ht="14.25" customHeight="1" x14ac:dyDescent="0.25">
      <c r="A12" s="29"/>
      <c r="B12" s="29"/>
      <c r="C12" s="29"/>
      <c r="D12" s="29"/>
      <c r="E12" s="29"/>
      <c r="F12" s="29"/>
      <c r="G12" s="29"/>
      <c r="H12" s="29"/>
      <c r="I12" s="29"/>
      <c r="J12" s="29"/>
      <c r="K12" s="29"/>
      <c r="L12" s="29"/>
      <c r="M12" s="29"/>
      <c r="N12" s="29"/>
      <c r="O12" s="29"/>
      <c r="P12" s="29"/>
      <c r="Q12" s="29"/>
      <c r="R12" s="29"/>
      <c r="S12" s="29"/>
      <c r="T12" s="29"/>
      <c r="U12" s="29"/>
      <c r="V12" s="29"/>
    </row>
    <row r="13" spans="1:22" ht="14.25" customHeight="1" x14ac:dyDescent="0.25">
      <c r="A13" s="154" t="s">
        <v>136</v>
      </c>
      <c r="B13" s="29"/>
      <c r="C13" s="29"/>
      <c r="D13" s="29"/>
      <c r="E13" s="29"/>
      <c r="F13" s="29"/>
      <c r="G13" s="29"/>
      <c r="H13" s="29"/>
      <c r="I13" s="29"/>
      <c r="J13" s="29"/>
      <c r="K13" s="29"/>
      <c r="L13" s="29"/>
      <c r="M13" s="29"/>
      <c r="N13" s="29"/>
      <c r="O13" s="29"/>
      <c r="P13" s="29"/>
      <c r="Q13" s="29"/>
      <c r="R13" s="29"/>
      <c r="S13" s="29"/>
      <c r="T13" s="29"/>
      <c r="U13" s="29"/>
      <c r="V13" s="29"/>
    </row>
    <row r="14" spans="1:22" ht="14.25" customHeight="1" x14ac:dyDescent="0.25">
      <c r="A14" s="154" t="s">
        <v>2969</v>
      </c>
      <c r="B14" s="29"/>
      <c r="C14" s="29"/>
      <c r="D14" s="29"/>
      <c r="E14" s="29"/>
      <c r="F14" s="29"/>
      <c r="G14" s="29"/>
      <c r="H14" s="29"/>
      <c r="I14" s="29"/>
      <c r="J14" s="29"/>
      <c r="K14" s="29"/>
      <c r="L14" s="29"/>
      <c r="M14" s="29"/>
      <c r="N14" s="29"/>
      <c r="O14" s="29"/>
      <c r="P14" s="29"/>
      <c r="Q14" s="29"/>
      <c r="R14" s="29"/>
      <c r="S14" s="29"/>
      <c r="T14" s="29"/>
      <c r="U14" s="29"/>
      <c r="V14" s="29"/>
    </row>
    <row r="15" spans="1:22" ht="14.25" customHeight="1" x14ac:dyDescent="0.25">
      <c r="A15" s="29"/>
      <c r="B15" s="29"/>
      <c r="C15" s="29"/>
      <c r="D15" s="29"/>
      <c r="E15" s="29"/>
      <c r="F15" s="29"/>
      <c r="G15" s="29"/>
      <c r="H15" s="29"/>
      <c r="I15" s="29"/>
      <c r="J15" s="29"/>
      <c r="K15" s="29"/>
      <c r="L15" s="29"/>
      <c r="M15" s="29"/>
      <c r="N15" s="29"/>
      <c r="O15" s="29"/>
      <c r="P15" s="29"/>
      <c r="Q15" s="29"/>
      <c r="R15" s="29"/>
      <c r="S15" s="29"/>
      <c r="T15" s="29"/>
      <c r="U15" s="29"/>
      <c r="V15" s="29"/>
    </row>
    <row r="16" spans="1:22" ht="14.25" customHeight="1" x14ac:dyDescent="0.25">
      <c r="A16" s="29"/>
      <c r="B16" s="29"/>
      <c r="C16" s="29"/>
      <c r="D16" s="29"/>
      <c r="E16" s="29"/>
      <c r="F16" s="29"/>
      <c r="G16" s="29"/>
      <c r="H16" s="29"/>
      <c r="I16" s="29"/>
      <c r="J16" s="29"/>
      <c r="K16" s="29"/>
      <c r="L16" s="29"/>
      <c r="M16" s="29"/>
      <c r="N16" s="29"/>
      <c r="O16" s="29"/>
      <c r="P16" s="29"/>
      <c r="Q16" s="29"/>
      <c r="R16" s="29"/>
      <c r="S16" s="29"/>
      <c r="T16" s="29"/>
      <c r="U16" s="29"/>
      <c r="V16" s="29"/>
    </row>
    <row r="17" spans="1:22" ht="14.25" customHeight="1" x14ac:dyDescent="0.25">
      <c r="A17" s="29"/>
      <c r="B17" s="29"/>
      <c r="C17" s="29"/>
      <c r="D17" s="29"/>
      <c r="E17" s="29"/>
      <c r="F17" s="29"/>
      <c r="G17" s="29"/>
      <c r="H17" s="29"/>
      <c r="I17" s="29"/>
      <c r="J17" s="29"/>
      <c r="K17" s="29"/>
      <c r="L17" s="29"/>
      <c r="M17" s="29"/>
      <c r="N17" s="29"/>
      <c r="O17" s="29"/>
      <c r="P17" s="29"/>
      <c r="Q17" s="29"/>
      <c r="R17" s="29"/>
      <c r="S17" s="29"/>
      <c r="T17" s="29"/>
      <c r="U17" s="29"/>
      <c r="V17" s="29"/>
    </row>
    <row r="18" spans="1:22" ht="14.25" customHeight="1" x14ac:dyDescent="0.25">
      <c r="A18" s="361" t="s">
        <v>2970</v>
      </c>
      <c r="B18" s="29"/>
      <c r="C18" s="29"/>
      <c r="D18" s="29"/>
      <c r="E18" s="29"/>
      <c r="F18" s="29"/>
      <c r="G18" s="29"/>
      <c r="H18" s="29"/>
      <c r="I18" s="29"/>
      <c r="J18" s="29"/>
      <c r="K18" s="29"/>
      <c r="L18" s="29"/>
      <c r="M18" s="29"/>
      <c r="N18" s="29"/>
      <c r="O18" s="29"/>
      <c r="P18" s="29"/>
      <c r="Q18" s="29"/>
      <c r="R18" s="29"/>
      <c r="S18" s="29"/>
      <c r="T18" s="29"/>
      <c r="U18" s="29"/>
      <c r="V18" s="29"/>
    </row>
    <row r="19" spans="1:22" ht="14.25" customHeight="1" x14ac:dyDescent="0.25">
      <c r="A19" s="29"/>
      <c r="B19" s="29"/>
      <c r="C19" s="29"/>
      <c r="D19" s="29"/>
      <c r="E19" s="29"/>
      <c r="F19" s="29"/>
      <c r="G19" s="29"/>
      <c r="H19" s="29"/>
      <c r="I19" s="29"/>
      <c r="J19" s="29"/>
      <c r="K19" s="29"/>
      <c r="L19" s="29"/>
      <c r="M19" s="29"/>
      <c r="N19" s="29"/>
      <c r="O19" s="29"/>
      <c r="P19" s="29"/>
      <c r="Q19" s="29"/>
      <c r="R19" s="29"/>
      <c r="S19" s="29"/>
      <c r="T19" s="29"/>
      <c r="U19" s="29"/>
      <c r="V19" s="29"/>
    </row>
    <row r="20" spans="1:22" ht="14.25" customHeight="1" x14ac:dyDescent="0.25">
      <c r="A20" s="154" t="s">
        <v>2971</v>
      </c>
      <c r="B20" s="29"/>
      <c r="C20" s="29"/>
      <c r="D20" s="29"/>
      <c r="E20" s="29"/>
      <c r="F20" s="29"/>
      <c r="G20" s="29"/>
      <c r="H20" s="29"/>
      <c r="I20" s="29"/>
      <c r="J20" s="29"/>
      <c r="K20" s="29"/>
      <c r="L20" s="29"/>
      <c r="M20" s="29"/>
      <c r="N20" s="29"/>
      <c r="O20" s="29"/>
      <c r="P20" s="29"/>
      <c r="Q20" s="29"/>
      <c r="R20" s="29"/>
      <c r="S20" s="29"/>
      <c r="T20" s="29"/>
      <c r="U20" s="29"/>
      <c r="V20" s="29"/>
    </row>
    <row r="21" spans="1:22" ht="14.25" customHeight="1" x14ac:dyDescent="0.25">
      <c r="A21" s="154" t="s">
        <v>2972</v>
      </c>
      <c r="B21" s="29"/>
      <c r="C21" s="29"/>
      <c r="D21" s="29"/>
      <c r="E21" s="29"/>
      <c r="F21" s="29"/>
      <c r="G21" s="29"/>
      <c r="H21" s="29"/>
      <c r="I21" s="29"/>
      <c r="J21" s="29"/>
      <c r="K21" s="29"/>
      <c r="L21" s="29"/>
      <c r="M21" s="29"/>
      <c r="N21" s="29"/>
      <c r="O21" s="29"/>
      <c r="P21" s="29"/>
      <c r="Q21" s="29"/>
      <c r="R21" s="29"/>
      <c r="S21" s="29"/>
      <c r="T21" s="29"/>
      <c r="U21" s="29"/>
      <c r="V21" s="29"/>
    </row>
    <row r="22" spans="1:22" ht="14.25" customHeight="1" x14ac:dyDescent="0.25">
      <c r="A22" s="29"/>
      <c r="B22" s="29"/>
      <c r="C22" s="29"/>
      <c r="D22" s="29"/>
      <c r="E22" s="29"/>
      <c r="F22" s="29"/>
      <c r="G22" s="29"/>
      <c r="H22" s="29"/>
      <c r="I22" s="29"/>
      <c r="J22" s="29"/>
      <c r="K22" s="29"/>
      <c r="L22" s="29"/>
      <c r="M22" s="29"/>
      <c r="N22" s="29"/>
      <c r="O22" s="29"/>
      <c r="P22" s="29"/>
      <c r="Q22" s="29"/>
      <c r="R22" s="29"/>
      <c r="S22" s="29"/>
      <c r="T22" s="29"/>
      <c r="U22" s="29"/>
      <c r="V22" s="29"/>
    </row>
    <row r="23" spans="1:22" ht="14.25" customHeight="1" x14ac:dyDescent="0.25">
      <c r="A23" s="29"/>
      <c r="B23" s="29"/>
      <c r="C23" s="29"/>
      <c r="D23" s="29"/>
      <c r="E23" s="29"/>
      <c r="F23" s="29"/>
      <c r="G23" s="29"/>
      <c r="H23" s="29"/>
      <c r="I23" s="29"/>
      <c r="J23" s="29"/>
      <c r="K23" s="29"/>
      <c r="L23" s="29"/>
      <c r="M23" s="29"/>
      <c r="N23" s="29"/>
      <c r="O23" s="29"/>
      <c r="P23" s="29"/>
      <c r="Q23" s="29"/>
      <c r="R23" s="29"/>
      <c r="S23" s="29"/>
      <c r="T23" s="29"/>
      <c r="U23" s="29"/>
      <c r="V23" s="29"/>
    </row>
    <row r="24" spans="1:22" ht="14.25" customHeight="1" x14ac:dyDescent="0.25">
      <c r="A24" s="361" t="s">
        <v>2973</v>
      </c>
      <c r="B24" s="29"/>
      <c r="C24" s="29"/>
      <c r="D24" s="29"/>
      <c r="E24" s="29"/>
      <c r="F24" s="29"/>
      <c r="G24" s="29"/>
      <c r="H24" s="29"/>
      <c r="I24" s="29"/>
      <c r="J24" s="29"/>
      <c r="K24" s="29"/>
      <c r="L24" s="29"/>
      <c r="M24" s="29"/>
      <c r="N24" s="29"/>
      <c r="O24" s="29"/>
      <c r="P24" s="29"/>
      <c r="Q24" s="29"/>
      <c r="R24" s="29"/>
      <c r="S24" s="29"/>
      <c r="T24" s="29"/>
      <c r="U24" s="29"/>
      <c r="V24" s="29"/>
    </row>
    <row r="25" spans="1:22" ht="14.25" customHeight="1" x14ac:dyDescent="0.25">
      <c r="A25" s="29"/>
      <c r="B25" s="29"/>
      <c r="C25" s="29"/>
      <c r="D25" s="29"/>
      <c r="E25" s="29"/>
      <c r="F25" s="29"/>
      <c r="G25" s="29"/>
      <c r="H25" s="29"/>
      <c r="I25" s="29"/>
      <c r="J25" s="29"/>
      <c r="K25" s="29"/>
      <c r="L25" s="29"/>
      <c r="M25" s="29"/>
      <c r="N25" s="29"/>
      <c r="O25" s="29"/>
      <c r="P25" s="29"/>
      <c r="Q25" s="29"/>
      <c r="R25" s="29"/>
      <c r="S25" s="29"/>
      <c r="T25" s="29"/>
      <c r="U25" s="29"/>
      <c r="V25" s="29"/>
    </row>
    <row r="26" spans="1:22" ht="14.25" customHeight="1" x14ac:dyDescent="0.25">
      <c r="A26" s="154" t="s">
        <v>2421</v>
      </c>
      <c r="B26" s="154" t="s">
        <v>2974</v>
      </c>
      <c r="C26" s="29"/>
      <c r="D26" s="29"/>
      <c r="E26" s="29"/>
      <c r="F26" s="29"/>
      <c r="G26" s="29"/>
      <c r="H26" s="29"/>
      <c r="I26" s="29"/>
      <c r="J26" s="29"/>
      <c r="K26" s="29"/>
      <c r="L26" s="29"/>
      <c r="M26" s="29"/>
      <c r="N26" s="29"/>
      <c r="O26" s="29"/>
      <c r="P26" s="29"/>
      <c r="Q26" s="29"/>
      <c r="R26" s="29"/>
      <c r="S26" s="29"/>
      <c r="T26" s="29"/>
      <c r="U26" s="29"/>
      <c r="V26" s="29"/>
    </row>
    <row r="27" spans="1:22" ht="14.25" customHeight="1" x14ac:dyDescent="0.25">
      <c r="A27" s="154" t="s">
        <v>2519</v>
      </c>
      <c r="B27" s="154" t="s">
        <v>2975</v>
      </c>
      <c r="C27" s="29"/>
      <c r="D27" s="29"/>
      <c r="E27" s="29"/>
      <c r="F27" s="29"/>
      <c r="G27" s="29"/>
      <c r="H27" s="29"/>
      <c r="I27" s="29"/>
      <c r="J27" s="29"/>
      <c r="K27" s="29"/>
      <c r="L27" s="29"/>
      <c r="M27" s="29"/>
      <c r="N27" s="29"/>
      <c r="O27" s="29"/>
      <c r="P27" s="29"/>
      <c r="Q27" s="29"/>
      <c r="R27" s="29"/>
      <c r="S27" s="29"/>
      <c r="T27" s="29"/>
      <c r="U27" s="29"/>
      <c r="V27" s="29"/>
    </row>
    <row r="28" spans="1:22" ht="14.25" customHeight="1" x14ac:dyDescent="0.25">
      <c r="A28" s="154" t="s">
        <v>2468</v>
      </c>
      <c r="B28" s="154" t="s">
        <v>2976</v>
      </c>
      <c r="C28" s="29"/>
      <c r="D28" s="29"/>
      <c r="E28" s="29"/>
      <c r="F28" s="29"/>
      <c r="G28" s="29"/>
      <c r="H28" s="29"/>
      <c r="I28" s="29"/>
      <c r="J28" s="29"/>
      <c r="K28" s="29"/>
      <c r="L28" s="29"/>
      <c r="M28" s="29"/>
      <c r="N28" s="29"/>
      <c r="O28" s="29"/>
      <c r="P28" s="29"/>
      <c r="Q28" s="29"/>
      <c r="R28" s="29"/>
      <c r="S28" s="29"/>
      <c r="T28" s="29"/>
      <c r="U28" s="29"/>
      <c r="V28" s="29"/>
    </row>
    <row r="29" spans="1:22" ht="14.25" customHeight="1" x14ac:dyDescent="0.25">
      <c r="A29" s="29"/>
      <c r="B29" s="29"/>
      <c r="C29" s="29"/>
      <c r="D29" s="29"/>
      <c r="E29" s="29"/>
      <c r="F29" s="29"/>
      <c r="G29" s="29"/>
      <c r="H29" s="29"/>
      <c r="I29" s="29"/>
      <c r="J29" s="29"/>
      <c r="K29" s="29"/>
      <c r="L29" s="29"/>
      <c r="M29" s="29"/>
      <c r="N29" s="29"/>
      <c r="O29" s="29"/>
      <c r="P29" s="29"/>
      <c r="Q29" s="29"/>
      <c r="R29" s="29"/>
      <c r="S29" s="29"/>
      <c r="T29" s="29"/>
      <c r="U29" s="29"/>
      <c r="V29" s="29"/>
    </row>
    <row r="30" spans="1:22" ht="14.25" customHeight="1" x14ac:dyDescent="0.25">
      <c r="A30" s="29"/>
      <c r="B30" s="29"/>
      <c r="C30" s="29"/>
      <c r="D30" s="29"/>
      <c r="E30" s="29"/>
      <c r="F30" s="29"/>
      <c r="G30" s="29"/>
      <c r="H30" s="29"/>
      <c r="I30" s="29"/>
      <c r="J30" s="29"/>
      <c r="K30" s="29"/>
      <c r="L30" s="29"/>
      <c r="M30" s="29"/>
      <c r="N30" s="29"/>
      <c r="O30" s="29"/>
      <c r="P30" s="29"/>
      <c r="Q30" s="29"/>
      <c r="R30" s="29"/>
      <c r="S30" s="29"/>
      <c r="T30" s="29"/>
      <c r="U30" s="29"/>
      <c r="V30" s="29"/>
    </row>
    <row r="31" spans="1:22" ht="14.25" customHeight="1" x14ac:dyDescent="0.25">
      <c r="A31" s="154" t="s">
        <v>2977</v>
      </c>
      <c r="B31" s="29"/>
      <c r="C31" s="29"/>
      <c r="D31" s="29"/>
      <c r="E31" s="29"/>
      <c r="F31" s="29"/>
      <c r="G31" s="29"/>
      <c r="H31" s="29"/>
      <c r="I31" s="29"/>
      <c r="J31" s="29"/>
      <c r="K31" s="29"/>
      <c r="L31" s="29"/>
      <c r="M31" s="29"/>
      <c r="N31" s="29"/>
      <c r="O31" s="29"/>
      <c r="P31" s="29"/>
      <c r="Q31" s="29"/>
      <c r="R31" s="29"/>
      <c r="S31" s="29"/>
      <c r="T31" s="29"/>
      <c r="U31" s="29"/>
      <c r="V31" s="29"/>
    </row>
    <row r="32" spans="1:22" ht="14.25" customHeight="1" x14ac:dyDescent="0.25">
      <c r="A32" s="154" t="s">
        <v>2978</v>
      </c>
      <c r="B32" s="29"/>
      <c r="C32" s="29"/>
      <c r="D32" s="29"/>
      <c r="E32" s="29"/>
      <c r="F32" s="29"/>
      <c r="G32" s="29"/>
      <c r="H32" s="29"/>
      <c r="I32" s="29"/>
      <c r="J32" s="29"/>
      <c r="K32" s="29"/>
      <c r="L32" s="29"/>
      <c r="M32" s="29"/>
      <c r="N32" s="29"/>
      <c r="O32" s="29"/>
      <c r="P32" s="29"/>
      <c r="Q32" s="29"/>
      <c r="R32" s="29"/>
      <c r="S32" s="29"/>
      <c r="T32" s="29"/>
      <c r="U32" s="29"/>
      <c r="V32" s="29"/>
    </row>
    <row r="33" spans="1:22" ht="14.25" customHeight="1" x14ac:dyDescent="0.25">
      <c r="A33" s="154" t="s">
        <v>2979</v>
      </c>
      <c r="B33" s="29"/>
      <c r="C33" s="29"/>
      <c r="D33" s="29"/>
      <c r="E33" s="29"/>
      <c r="F33" s="29"/>
      <c r="G33" s="29"/>
      <c r="H33" s="29"/>
      <c r="I33" s="29"/>
      <c r="J33" s="29"/>
      <c r="K33" s="29"/>
      <c r="L33" s="29"/>
      <c r="M33" s="29"/>
      <c r="N33" s="29"/>
      <c r="O33" s="29"/>
      <c r="P33" s="29"/>
      <c r="Q33" s="29"/>
      <c r="R33" s="29"/>
      <c r="S33" s="29"/>
      <c r="T33" s="29"/>
      <c r="U33" s="29"/>
      <c r="V33" s="29"/>
    </row>
    <row r="34" spans="1:22" ht="14.25" customHeight="1" x14ac:dyDescent="0.25">
      <c r="A34" s="154" t="s">
        <v>2980</v>
      </c>
      <c r="B34" s="29"/>
      <c r="C34" s="29"/>
      <c r="D34" s="29"/>
      <c r="E34" s="29"/>
      <c r="F34" s="29"/>
      <c r="G34" s="29"/>
      <c r="H34" s="29"/>
      <c r="I34" s="29"/>
      <c r="J34" s="29"/>
      <c r="K34" s="29"/>
      <c r="L34" s="29"/>
      <c r="M34" s="29"/>
      <c r="N34" s="29"/>
      <c r="O34" s="29"/>
      <c r="P34" s="29"/>
      <c r="Q34" s="29"/>
      <c r="R34" s="29"/>
      <c r="S34" s="29"/>
      <c r="T34" s="29"/>
      <c r="U34" s="29"/>
      <c r="V34" s="29"/>
    </row>
    <row r="35" spans="1:22" ht="14.25" customHeight="1" x14ac:dyDescent="0.25">
      <c r="A35" s="154" t="s">
        <v>2981</v>
      </c>
      <c r="B35" s="29"/>
      <c r="C35" s="29"/>
      <c r="D35" s="29"/>
      <c r="E35" s="29"/>
      <c r="F35" s="29"/>
      <c r="G35" s="29"/>
      <c r="H35" s="29"/>
      <c r="I35" s="29"/>
      <c r="J35" s="29"/>
      <c r="K35" s="29"/>
      <c r="L35" s="29"/>
      <c r="M35" s="29"/>
      <c r="N35" s="29"/>
      <c r="O35" s="29"/>
      <c r="P35" s="29"/>
      <c r="Q35" s="29"/>
      <c r="R35" s="29"/>
      <c r="S35" s="29"/>
      <c r="T35" s="29"/>
      <c r="U35" s="29"/>
      <c r="V35" s="29"/>
    </row>
    <row r="36" spans="1:22" ht="14.25" customHeight="1" x14ac:dyDescent="0.25">
      <c r="A36" s="29"/>
      <c r="B36" s="29"/>
      <c r="C36" s="29"/>
      <c r="D36" s="29"/>
      <c r="E36" s="29"/>
      <c r="F36" s="29"/>
      <c r="G36" s="29"/>
      <c r="H36" s="29"/>
      <c r="I36" s="29"/>
      <c r="J36" s="29"/>
      <c r="K36" s="29"/>
      <c r="L36" s="29"/>
      <c r="M36" s="29"/>
      <c r="N36" s="29"/>
      <c r="O36" s="29"/>
      <c r="P36" s="29"/>
      <c r="Q36" s="29"/>
      <c r="R36" s="29"/>
      <c r="S36" s="29"/>
      <c r="T36" s="29"/>
      <c r="U36" s="29"/>
      <c r="V36" s="29"/>
    </row>
    <row r="37" spans="1:22" ht="14.25" customHeight="1" x14ac:dyDescent="0.25">
      <c r="A37" s="361" t="s">
        <v>2982</v>
      </c>
      <c r="B37" s="29"/>
      <c r="C37" s="29"/>
      <c r="D37" s="29"/>
      <c r="E37" s="29"/>
      <c r="F37" s="29"/>
      <c r="G37" s="29"/>
      <c r="H37" s="29"/>
      <c r="I37" s="29"/>
      <c r="J37" s="29"/>
      <c r="K37" s="29"/>
      <c r="L37" s="29"/>
      <c r="M37" s="29"/>
      <c r="N37" s="29"/>
      <c r="O37" s="29"/>
      <c r="P37" s="29"/>
      <c r="Q37" s="29"/>
      <c r="R37" s="29"/>
      <c r="S37" s="29"/>
      <c r="T37" s="29"/>
      <c r="U37" s="29"/>
      <c r="V37" s="29"/>
    </row>
    <row r="38" spans="1:22" ht="14.25" customHeight="1" x14ac:dyDescent="0.25">
      <c r="A38" s="29"/>
      <c r="B38" s="29"/>
      <c r="C38" s="29"/>
      <c r="D38" s="29"/>
      <c r="E38" s="29"/>
      <c r="F38" s="29"/>
      <c r="G38" s="29"/>
      <c r="H38" s="29"/>
      <c r="I38" s="29"/>
      <c r="J38" s="29"/>
      <c r="K38" s="29"/>
      <c r="L38" s="29"/>
      <c r="M38" s="29"/>
      <c r="N38" s="29"/>
      <c r="O38" s="29"/>
      <c r="P38" s="29"/>
      <c r="Q38" s="29"/>
      <c r="R38" s="29"/>
      <c r="S38" s="29"/>
      <c r="T38" s="29"/>
      <c r="U38" s="29"/>
      <c r="V38" s="29"/>
    </row>
    <row r="39" spans="1:22" ht="14.25" customHeight="1" x14ac:dyDescent="0.25">
      <c r="A39" s="29" t="s">
        <v>2983</v>
      </c>
      <c r="B39" s="29"/>
      <c r="C39" s="29"/>
      <c r="D39" s="29"/>
      <c r="E39" s="29"/>
      <c r="F39" s="29"/>
      <c r="G39" s="29"/>
      <c r="H39" s="29"/>
      <c r="I39" s="29"/>
      <c r="J39" s="29"/>
      <c r="K39" s="29"/>
      <c r="L39" s="29"/>
      <c r="M39" s="29"/>
      <c r="N39" s="29"/>
      <c r="O39" s="29"/>
      <c r="P39" s="29"/>
      <c r="Q39" s="29"/>
      <c r="R39" s="29"/>
      <c r="S39" s="29"/>
      <c r="T39" s="29"/>
      <c r="U39" s="29"/>
      <c r="V39" s="29"/>
    </row>
    <row r="40" spans="1:22" ht="14.25" customHeight="1" x14ac:dyDescent="0.25">
      <c r="A40" s="29"/>
      <c r="B40" s="29"/>
      <c r="C40" s="29"/>
      <c r="D40" s="29"/>
      <c r="E40" s="29"/>
      <c r="F40" s="29"/>
      <c r="G40" s="29"/>
      <c r="H40" s="29"/>
      <c r="I40" s="29"/>
      <c r="J40" s="29"/>
      <c r="K40" s="29"/>
      <c r="L40" s="29"/>
      <c r="M40" s="29"/>
      <c r="N40" s="29"/>
      <c r="O40" s="29"/>
      <c r="P40" s="29"/>
      <c r="Q40" s="29"/>
      <c r="R40" s="29"/>
      <c r="S40" s="29"/>
      <c r="T40" s="29"/>
      <c r="U40" s="29"/>
      <c r="V40" s="29"/>
    </row>
    <row r="41" spans="1:22" ht="14.25" customHeight="1" x14ac:dyDescent="0.25">
      <c r="A41" s="362" t="s">
        <v>2984</v>
      </c>
      <c r="B41" s="363">
        <v>0.5</v>
      </c>
      <c r="C41" s="29"/>
      <c r="D41" s="29"/>
      <c r="E41" s="29"/>
      <c r="F41" s="29"/>
      <c r="G41" s="29"/>
      <c r="H41" s="29"/>
      <c r="I41" s="29"/>
      <c r="J41" s="29"/>
      <c r="K41" s="29"/>
      <c r="L41" s="29"/>
      <c r="M41" s="29"/>
      <c r="N41" s="29"/>
      <c r="O41" s="29"/>
      <c r="P41" s="29"/>
      <c r="Q41" s="29"/>
      <c r="R41" s="29"/>
      <c r="S41" s="29"/>
      <c r="T41" s="29"/>
      <c r="U41" s="29"/>
      <c r="V41" s="29"/>
    </row>
    <row r="42" spans="1:22" ht="14.25" customHeight="1" x14ac:dyDescent="0.25">
      <c r="A42" s="173">
        <v>1</v>
      </c>
      <c r="B42" s="363">
        <v>1</v>
      </c>
      <c r="C42" s="29"/>
      <c r="D42" s="29"/>
      <c r="E42" s="29"/>
      <c r="F42" s="29"/>
      <c r="G42" s="29"/>
      <c r="H42" s="29"/>
      <c r="I42" s="29"/>
      <c r="J42" s="29"/>
      <c r="K42" s="29"/>
      <c r="L42" s="29"/>
      <c r="M42" s="29"/>
      <c r="N42" s="29"/>
      <c r="O42" s="29"/>
      <c r="P42" s="29"/>
      <c r="Q42" s="29"/>
      <c r="R42" s="29"/>
      <c r="S42" s="29"/>
      <c r="T42" s="29"/>
      <c r="U42" s="29"/>
      <c r="V42" s="29"/>
    </row>
    <row r="43" spans="1:22" ht="14.25" customHeight="1" x14ac:dyDescent="0.25">
      <c r="A43" s="173">
        <v>1.25</v>
      </c>
      <c r="B43" s="363">
        <v>1.25</v>
      </c>
      <c r="C43" s="29"/>
      <c r="D43" s="29"/>
      <c r="E43" s="29"/>
      <c r="F43" s="29"/>
      <c r="G43" s="29"/>
      <c r="H43" s="29"/>
      <c r="I43" s="29"/>
      <c r="J43" s="29"/>
      <c r="K43" s="29"/>
      <c r="L43" s="29"/>
      <c r="M43" s="29"/>
      <c r="N43" s="29"/>
      <c r="O43" s="29"/>
      <c r="P43" s="29"/>
      <c r="Q43" s="29"/>
      <c r="R43" s="29"/>
      <c r="S43" s="29"/>
      <c r="T43" s="29"/>
      <c r="U43" s="29"/>
      <c r="V43" s="29"/>
    </row>
    <row r="44" spans="1:22" ht="14.25" customHeight="1" x14ac:dyDescent="0.25">
      <c r="A44" s="173">
        <v>1.5</v>
      </c>
      <c r="B44" s="363">
        <v>1.5</v>
      </c>
      <c r="C44" s="29"/>
      <c r="D44" s="29"/>
      <c r="E44" s="29"/>
      <c r="F44" s="29"/>
      <c r="G44" s="29"/>
      <c r="H44" s="29"/>
      <c r="I44" s="29"/>
      <c r="J44" s="29"/>
      <c r="K44" s="29"/>
      <c r="L44" s="29"/>
      <c r="M44" s="29"/>
      <c r="N44" s="29"/>
      <c r="O44" s="29"/>
      <c r="P44" s="29"/>
      <c r="Q44" s="29"/>
      <c r="R44" s="29"/>
      <c r="S44" s="29"/>
      <c r="T44" s="29"/>
      <c r="U44" s="29"/>
      <c r="V44" s="29"/>
    </row>
    <row r="45" spans="1:22" ht="14.25" customHeight="1" x14ac:dyDescent="0.25">
      <c r="A45" s="173">
        <v>2</v>
      </c>
      <c r="B45" s="364">
        <v>2</v>
      </c>
      <c r="C45" s="29"/>
      <c r="D45" s="29"/>
      <c r="E45" s="29"/>
      <c r="F45" s="29"/>
      <c r="G45" s="29"/>
      <c r="H45" s="29"/>
      <c r="I45" s="29"/>
      <c r="J45" s="29"/>
      <c r="K45" s="29"/>
      <c r="L45" s="29"/>
      <c r="M45" s="29"/>
      <c r="N45" s="29"/>
      <c r="O45" s="29"/>
      <c r="P45" s="29"/>
      <c r="Q45" s="29"/>
      <c r="R45" s="29"/>
      <c r="S45" s="29"/>
      <c r="T45" s="29"/>
      <c r="U45" s="29"/>
      <c r="V45" s="29"/>
    </row>
    <row r="46" spans="1:22" ht="14.25" customHeight="1" x14ac:dyDescent="0.25">
      <c r="A46" s="29"/>
      <c r="B46" s="29"/>
      <c r="C46" s="29"/>
      <c r="D46" s="29"/>
      <c r="E46" s="29"/>
      <c r="F46" s="29"/>
      <c r="G46" s="29"/>
      <c r="H46" s="29"/>
      <c r="I46" s="29"/>
      <c r="J46" s="29"/>
      <c r="K46" s="29"/>
      <c r="L46" s="29"/>
      <c r="M46" s="29"/>
      <c r="N46" s="29"/>
      <c r="O46" s="29"/>
      <c r="P46" s="29"/>
      <c r="Q46" s="29"/>
      <c r="R46" s="29"/>
      <c r="S46" s="29"/>
      <c r="T46" s="29"/>
      <c r="U46" s="29"/>
      <c r="V46" s="29"/>
    </row>
    <row r="47" spans="1:22" ht="14.25" customHeight="1" x14ac:dyDescent="0.25">
      <c r="A47" s="29"/>
      <c r="B47" s="29"/>
      <c r="C47" s="29"/>
      <c r="D47" s="29"/>
      <c r="E47" s="29"/>
      <c r="F47" s="29"/>
      <c r="G47" s="29"/>
      <c r="H47" s="29"/>
      <c r="I47" s="29"/>
      <c r="J47" s="29"/>
      <c r="K47" s="29"/>
      <c r="L47" s="29"/>
      <c r="M47" s="29"/>
      <c r="N47" s="29"/>
      <c r="O47" s="29"/>
      <c r="P47" s="29"/>
      <c r="Q47" s="29"/>
      <c r="R47" s="29"/>
      <c r="S47" s="29"/>
      <c r="T47" s="29"/>
      <c r="U47" s="29"/>
      <c r="V47" s="29"/>
    </row>
    <row r="48" spans="1:22" ht="14.25" customHeight="1" x14ac:dyDescent="0.25">
      <c r="A48" s="29" t="s">
        <v>2985</v>
      </c>
      <c r="B48" s="29"/>
      <c r="C48" s="29"/>
      <c r="D48" s="29"/>
      <c r="E48" s="29"/>
      <c r="F48" s="29"/>
      <c r="G48" s="29"/>
      <c r="H48" s="29"/>
      <c r="I48" s="29"/>
      <c r="J48" s="29"/>
      <c r="K48" s="29"/>
      <c r="L48" s="29"/>
      <c r="M48" s="29"/>
      <c r="N48" s="29"/>
      <c r="O48" s="29"/>
      <c r="P48" s="29"/>
      <c r="Q48" s="29"/>
      <c r="R48" s="29"/>
      <c r="S48" s="29"/>
      <c r="T48" s="29"/>
      <c r="U48" s="29"/>
      <c r="V48" s="29"/>
    </row>
    <row r="49" spans="1:22" ht="14.25" customHeight="1" x14ac:dyDescent="0.25">
      <c r="A49" s="29"/>
      <c r="B49" s="29"/>
      <c r="C49" s="29"/>
      <c r="D49" s="29"/>
      <c r="E49" s="29"/>
      <c r="F49" s="29"/>
      <c r="G49" s="29"/>
      <c r="H49" s="29"/>
      <c r="I49" s="29"/>
      <c r="J49" s="29"/>
      <c r="K49" s="29"/>
      <c r="L49" s="29"/>
      <c r="M49" s="29"/>
      <c r="N49" s="29"/>
      <c r="O49" s="29"/>
      <c r="P49" s="29"/>
      <c r="Q49" s="29"/>
      <c r="R49" s="29"/>
      <c r="S49" s="29"/>
      <c r="T49" s="29"/>
      <c r="U49" s="29"/>
      <c r="V49" s="29"/>
    </row>
    <row r="50" spans="1:22" ht="14.25" customHeight="1" x14ac:dyDescent="0.25">
      <c r="A50" s="365">
        <v>0</v>
      </c>
      <c r="B50" s="366" t="s">
        <v>2986</v>
      </c>
      <c r="C50" s="29"/>
      <c r="D50" s="29"/>
      <c r="E50" s="29"/>
      <c r="F50" s="29"/>
      <c r="G50" s="29"/>
      <c r="H50" s="29"/>
      <c r="I50" s="29"/>
      <c r="J50" s="29"/>
      <c r="K50" s="29"/>
      <c r="L50" s="29"/>
      <c r="M50" s="29"/>
      <c r="N50" s="29"/>
      <c r="O50" s="29"/>
      <c r="P50" s="29"/>
      <c r="Q50" s="29"/>
      <c r="R50" s="29"/>
      <c r="S50" s="29"/>
      <c r="T50" s="29"/>
      <c r="U50" s="29"/>
      <c r="V50" s="29"/>
    </row>
    <row r="51" spans="1:22" ht="14.25" customHeight="1" x14ac:dyDescent="0.25">
      <c r="A51" s="365">
        <v>1</v>
      </c>
      <c r="B51" s="366" t="s">
        <v>2987</v>
      </c>
      <c r="C51" s="29"/>
      <c r="D51" s="29"/>
      <c r="E51" s="29"/>
      <c r="F51" s="29"/>
      <c r="G51" s="29"/>
      <c r="H51" s="29"/>
      <c r="I51" s="29"/>
      <c r="J51" s="29"/>
      <c r="K51" s="29"/>
      <c r="L51" s="29"/>
      <c r="M51" s="29"/>
      <c r="N51" s="29"/>
      <c r="O51" s="29"/>
      <c r="P51" s="29"/>
      <c r="Q51" s="29"/>
      <c r="R51" s="29"/>
      <c r="S51" s="29"/>
      <c r="T51" s="29"/>
      <c r="U51" s="29"/>
      <c r="V51" s="29"/>
    </row>
    <row r="52" spans="1:22" ht="14.25" customHeight="1" x14ac:dyDescent="0.25">
      <c r="A52" s="365">
        <v>2</v>
      </c>
      <c r="B52" s="366" t="s">
        <v>2988</v>
      </c>
      <c r="C52" s="29"/>
      <c r="D52" s="29"/>
      <c r="E52" s="29"/>
      <c r="F52" s="29"/>
      <c r="G52" s="29"/>
      <c r="H52" s="29"/>
      <c r="I52" s="29"/>
      <c r="J52" s="29"/>
      <c r="K52" s="29"/>
      <c r="L52" s="29"/>
      <c r="M52" s="29"/>
      <c r="N52" s="29"/>
      <c r="O52" s="29"/>
      <c r="P52" s="29"/>
      <c r="Q52" s="29"/>
      <c r="R52" s="29"/>
      <c r="S52" s="29"/>
      <c r="T52" s="29"/>
      <c r="U52" s="29"/>
      <c r="V52" s="29"/>
    </row>
    <row r="53" spans="1:22" ht="14.25" customHeight="1" x14ac:dyDescent="0.25">
      <c r="A53" s="365">
        <v>3</v>
      </c>
      <c r="B53" s="366" t="s">
        <v>2989</v>
      </c>
      <c r="C53" s="29"/>
      <c r="D53" s="29"/>
      <c r="E53" s="29"/>
      <c r="F53" s="29"/>
      <c r="G53" s="29"/>
      <c r="H53" s="29"/>
      <c r="I53" s="29"/>
      <c r="J53" s="29"/>
      <c r="K53" s="29"/>
      <c r="L53" s="29"/>
      <c r="M53" s="29"/>
      <c r="N53" s="29"/>
      <c r="O53" s="29"/>
      <c r="P53" s="29"/>
      <c r="Q53" s="29"/>
      <c r="R53" s="29"/>
      <c r="S53" s="29"/>
      <c r="T53" s="29"/>
      <c r="U53" s="29"/>
      <c r="V53" s="29"/>
    </row>
    <row r="54" spans="1:22" ht="14.25" customHeight="1" x14ac:dyDescent="0.25">
      <c r="A54" s="365">
        <v>4</v>
      </c>
      <c r="B54" s="366" t="s">
        <v>2990</v>
      </c>
      <c r="C54" s="29"/>
      <c r="D54" s="29"/>
      <c r="E54" s="29"/>
      <c r="F54" s="29"/>
      <c r="G54" s="29"/>
      <c r="H54" s="29"/>
      <c r="I54" s="29"/>
      <c r="J54" s="29"/>
      <c r="K54" s="29"/>
      <c r="L54" s="29"/>
      <c r="M54" s="29"/>
      <c r="N54" s="29"/>
      <c r="O54" s="29"/>
      <c r="P54" s="29"/>
      <c r="Q54" s="29"/>
      <c r="R54" s="29"/>
      <c r="S54" s="29"/>
      <c r="T54" s="29"/>
      <c r="U54" s="29"/>
      <c r="V54" s="29"/>
    </row>
    <row r="55" spans="1:22" ht="14.25" customHeight="1" x14ac:dyDescent="0.25">
      <c r="A55" s="29"/>
      <c r="B55" s="29"/>
      <c r="C55" s="29"/>
      <c r="D55" s="29"/>
      <c r="E55" s="29"/>
      <c r="F55" s="29"/>
      <c r="G55" s="29"/>
      <c r="H55" s="29"/>
      <c r="I55" s="29"/>
      <c r="J55" s="29"/>
      <c r="K55" s="29"/>
      <c r="L55" s="29"/>
      <c r="M55" s="29"/>
      <c r="N55" s="29"/>
      <c r="O55" s="29"/>
      <c r="P55" s="29"/>
      <c r="Q55" s="29"/>
      <c r="R55" s="29"/>
      <c r="S55" s="29"/>
      <c r="T55" s="29"/>
      <c r="U55" s="29"/>
      <c r="V55" s="29"/>
    </row>
    <row r="56" spans="1:22" ht="14.25" customHeight="1" x14ac:dyDescent="0.25">
      <c r="A56" s="29"/>
      <c r="B56" s="29"/>
      <c r="C56" s="29"/>
      <c r="D56" s="29"/>
      <c r="E56" s="29"/>
      <c r="F56" s="29"/>
      <c r="G56" s="29"/>
      <c r="H56" s="29"/>
      <c r="I56" s="29"/>
      <c r="J56" s="29"/>
      <c r="K56" s="29"/>
      <c r="L56" s="29"/>
      <c r="M56" s="29"/>
      <c r="N56" s="29"/>
      <c r="O56" s="29"/>
      <c r="P56" s="29"/>
      <c r="Q56" s="29"/>
      <c r="R56" s="29"/>
      <c r="S56" s="29"/>
      <c r="T56" s="29"/>
      <c r="U56" s="29"/>
      <c r="V56" s="29"/>
    </row>
    <row r="57" spans="1:22" ht="14.25" customHeight="1" x14ac:dyDescent="0.25">
      <c r="A57" s="29"/>
      <c r="B57" s="29"/>
      <c r="C57" s="29"/>
      <c r="D57" s="29"/>
      <c r="E57" s="29"/>
      <c r="F57" s="29"/>
      <c r="G57" s="29"/>
      <c r="H57" s="29"/>
      <c r="I57" s="29"/>
      <c r="J57" s="29"/>
      <c r="K57" s="29"/>
      <c r="L57" s="29"/>
      <c r="M57" s="29"/>
      <c r="N57" s="29"/>
      <c r="O57" s="29"/>
      <c r="P57" s="29"/>
      <c r="Q57" s="29"/>
      <c r="R57" s="29"/>
      <c r="S57" s="29"/>
      <c r="T57" s="29"/>
      <c r="U57" s="29"/>
      <c r="V57" s="29"/>
    </row>
    <row r="58" spans="1:22" ht="14.25" customHeight="1" x14ac:dyDescent="0.25">
      <c r="A58" s="29"/>
      <c r="B58" s="29"/>
      <c r="C58" s="29"/>
      <c r="D58" s="29"/>
      <c r="E58" s="29"/>
      <c r="F58" s="29"/>
      <c r="G58" s="29"/>
      <c r="H58" s="29"/>
      <c r="I58" s="29"/>
      <c r="J58" s="29"/>
      <c r="K58" s="29"/>
      <c r="L58" s="29"/>
      <c r="M58" s="29"/>
      <c r="N58" s="29"/>
      <c r="O58" s="29"/>
      <c r="P58" s="29"/>
      <c r="Q58" s="29"/>
      <c r="R58" s="29"/>
      <c r="S58" s="29"/>
      <c r="T58" s="29"/>
      <c r="U58" s="29"/>
      <c r="V58" s="29"/>
    </row>
    <row r="59" spans="1:22" ht="14.25" customHeight="1" x14ac:dyDescent="0.25">
      <c r="A59" s="29"/>
      <c r="B59" s="29"/>
      <c r="C59" s="29"/>
      <c r="D59" s="29"/>
      <c r="E59" s="29"/>
      <c r="F59" s="29"/>
      <c r="G59" s="29"/>
      <c r="H59" s="29"/>
      <c r="I59" s="29"/>
      <c r="J59" s="29"/>
      <c r="K59" s="29"/>
      <c r="L59" s="29"/>
      <c r="M59" s="29"/>
      <c r="N59" s="29"/>
      <c r="O59" s="29"/>
      <c r="P59" s="29"/>
      <c r="Q59" s="29"/>
      <c r="R59" s="29"/>
      <c r="S59" s="29"/>
      <c r="T59" s="29"/>
      <c r="U59" s="29"/>
      <c r="V59" s="29"/>
    </row>
    <row r="60" spans="1:22" ht="14.25" customHeight="1" x14ac:dyDescent="0.25">
      <c r="A60" s="29"/>
      <c r="B60" s="29"/>
      <c r="C60" s="29"/>
      <c r="D60" s="29"/>
      <c r="E60" s="29"/>
      <c r="F60" s="29"/>
      <c r="G60" s="29"/>
      <c r="H60" s="29"/>
      <c r="I60" s="29"/>
      <c r="J60" s="29"/>
      <c r="K60" s="29"/>
      <c r="L60" s="29"/>
      <c r="M60" s="29"/>
      <c r="N60" s="29"/>
      <c r="O60" s="29"/>
      <c r="P60" s="29"/>
      <c r="Q60" s="29"/>
      <c r="R60" s="29"/>
      <c r="S60" s="29"/>
      <c r="T60" s="29"/>
      <c r="U60" s="29"/>
      <c r="V60" s="29"/>
    </row>
    <row r="61" spans="1:22" ht="14.25" customHeight="1" x14ac:dyDescent="0.25">
      <c r="A61" s="29"/>
      <c r="B61" s="29"/>
      <c r="C61" s="29"/>
      <c r="D61" s="29"/>
      <c r="E61" s="29"/>
      <c r="F61" s="29"/>
      <c r="G61" s="29"/>
      <c r="H61" s="29"/>
      <c r="I61" s="29"/>
      <c r="J61" s="29"/>
      <c r="K61" s="29"/>
      <c r="L61" s="29"/>
      <c r="M61" s="29"/>
      <c r="N61" s="29"/>
      <c r="O61" s="29"/>
      <c r="P61" s="29"/>
      <c r="Q61" s="29"/>
      <c r="R61" s="29"/>
      <c r="S61" s="29"/>
      <c r="T61" s="29"/>
      <c r="U61" s="29"/>
      <c r="V61" s="29"/>
    </row>
    <row r="62" spans="1:22" ht="14.25" customHeight="1" x14ac:dyDescent="0.25">
      <c r="A62" s="29"/>
      <c r="B62" s="29"/>
      <c r="C62" s="29"/>
      <c r="D62" s="29"/>
      <c r="E62" s="29"/>
      <c r="F62" s="29"/>
      <c r="G62" s="29"/>
      <c r="H62" s="29"/>
      <c r="I62" s="29"/>
      <c r="J62" s="29"/>
      <c r="K62" s="29"/>
      <c r="L62" s="29"/>
      <c r="M62" s="29"/>
      <c r="N62" s="29"/>
      <c r="O62" s="29"/>
      <c r="P62" s="29"/>
      <c r="Q62" s="29"/>
      <c r="R62" s="29"/>
      <c r="S62" s="29"/>
      <c r="T62" s="29"/>
      <c r="U62" s="29"/>
      <c r="V62" s="29"/>
    </row>
    <row r="63" spans="1:22" ht="14.25" customHeight="1" x14ac:dyDescent="0.25">
      <c r="A63" s="29"/>
      <c r="B63" s="29"/>
      <c r="C63" s="29"/>
      <c r="D63" s="29"/>
      <c r="E63" s="29"/>
      <c r="F63" s="29"/>
      <c r="G63" s="29"/>
      <c r="H63" s="29"/>
      <c r="I63" s="29"/>
      <c r="J63" s="29"/>
      <c r="K63" s="29"/>
      <c r="L63" s="29"/>
      <c r="M63" s="29"/>
      <c r="N63" s="29"/>
      <c r="O63" s="29"/>
      <c r="P63" s="29"/>
      <c r="Q63" s="29"/>
      <c r="R63" s="29"/>
      <c r="S63" s="29"/>
      <c r="T63" s="29"/>
      <c r="U63" s="29"/>
      <c r="V63" s="29"/>
    </row>
    <row r="64" spans="1:22" ht="14.25" customHeight="1" x14ac:dyDescent="0.25">
      <c r="A64" s="29"/>
      <c r="B64" s="29"/>
      <c r="C64" s="29"/>
      <c r="D64" s="29"/>
      <c r="E64" s="29"/>
      <c r="F64" s="29"/>
      <c r="G64" s="29"/>
      <c r="H64" s="29"/>
      <c r="I64" s="29"/>
      <c r="J64" s="29"/>
      <c r="K64" s="29"/>
      <c r="L64" s="29"/>
      <c r="M64" s="29"/>
      <c r="N64" s="29"/>
      <c r="O64" s="29"/>
      <c r="P64" s="29"/>
      <c r="Q64" s="29"/>
      <c r="R64" s="29"/>
      <c r="S64" s="29"/>
      <c r="T64" s="29"/>
      <c r="U64" s="29"/>
      <c r="V64" s="29"/>
    </row>
    <row r="65" spans="1:22" ht="14.25" customHeight="1" x14ac:dyDescent="0.25">
      <c r="A65" s="29"/>
      <c r="B65" s="29"/>
      <c r="C65" s="29"/>
      <c r="D65" s="29"/>
      <c r="E65" s="29"/>
      <c r="F65" s="29"/>
      <c r="G65" s="29"/>
      <c r="H65" s="29"/>
      <c r="I65" s="29"/>
      <c r="J65" s="29"/>
      <c r="K65" s="29"/>
      <c r="L65" s="29"/>
      <c r="M65" s="29"/>
      <c r="N65" s="29"/>
      <c r="O65" s="29"/>
      <c r="P65" s="29"/>
      <c r="Q65" s="29"/>
      <c r="R65" s="29"/>
      <c r="S65" s="29"/>
      <c r="T65" s="29"/>
      <c r="U65" s="29"/>
      <c r="V65" s="29"/>
    </row>
    <row r="66" spans="1:22" ht="14.25" customHeight="1" x14ac:dyDescent="0.25">
      <c r="A66" s="29"/>
      <c r="B66" s="29"/>
      <c r="C66" s="29"/>
      <c r="D66" s="29"/>
      <c r="E66" s="29"/>
      <c r="F66" s="29"/>
      <c r="G66" s="29"/>
      <c r="H66" s="29"/>
      <c r="I66" s="29"/>
      <c r="J66" s="29"/>
      <c r="K66" s="29"/>
      <c r="L66" s="29"/>
      <c r="M66" s="29"/>
      <c r="N66" s="29"/>
      <c r="O66" s="29"/>
      <c r="P66" s="29"/>
      <c r="Q66" s="29"/>
      <c r="R66" s="29"/>
      <c r="S66" s="29"/>
      <c r="T66" s="29"/>
      <c r="U66" s="29"/>
      <c r="V66" s="29"/>
    </row>
    <row r="67" spans="1:22" ht="14.25" customHeight="1" x14ac:dyDescent="0.25">
      <c r="A67" s="29"/>
      <c r="B67" s="29"/>
      <c r="C67" s="29"/>
      <c r="D67" s="29"/>
      <c r="E67" s="29"/>
      <c r="F67" s="29"/>
      <c r="G67" s="29"/>
      <c r="H67" s="29"/>
      <c r="I67" s="29"/>
      <c r="J67" s="29"/>
      <c r="K67" s="29"/>
      <c r="L67" s="29"/>
      <c r="M67" s="29"/>
      <c r="N67" s="29"/>
      <c r="O67" s="29"/>
      <c r="P67" s="29"/>
      <c r="Q67" s="29"/>
      <c r="R67" s="29"/>
      <c r="S67" s="29"/>
      <c r="T67" s="29"/>
      <c r="U67" s="29"/>
      <c r="V67" s="29"/>
    </row>
    <row r="68" spans="1:22" ht="14.25" customHeight="1" x14ac:dyDescent="0.25">
      <c r="A68" s="29"/>
      <c r="B68" s="29"/>
      <c r="C68" s="29"/>
      <c r="D68" s="29"/>
      <c r="E68" s="29"/>
      <c r="F68" s="29"/>
      <c r="G68" s="29"/>
      <c r="H68" s="29"/>
      <c r="I68" s="29"/>
      <c r="J68" s="29"/>
      <c r="K68" s="29"/>
      <c r="L68" s="29"/>
      <c r="M68" s="29"/>
      <c r="N68" s="29"/>
      <c r="O68" s="29"/>
      <c r="P68" s="29"/>
      <c r="Q68" s="29"/>
      <c r="R68" s="29"/>
      <c r="S68" s="29"/>
      <c r="T68" s="29"/>
      <c r="U68" s="29"/>
      <c r="V68" s="29"/>
    </row>
    <row r="69" spans="1:22" ht="14.25" customHeight="1" x14ac:dyDescent="0.25">
      <c r="A69" s="29"/>
      <c r="B69" s="29"/>
      <c r="C69" s="29"/>
      <c r="D69" s="29"/>
      <c r="E69" s="29"/>
      <c r="F69" s="29"/>
      <c r="G69" s="29"/>
      <c r="H69" s="29"/>
      <c r="I69" s="29"/>
      <c r="J69" s="29"/>
      <c r="K69" s="29"/>
      <c r="L69" s="29"/>
      <c r="M69" s="29"/>
      <c r="N69" s="29"/>
      <c r="O69" s="29"/>
      <c r="P69" s="29"/>
      <c r="Q69" s="29"/>
      <c r="R69" s="29"/>
      <c r="S69" s="29"/>
      <c r="T69" s="29"/>
      <c r="U69" s="29"/>
      <c r="V69" s="29"/>
    </row>
    <row r="70" spans="1:22" ht="14.25" customHeight="1" x14ac:dyDescent="0.25">
      <c r="A70" s="29"/>
      <c r="B70" s="29"/>
      <c r="C70" s="29"/>
      <c r="D70" s="29"/>
      <c r="E70" s="29"/>
      <c r="F70" s="29"/>
      <c r="G70" s="29"/>
      <c r="H70" s="29"/>
      <c r="I70" s="29"/>
      <c r="J70" s="29"/>
      <c r="K70" s="29"/>
      <c r="L70" s="29"/>
      <c r="M70" s="29"/>
      <c r="N70" s="29"/>
      <c r="O70" s="29"/>
      <c r="P70" s="29"/>
      <c r="Q70" s="29"/>
      <c r="R70" s="29"/>
      <c r="S70" s="29"/>
      <c r="T70" s="29"/>
      <c r="U70" s="29"/>
      <c r="V70" s="29"/>
    </row>
    <row r="71" spans="1:22" ht="14.25" customHeight="1" x14ac:dyDescent="0.25">
      <c r="A71" s="29"/>
      <c r="B71" s="29"/>
      <c r="C71" s="29"/>
      <c r="D71" s="29"/>
      <c r="E71" s="29"/>
      <c r="F71" s="29"/>
      <c r="G71" s="29"/>
      <c r="H71" s="29"/>
      <c r="I71" s="29"/>
      <c r="J71" s="29"/>
      <c r="K71" s="29"/>
      <c r="L71" s="29"/>
      <c r="M71" s="29"/>
      <c r="N71" s="29"/>
      <c r="O71" s="29"/>
      <c r="P71" s="29"/>
      <c r="Q71" s="29"/>
      <c r="R71" s="29"/>
      <c r="S71" s="29"/>
      <c r="T71" s="29"/>
      <c r="U71" s="29"/>
      <c r="V71" s="29"/>
    </row>
    <row r="72" spans="1:22" ht="14.25" customHeight="1" x14ac:dyDescent="0.25">
      <c r="A72" s="29"/>
      <c r="B72" s="29"/>
      <c r="C72" s="29"/>
      <c r="D72" s="29"/>
      <c r="E72" s="29"/>
      <c r="F72" s="29"/>
      <c r="G72" s="29"/>
      <c r="H72" s="29"/>
      <c r="I72" s="29"/>
      <c r="J72" s="29"/>
      <c r="K72" s="29"/>
      <c r="L72" s="29"/>
      <c r="M72" s="29"/>
      <c r="N72" s="29"/>
      <c r="O72" s="29"/>
      <c r="P72" s="29"/>
      <c r="Q72" s="29"/>
      <c r="R72" s="29"/>
      <c r="S72" s="29"/>
      <c r="T72" s="29"/>
      <c r="U72" s="29"/>
      <c r="V72" s="29"/>
    </row>
    <row r="73" spans="1:22" ht="14.25" customHeight="1" x14ac:dyDescent="0.25">
      <c r="A73" s="29"/>
      <c r="B73" s="29"/>
      <c r="C73" s="29"/>
      <c r="D73" s="29"/>
      <c r="E73" s="29"/>
      <c r="F73" s="29"/>
      <c r="G73" s="29"/>
      <c r="H73" s="29"/>
      <c r="I73" s="29"/>
      <c r="J73" s="29"/>
      <c r="K73" s="29"/>
      <c r="L73" s="29"/>
      <c r="M73" s="29"/>
      <c r="N73" s="29"/>
      <c r="O73" s="29"/>
      <c r="P73" s="29"/>
      <c r="Q73" s="29"/>
      <c r="R73" s="29"/>
      <c r="S73" s="29"/>
      <c r="T73" s="29"/>
      <c r="U73" s="29"/>
      <c r="V73" s="29"/>
    </row>
    <row r="74" spans="1:22" ht="14.25" customHeight="1" x14ac:dyDescent="0.25">
      <c r="A74" s="29"/>
      <c r="B74" s="29"/>
      <c r="C74" s="29"/>
      <c r="D74" s="29"/>
      <c r="E74" s="29"/>
      <c r="F74" s="29"/>
      <c r="G74" s="29"/>
      <c r="H74" s="29"/>
      <c r="I74" s="29"/>
      <c r="J74" s="29"/>
      <c r="K74" s="29"/>
      <c r="L74" s="29"/>
      <c r="M74" s="29"/>
      <c r="N74" s="29"/>
      <c r="O74" s="29"/>
      <c r="P74" s="29"/>
      <c r="Q74" s="29"/>
      <c r="R74" s="29"/>
      <c r="S74" s="29"/>
      <c r="T74" s="29"/>
      <c r="U74" s="29"/>
      <c r="V74" s="29"/>
    </row>
    <row r="75" spans="1:22" ht="14.25" customHeight="1" x14ac:dyDescent="0.25">
      <c r="A75" s="29"/>
      <c r="B75" s="29"/>
      <c r="C75" s="29"/>
      <c r="D75" s="29"/>
      <c r="E75" s="29"/>
      <c r="F75" s="29"/>
      <c r="G75" s="29"/>
      <c r="H75" s="29"/>
      <c r="I75" s="29"/>
      <c r="J75" s="29"/>
      <c r="K75" s="29"/>
      <c r="L75" s="29"/>
      <c r="M75" s="29"/>
      <c r="N75" s="29"/>
      <c r="O75" s="29"/>
      <c r="P75" s="29"/>
      <c r="Q75" s="29"/>
      <c r="R75" s="29"/>
      <c r="S75" s="29"/>
      <c r="T75" s="29"/>
      <c r="U75" s="29"/>
      <c r="V75" s="29"/>
    </row>
    <row r="76" spans="1:22" ht="14.25" customHeight="1" x14ac:dyDescent="0.25">
      <c r="A76" s="29"/>
      <c r="B76" s="29"/>
      <c r="C76" s="29"/>
      <c r="D76" s="29"/>
      <c r="E76" s="29"/>
      <c r="F76" s="29"/>
      <c r="G76" s="29"/>
      <c r="H76" s="29"/>
      <c r="I76" s="29"/>
      <c r="J76" s="29"/>
      <c r="K76" s="29"/>
      <c r="L76" s="29"/>
      <c r="M76" s="29"/>
      <c r="N76" s="29"/>
      <c r="O76" s="29"/>
      <c r="P76" s="29"/>
      <c r="Q76" s="29"/>
      <c r="R76" s="29"/>
      <c r="S76" s="29"/>
      <c r="T76" s="29"/>
      <c r="U76" s="29"/>
      <c r="V76" s="29"/>
    </row>
    <row r="77" spans="1:22" ht="14.25" customHeight="1" x14ac:dyDescent="0.25">
      <c r="A77" s="29"/>
      <c r="B77" s="29"/>
      <c r="C77" s="29"/>
      <c r="D77" s="29"/>
      <c r="E77" s="29"/>
      <c r="F77" s="29"/>
      <c r="G77" s="29"/>
      <c r="H77" s="29"/>
      <c r="I77" s="29"/>
      <c r="J77" s="29"/>
      <c r="K77" s="29"/>
      <c r="L77" s="29"/>
      <c r="M77" s="29"/>
      <c r="N77" s="29"/>
      <c r="O77" s="29"/>
      <c r="P77" s="29"/>
      <c r="Q77" s="29"/>
      <c r="R77" s="29"/>
      <c r="S77" s="29"/>
      <c r="T77" s="29"/>
      <c r="U77" s="29"/>
      <c r="V77" s="29"/>
    </row>
    <row r="78" spans="1:22" ht="14.25" customHeight="1" x14ac:dyDescent="0.25">
      <c r="A78" s="29"/>
      <c r="B78" s="29"/>
      <c r="C78" s="29"/>
      <c r="D78" s="29"/>
      <c r="E78" s="29"/>
      <c r="F78" s="29"/>
      <c r="G78" s="29"/>
      <c r="H78" s="29"/>
      <c r="I78" s="29"/>
      <c r="J78" s="29"/>
      <c r="K78" s="29"/>
      <c r="L78" s="29"/>
      <c r="M78" s="29"/>
      <c r="N78" s="29"/>
      <c r="O78" s="29"/>
      <c r="P78" s="29"/>
      <c r="Q78" s="29"/>
      <c r="R78" s="29"/>
      <c r="S78" s="29"/>
      <c r="T78" s="29"/>
      <c r="U78" s="29"/>
      <c r="V78" s="29"/>
    </row>
    <row r="79" spans="1:22" ht="14.25" customHeight="1" x14ac:dyDescent="0.25">
      <c r="A79" s="29"/>
      <c r="B79" s="29"/>
      <c r="C79" s="29"/>
      <c r="D79" s="29"/>
      <c r="E79" s="29"/>
      <c r="F79" s="29"/>
      <c r="G79" s="29"/>
      <c r="H79" s="29"/>
      <c r="I79" s="29"/>
      <c r="J79" s="29"/>
      <c r="K79" s="29"/>
      <c r="L79" s="29"/>
      <c r="M79" s="29"/>
      <c r="N79" s="29"/>
      <c r="O79" s="29"/>
      <c r="P79" s="29"/>
      <c r="Q79" s="29"/>
      <c r="R79" s="29"/>
      <c r="S79" s="29"/>
      <c r="T79" s="29"/>
      <c r="U79" s="29"/>
      <c r="V79" s="29"/>
    </row>
    <row r="80" spans="1:22" ht="14.25" customHeight="1" x14ac:dyDescent="0.25">
      <c r="A80" s="29"/>
      <c r="B80" s="29"/>
      <c r="C80" s="29"/>
      <c r="D80" s="29"/>
      <c r="E80" s="29"/>
      <c r="F80" s="29"/>
      <c r="G80" s="29"/>
      <c r="H80" s="29"/>
      <c r="I80" s="29"/>
      <c r="J80" s="29"/>
      <c r="K80" s="29"/>
      <c r="L80" s="29"/>
      <c r="M80" s="29"/>
      <c r="N80" s="29"/>
      <c r="O80" s="29"/>
      <c r="P80" s="29"/>
      <c r="Q80" s="29"/>
      <c r="R80" s="29"/>
      <c r="S80" s="29"/>
      <c r="T80" s="29"/>
      <c r="U80" s="29"/>
      <c r="V80" s="29"/>
    </row>
    <row r="81" spans="1:22" ht="14.25" customHeight="1" x14ac:dyDescent="0.25">
      <c r="A81" s="29"/>
      <c r="B81" s="29"/>
      <c r="C81" s="29"/>
      <c r="D81" s="29"/>
      <c r="E81" s="29"/>
      <c r="F81" s="29"/>
      <c r="G81" s="29"/>
      <c r="H81" s="29"/>
      <c r="I81" s="29"/>
      <c r="J81" s="29"/>
      <c r="K81" s="29"/>
      <c r="L81" s="29"/>
      <c r="M81" s="29"/>
      <c r="N81" s="29"/>
      <c r="O81" s="29"/>
      <c r="P81" s="29"/>
      <c r="Q81" s="29"/>
      <c r="R81" s="29"/>
      <c r="S81" s="29"/>
      <c r="T81" s="29"/>
      <c r="U81" s="29"/>
      <c r="V81" s="29"/>
    </row>
    <row r="82" spans="1:22" ht="14.25" customHeight="1" x14ac:dyDescent="0.25">
      <c r="A82" s="29"/>
      <c r="B82" s="29"/>
      <c r="C82" s="29"/>
      <c r="D82" s="29"/>
      <c r="E82" s="29"/>
      <c r="F82" s="29"/>
      <c r="G82" s="29"/>
      <c r="H82" s="29"/>
      <c r="I82" s="29"/>
      <c r="J82" s="29"/>
      <c r="K82" s="29"/>
      <c r="L82" s="29"/>
      <c r="M82" s="29"/>
      <c r="N82" s="29"/>
      <c r="O82" s="29"/>
      <c r="P82" s="29"/>
      <c r="Q82" s="29"/>
      <c r="R82" s="29"/>
      <c r="S82" s="29"/>
      <c r="T82" s="29"/>
      <c r="U82" s="29"/>
      <c r="V82" s="29"/>
    </row>
    <row r="83" spans="1:22" ht="14.25" customHeight="1" x14ac:dyDescent="0.25">
      <c r="A83" s="29"/>
      <c r="B83" s="29"/>
      <c r="C83" s="29"/>
      <c r="D83" s="29"/>
      <c r="E83" s="29"/>
      <c r="F83" s="29"/>
      <c r="G83" s="29"/>
      <c r="H83" s="29"/>
      <c r="I83" s="29"/>
      <c r="J83" s="29"/>
      <c r="K83" s="29"/>
      <c r="L83" s="29"/>
      <c r="M83" s="29"/>
      <c r="N83" s="29"/>
      <c r="O83" s="29"/>
      <c r="P83" s="29"/>
      <c r="Q83" s="29"/>
      <c r="R83" s="29"/>
      <c r="S83" s="29"/>
      <c r="T83" s="29"/>
      <c r="U83" s="29"/>
      <c r="V83" s="29"/>
    </row>
    <row r="84" spans="1:22" ht="14.25" customHeight="1" x14ac:dyDescent="0.25">
      <c r="A84" s="29"/>
      <c r="B84" s="29"/>
      <c r="C84" s="29"/>
      <c r="D84" s="29"/>
      <c r="E84" s="29"/>
      <c r="F84" s="29"/>
      <c r="G84" s="29"/>
      <c r="H84" s="29"/>
      <c r="I84" s="29"/>
      <c r="J84" s="29"/>
      <c r="K84" s="29"/>
      <c r="L84" s="29"/>
      <c r="M84" s="29"/>
      <c r="N84" s="29"/>
      <c r="O84" s="29"/>
      <c r="P84" s="29"/>
      <c r="Q84" s="29"/>
      <c r="R84" s="29"/>
      <c r="S84" s="29"/>
      <c r="T84" s="29"/>
      <c r="U84" s="29"/>
      <c r="V84" s="29"/>
    </row>
    <row r="85" spans="1:22" ht="14.25" customHeight="1" x14ac:dyDescent="0.25">
      <c r="A85" s="29"/>
      <c r="B85" s="29"/>
      <c r="C85" s="29"/>
      <c r="D85" s="29"/>
      <c r="E85" s="29"/>
      <c r="F85" s="29"/>
      <c r="G85" s="29"/>
      <c r="H85" s="29"/>
      <c r="I85" s="29"/>
      <c r="J85" s="29"/>
      <c r="K85" s="29"/>
      <c r="L85" s="29"/>
      <c r="M85" s="29"/>
      <c r="N85" s="29"/>
      <c r="O85" s="29"/>
      <c r="P85" s="29"/>
      <c r="Q85" s="29"/>
      <c r="R85" s="29"/>
      <c r="S85" s="29"/>
      <c r="T85" s="29"/>
      <c r="U85" s="29"/>
      <c r="V85" s="29"/>
    </row>
    <row r="86" spans="1:22" ht="14.25" customHeight="1" x14ac:dyDescent="0.25">
      <c r="A86" s="29"/>
      <c r="B86" s="29"/>
      <c r="C86" s="29"/>
      <c r="D86" s="29"/>
      <c r="E86" s="29"/>
      <c r="F86" s="29"/>
      <c r="G86" s="29"/>
      <c r="H86" s="29"/>
      <c r="I86" s="29"/>
      <c r="J86" s="29"/>
      <c r="K86" s="29"/>
      <c r="L86" s="29"/>
      <c r="M86" s="29"/>
      <c r="N86" s="29"/>
      <c r="O86" s="29"/>
      <c r="P86" s="29"/>
      <c r="Q86" s="29"/>
      <c r="R86" s="29"/>
      <c r="S86" s="29"/>
      <c r="T86" s="29"/>
      <c r="U86" s="29"/>
      <c r="V86" s="29"/>
    </row>
    <row r="87" spans="1:22" ht="14.25" customHeight="1" x14ac:dyDescent="0.25">
      <c r="A87" s="29"/>
      <c r="B87" s="29"/>
      <c r="C87" s="29"/>
      <c r="D87" s="29"/>
      <c r="E87" s="29"/>
      <c r="F87" s="29"/>
      <c r="G87" s="29"/>
      <c r="H87" s="29"/>
      <c r="I87" s="29"/>
      <c r="J87" s="29"/>
      <c r="K87" s="29"/>
      <c r="L87" s="29"/>
      <c r="M87" s="29"/>
      <c r="N87" s="29"/>
      <c r="O87" s="29"/>
      <c r="P87" s="29"/>
      <c r="Q87" s="29"/>
      <c r="R87" s="29"/>
      <c r="S87" s="29"/>
      <c r="T87" s="29"/>
      <c r="U87" s="29"/>
      <c r="V87" s="29"/>
    </row>
    <row r="88" spans="1:22" ht="14.25" customHeight="1" x14ac:dyDescent="0.25">
      <c r="A88" s="29"/>
      <c r="B88" s="29"/>
      <c r="C88" s="29"/>
      <c r="D88" s="29"/>
      <c r="E88" s="29"/>
      <c r="F88" s="29"/>
      <c r="G88" s="29"/>
      <c r="H88" s="29"/>
      <c r="I88" s="29"/>
      <c r="J88" s="29"/>
      <c r="K88" s="29"/>
      <c r="L88" s="29"/>
      <c r="M88" s="29"/>
      <c r="N88" s="29"/>
      <c r="O88" s="29"/>
      <c r="P88" s="29"/>
      <c r="Q88" s="29"/>
      <c r="R88" s="29"/>
      <c r="S88" s="29"/>
      <c r="T88" s="29"/>
      <c r="U88" s="29"/>
      <c r="V88" s="29"/>
    </row>
    <row r="89" spans="1:22" ht="14.25" customHeight="1" x14ac:dyDescent="0.25">
      <c r="A89" s="29"/>
      <c r="B89" s="29"/>
      <c r="C89" s="29"/>
      <c r="D89" s="29"/>
      <c r="E89" s="29"/>
      <c r="F89" s="29"/>
      <c r="G89" s="29"/>
      <c r="H89" s="29"/>
      <c r="I89" s="29"/>
      <c r="J89" s="29"/>
      <c r="K89" s="29"/>
      <c r="L89" s="29"/>
      <c r="M89" s="29"/>
      <c r="N89" s="29"/>
      <c r="O89" s="29"/>
      <c r="P89" s="29"/>
      <c r="Q89" s="29"/>
      <c r="R89" s="29"/>
      <c r="S89" s="29"/>
      <c r="T89" s="29"/>
      <c r="U89" s="29"/>
      <c r="V89" s="29"/>
    </row>
    <row r="90" spans="1:22" ht="14.25" customHeight="1" x14ac:dyDescent="0.25">
      <c r="A90" s="29"/>
      <c r="B90" s="29"/>
      <c r="C90" s="29"/>
      <c r="D90" s="29"/>
      <c r="E90" s="29"/>
      <c r="F90" s="29"/>
      <c r="G90" s="29"/>
      <c r="H90" s="29"/>
      <c r="I90" s="29"/>
      <c r="J90" s="29"/>
      <c r="K90" s="29"/>
      <c r="L90" s="29"/>
      <c r="M90" s="29"/>
      <c r="N90" s="29"/>
      <c r="O90" s="29"/>
      <c r="P90" s="29"/>
      <c r="Q90" s="29"/>
      <c r="R90" s="29"/>
      <c r="S90" s="29"/>
      <c r="T90" s="29"/>
      <c r="U90" s="29"/>
      <c r="V90" s="29"/>
    </row>
    <row r="91" spans="1:22" ht="14.25" customHeight="1" x14ac:dyDescent="0.25">
      <c r="A91" s="29"/>
      <c r="B91" s="29"/>
      <c r="C91" s="29"/>
      <c r="D91" s="29"/>
      <c r="E91" s="29"/>
      <c r="F91" s="29"/>
      <c r="G91" s="29"/>
      <c r="H91" s="29"/>
      <c r="I91" s="29"/>
      <c r="J91" s="29"/>
      <c r="K91" s="29"/>
      <c r="L91" s="29"/>
      <c r="M91" s="29"/>
      <c r="N91" s="29"/>
      <c r="O91" s="29"/>
      <c r="P91" s="29"/>
      <c r="Q91" s="29"/>
      <c r="R91" s="29"/>
      <c r="S91" s="29"/>
      <c r="T91" s="29"/>
      <c r="U91" s="29"/>
      <c r="V91" s="29"/>
    </row>
    <row r="92" spans="1:22" ht="14.25" customHeight="1" x14ac:dyDescent="0.25">
      <c r="A92" s="29"/>
      <c r="B92" s="29"/>
      <c r="C92" s="29"/>
      <c r="D92" s="29"/>
      <c r="E92" s="29"/>
      <c r="F92" s="29"/>
      <c r="G92" s="29"/>
      <c r="H92" s="29"/>
      <c r="I92" s="29"/>
      <c r="J92" s="29"/>
      <c r="K92" s="29"/>
      <c r="L92" s="29"/>
      <c r="M92" s="29"/>
      <c r="N92" s="29"/>
      <c r="O92" s="29"/>
      <c r="P92" s="29"/>
      <c r="Q92" s="29"/>
      <c r="R92" s="29"/>
      <c r="S92" s="29"/>
      <c r="T92" s="29"/>
      <c r="U92" s="29"/>
      <c r="V92" s="29"/>
    </row>
    <row r="93" spans="1:22" ht="14.25" customHeight="1" x14ac:dyDescent="0.25">
      <c r="A93" s="29"/>
      <c r="B93" s="29"/>
      <c r="C93" s="29"/>
      <c r="D93" s="29"/>
      <c r="E93" s="29"/>
      <c r="F93" s="29"/>
      <c r="G93" s="29"/>
      <c r="H93" s="29"/>
      <c r="I93" s="29"/>
      <c r="J93" s="29"/>
      <c r="K93" s="29"/>
      <c r="L93" s="29"/>
      <c r="M93" s="29"/>
      <c r="N93" s="29"/>
      <c r="O93" s="29"/>
      <c r="P93" s="29"/>
      <c r="Q93" s="29"/>
      <c r="R93" s="29"/>
      <c r="S93" s="29"/>
      <c r="T93" s="29"/>
      <c r="U93" s="29"/>
      <c r="V93" s="29"/>
    </row>
    <row r="94" spans="1:22" ht="14.25" customHeight="1" x14ac:dyDescent="0.25">
      <c r="A94" s="29"/>
      <c r="B94" s="29"/>
      <c r="C94" s="29"/>
      <c r="D94" s="29"/>
      <c r="E94" s="29"/>
      <c r="F94" s="29"/>
      <c r="G94" s="29"/>
      <c r="H94" s="29"/>
      <c r="I94" s="29"/>
      <c r="J94" s="29"/>
      <c r="K94" s="29"/>
      <c r="L94" s="29"/>
      <c r="M94" s="29"/>
      <c r="N94" s="29"/>
      <c r="O94" s="29"/>
      <c r="P94" s="29"/>
      <c r="Q94" s="29"/>
      <c r="R94" s="29"/>
      <c r="S94" s="29"/>
      <c r="T94" s="29"/>
      <c r="U94" s="29"/>
      <c r="V94" s="29"/>
    </row>
    <row r="95" spans="1:22" ht="14.25" customHeight="1" x14ac:dyDescent="0.25">
      <c r="A95" s="29"/>
      <c r="B95" s="29"/>
      <c r="C95" s="29"/>
      <c r="D95" s="29"/>
      <c r="E95" s="29"/>
      <c r="F95" s="29"/>
      <c r="G95" s="29"/>
      <c r="H95" s="29"/>
      <c r="I95" s="29"/>
      <c r="J95" s="29"/>
      <c r="K95" s="29"/>
      <c r="L95" s="29"/>
      <c r="M95" s="29"/>
      <c r="N95" s="29"/>
      <c r="O95" s="29"/>
      <c r="P95" s="29"/>
      <c r="Q95" s="29"/>
      <c r="R95" s="29"/>
      <c r="S95" s="29"/>
      <c r="T95" s="29"/>
      <c r="U95" s="29"/>
      <c r="V95" s="29"/>
    </row>
    <row r="96" spans="1:22" ht="14.25" customHeight="1" x14ac:dyDescent="0.25">
      <c r="A96" s="29"/>
      <c r="B96" s="29"/>
      <c r="C96" s="29"/>
      <c r="D96" s="29"/>
      <c r="E96" s="29"/>
      <c r="F96" s="29"/>
      <c r="G96" s="29"/>
      <c r="H96" s="29"/>
      <c r="I96" s="29"/>
      <c r="J96" s="29"/>
      <c r="K96" s="29"/>
      <c r="L96" s="29"/>
      <c r="M96" s="29"/>
      <c r="N96" s="29"/>
      <c r="O96" s="29"/>
      <c r="P96" s="29"/>
      <c r="Q96" s="29"/>
      <c r="R96" s="29"/>
      <c r="S96" s="29"/>
      <c r="T96" s="29"/>
      <c r="U96" s="29"/>
      <c r="V96" s="29"/>
    </row>
    <row r="97" spans="1:22" ht="14.25" customHeight="1" x14ac:dyDescent="0.25">
      <c r="A97" s="29"/>
      <c r="B97" s="29"/>
      <c r="C97" s="29"/>
      <c r="D97" s="29"/>
      <c r="E97" s="29"/>
      <c r="F97" s="29"/>
      <c r="G97" s="29"/>
      <c r="H97" s="29"/>
      <c r="I97" s="29"/>
      <c r="J97" s="29"/>
      <c r="K97" s="29"/>
      <c r="L97" s="29"/>
      <c r="M97" s="29"/>
      <c r="N97" s="29"/>
      <c r="O97" s="29"/>
      <c r="P97" s="29"/>
      <c r="Q97" s="29"/>
      <c r="R97" s="29"/>
      <c r="S97" s="29"/>
      <c r="T97" s="29"/>
      <c r="U97" s="29"/>
      <c r="V97" s="29"/>
    </row>
    <row r="98" spans="1:22" ht="14.25" customHeight="1" x14ac:dyDescent="0.25">
      <c r="A98" s="29"/>
      <c r="B98" s="29"/>
      <c r="C98" s="29"/>
      <c r="D98" s="29"/>
      <c r="E98" s="29"/>
      <c r="F98" s="29"/>
      <c r="G98" s="29"/>
      <c r="H98" s="29"/>
      <c r="I98" s="29"/>
      <c r="J98" s="29"/>
      <c r="K98" s="29"/>
      <c r="L98" s="29"/>
      <c r="M98" s="29"/>
      <c r="N98" s="29"/>
      <c r="O98" s="29"/>
      <c r="P98" s="29"/>
      <c r="Q98" s="29"/>
      <c r="R98" s="29"/>
      <c r="S98" s="29"/>
      <c r="T98" s="29"/>
      <c r="U98" s="29"/>
      <c r="V98" s="29"/>
    </row>
    <row r="99" spans="1:22" ht="14.25" customHeight="1" x14ac:dyDescent="0.25">
      <c r="A99" s="29"/>
      <c r="B99" s="29"/>
      <c r="C99" s="29"/>
      <c r="D99" s="29"/>
      <c r="E99" s="29"/>
      <c r="F99" s="29"/>
      <c r="G99" s="29"/>
      <c r="H99" s="29"/>
      <c r="I99" s="29"/>
      <c r="J99" s="29"/>
      <c r="K99" s="29"/>
      <c r="L99" s="29"/>
      <c r="M99" s="29"/>
      <c r="N99" s="29"/>
      <c r="O99" s="29"/>
      <c r="P99" s="29"/>
      <c r="Q99" s="29"/>
      <c r="R99" s="29"/>
      <c r="S99" s="29"/>
      <c r="T99" s="29"/>
      <c r="U99" s="29"/>
      <c r="V99" s="29"/>
    </row>
    <row r="100" spans="1:22" ht="14.25" customHeight="1" x14ac:dyDescent="0.25">
      <c r="A100" s="29"/>
      <c r="B100" s="29"/>
      <c r="C100" s="29"/>
      <c r="D100" s="29"/>
      <c r="E100" s="29"/>
      <c r="F100" s="29"/>
      <c r="G100" s="29"/>
      <c r="H100" s="29"/>
      <c r="I100" s="29"/>
      <c r="J100" s="29"/>
      <c r="K100" s="29"/>
      <c r="L100" s="29"/>
      <c r="M100" s="29"/>
      <c r="N100" s="29"/>
      <c r="O100" s="29"/>
      <c r="P100" s="29"/>
      <c r="Q100" s="29"/>
      <c r="R100" s="29"/>
      <c r="S100" s="29"/>
      <c r="T100" s="29"/>
      <c r="U100" s="29"/>
      <c r="V100" s="29"/>
    </row>
    <row r="101" spans="1:22" ht="14.25" customHeight="1" x14ac:dyDescent="0.25">
      <c r="A101" s="29"/>
      <c r="B101" s="29"/>
      <c r="C101" s="29"/>
      <c r="D101" s="29"/>
      <c r="E101" s="29"/>
      <c r="F101" s="29"/>
      <c r="G101" s="29"/>
      <c r="H101" s="29"/>
      <c r="I101" s="29"/>
      <c r="J101" s="29"/>
      <c r="K101" s="29"/>
      <c r="L101" s="29"/>
      <c r="M101" s="29"/>
      <c r="N101" s="29"/>
      <c r="O101" s="29"/>
      <c r="P101" s="29"/>
      <c r="Q101" s="29"/>
      <c r="R101" s="29"/>
      <c r="S101" s="29"/>
      <c r="T101" s="29"/>
      <c r="U101" s="29"/>
      <c r="V101" s="29"/>
    </row>
    <row r="102" spans="1:22" ht="14.25" customHeight="1" x14ac:dyDescent="0.25">
      <c r="A102" s="29"/>
      <c r="B102" s="29"/>
      <c r="C102" s="29"/>
      <c r="D102" s="29"/>
      <c r="E102" s="29"/>
      <c r="F102" s="29"/>
      <c r="G102" s="29"/>
      <c r="H102" s="29"/>
      <c r="I102" s="29"/>
      <c r="J102" s="29"/>
      <c r="K102" s="29"/>
      <c r="L102" s="29"/>
      <c r="M102" s="29"/>
      <c r="N102" s="29"/>
      <c r="O102" s="29"/>
      <c r="P102" s="29"/>
      <c r="Q102" s="29"/>
      <c r="R102" s="29"/>
      <c r="S102" s="29"/>
      <c r="T102" s="29"/>
      <c r="U102" s="29"/>
      <c r="V102" s="29"/>
    </row>
    <row r="103" spans="1:22" ht="14.25" customHeight="1" x14ac:dyDescent="0.25">
      <c r="A103" s="29"/>
      <c r="B103" s="29"/>
      <c r="C103" s="29"/>
      <c r="D103" s="29"/>
      <c r="E103" s="29"/>
      <c r="F103" s="29"/>
      <c r="G103" s="29"/>
      <c r="H103" s="29"/>
      <c r="I103" s="29"/>
      <c r="J103" s="29"/>
      <c r="K103" s="29"/>
      <c r="L103" s="29"/>
      <c r="M103" s="29"/>
      <c r="N103" s="29"/>
      <c r="O103" s="29"/>
      <c r="P103" s="29"/>
      <c r="Q103" s="29"/>
      <c r="R103" s="29"/>
      <c r="S103" s="29"/>
      <c r="T103" s="29"/>
      <c r="U103" s="29"/>
      <c r="V103" s="29"/>
    </row>
    <row r="104" spans="1:22" ht="14.25" customHeight="1" x14ac:dyDescent="0.25">
      <c r="A104" s="29"/>
      <c r="B104" s="29"/>
      <c r="C104" s="29"/>
      <c r="D104" s="29"/>
      <c r="E104" s="29"/>
      <c r="F104" s="29"/>
      <c r="G104" s="29"/>
      <c r="H104" s="29"/>
      <c r="I104" s="29"/>
      <c r="J104" s="29"/>
      <c r="K104" s="29"/>
      <c r="L104" s="29"/>
      <c r="M104" s="29"/>
      <c r="N104" s="29"/>
      <c r="O104" s="29"/>
      <c r="P104" s="29"/>
      <c r="Q104" s="29"/>
      <c r="R104" s="29"/>
      <c r="S104" s="29"/>
      <c r="T104" s="29"/>
      <c r="U104" s="29"/>
      <c r="V104" s="29"/>
    </row>
    <row r="105" spans="1:22" ht="14.25" customHeight="1" x14ac:dyDescent="0.25">
      <c r="A105" s="29"/>
      <c r="B105" s="29"/>
      <c r="C105" s="29"/>
      <c r="D105" s="29"/>
      <c r="E105" s="29"/>
      <c r="F105" s="29"/>
      <c r="G105" s="29"/>
      <c r="H105" s="29"/>
      <c r="I105" s="29"/>
      <c r="J105" s="29"/>
      <c r="K105" s="29"/>
      <c r="L105" s="29"/>
      <c r="M105" s="29"/>
      <c r="N105" s="29"/>
      <c r="O105" s="29"/>
      <c r="P105" s="29"/>
      <c r="Q105" s="29"/>
      <c r="R105" s="29"/>
      <c r="S105" s="29"/>
      <c r="T105" s="29"/>
      <c r="U105" s="29"/>
      <c r="V105" s="29"/>
    </row>
    <row r="106" spans="1:22" ht="14.25" customHeight="1" x14ac:dyDescent="0.25">
      <c r="A106" s="29"/>
      <c r="B106" s="29"/>
      <c r="C106" s="29"/>
      <c r="D106" s="29"/>
      <c r="E106" s="29"/>
      <c r="F106" s="29"/>
      <c r="G106" s="29"/>
      <c r="H106" s="29"/>
      <c r="I106" s="29"/>
      <c r="J106" s="29"/>
      <c r="K106" s="29"/>
      <c r="L106" s="29"/>
      <c r="M106" s="29"/>
      <c r="N106" s="29"/>
      <c r="O106" s="29"/>
      <c r="P106" s="29"/>
      <c r="Q106" s="29"/>
      <c r="R106" s="29"/>
      <c r="S106" s="29"/>
      <c r="T106" s="29"/>
      <c r="U106" s="29"/>
      <c r="V106" s="29"/>
    </row>
    <row r="107" spans="1:22" ht="14.25" customHeight="1" x14ac:dyDescent="0.25">
      <c r="A107" s="29"/>
      <c r="B107" s="29"/>
      <c r="C107" s="29"/>
      <c r="D107" s="29"/>
      <c r="E107" s="29"/>
      <c r="F107" s="29"/>
      <c r="G107" s="29"/>
      <c r="H107" s="29"/>
      <c r="I107" s="29"/>
      <c r="J107" s="29"/>
      <c r="K107" s="29"/>
      <c r="L107" s="29"/>
      <c r="M107" s="29"/>
      <c r="N107" s="29"/>
      <c r="O107" s="29"/>
      <c r="P107" s="29"/>
      <c r="Q107" s="29"/>
      <c r="R107" s="29"/>
      <c r="S107" s="29"/>
      <c r="T107" s="29"/>
      <c r="U107" s="29"/>
      <c r="V107" s="29"/>
    </row>
    <row r="108" spans="1:22" ht="14.25" customHeight="1" x14ac:dyDescent="0.25">
      <c r="A108" s="29"/>
      <c r="B108" s="29"/>
      <c r="C108" s="29"/>
      <c r="D108" s="29"/>
      <c r="E108" s="29"/>
      <c r="F108" s="29"/>
      <c r="G108" s="29"/>
      <c r="H108" s="29"/>
      <c r="I108" s="29"/>
      <c r="J108" s="29"/>
      <c r="K108" s="29"/>
      <c r="L108" s="29"/>
      <c r="M108" s="29"/>
      <c r="N108" s="29"/>
      <c r="O108" s="29"/>
      <c r="P108" s="29"/>
      <c r="Q108" s="29"/>
      <c r="R108" s="29"/>
      <c r="S108" s="29"/>
      <c r="T108" s="29"/>
      <c r="U108" s="29"/>
      <c r="V108" s="29"/>
    </row>
    <row r="109" spans="1:22" ht="14.25" customHeight="1" x14ac:dyDescent="0.25">
      <c r="A109" s="29"/>
      <c r="B109" s="29"/>
      <c r="C109" s="29"/>
      <c r="D109" s="29"/>
      <c r="E109" s="29"/>
      <c r="F109" s="29"/>
      <c r="G109" s="29"/>
      <c r="H109" s="29"/>
      <c r="I109" s="29"/>
      <c r="J109" s="29"/>
      <c r="K109" s="29"/>
      <c r="L109" s="29"/>
      <c r="M109" s="29"/>
      <c r="N109" s="29"/>
      <c r="O109" s="29"/>
      <c r="P109" s="29"/>
      <c r="Q109" s="29"/>
      <c r="R109" s="29"/>
      <c r="S109" s="29"/>
      <c r="T109" s="29"/>
      <c r="U109" s="29"/>
      <c r="V109" s="29"/>
    </row>
    <row r="110" spans="1:22" ht="14.25" customHeight="1" x14ac:dyDescent="0.25">
      <c r="A110" s="29"/>
      <c r="B110" s="29"/>
      <c r="C110" s="29"/>
      <c r="D110" s="29"/>
      <c r="E110" s="29"/>
      <c r="F110" s="29"/>
      <c r="G110" s="29"/>
      <c r="H110" s="29"/>
      <c r="I110" s="29"/>
      <c r="J110" s="29"/>
      <c r="K110" s="29"/>
      <c r="L110" s="29"/>
      <c r="M110" s="29"/>
      <c r="N110" s="29"/>
      <c r="O110" s="29"/>
      <c r="P110" s="29"/>
      <c r="Q110" s="29"/>
      <c r="R110" s="29"/>
      <c r="S110" s="29"/>
      <c r="T110" s="29"/>
      <c r="U110" s="29"/>
      <c r="V110" s="29"/>
    </row>
    <row r="111" spans="1:22" ht="14.25" customHeight="1" x14ac:dyDescent="0.25">
      <c r="A111" s="29"/>
      <c r="B111" s="29"/>
      <c r="C111" s="29"/>
      <c r="D111" s="29"/>
      <c r="E111" s="29"/>
      <c r="F111" s="29"/>
      <c r="G111" s="29"/>
      <c r="H111" s="29"/>
      <c r="I111" s="29"/>
      <c r="J111" s="29"/>
      <c r="K111" s="29"/>
      <c r="L111" s="29"/>
      <c r="M111" s="29"/>
      <c r="N111" s="29"/>
      <c r="O111" s="29"/>
      <c r="P111" s="29"/>
      <c r="Q111" s="29"/>
      <c r="R111" s="29"/>
      <c r="S111" s="29"/>
      <c r="T111" s="29"/>
      <c r="U111" s="29"/>
      <c r="V111" s="29"/>
    </row>
    <row r="112" spans="1:22" ht="14.25" customHeight="1" x14ac:dyDescent="0.25">
      <c r="A112" s="29"/>
      <c r="B112" s="29"/>
      <c r="C112" s="29"/>
      <c r="D112" s="29"/>
      <c r="E112" s="29"/>
      <c r="F112" s="29"/>
      <c r="G112" s="29"/>
      <c r="H112" s="29"/>
      <c r="I112" s="29"/>
      <c r="J112" s="29"/>
      <c r="K112" s="29"/>
      <c r="L112" s="29"/>
      <c r="M112" s="29"/>
      <c r="N112" s="29"/>
      <c r="O112" s="29"/>
      <c r="P112" s="29"/>
      <c r="Q112" s="29"/>
      <c r="R112" s="29"/>
      <c r="S112" s="29"/>
      <c r="T112" s="29"/>
      <c r="U112" s="29"/>
      <c r="V112" s="29"/>
    </row>
    <row r="113" spans="1:22" ht="14.25" customHeight="1" x14ac:dyDescent="0.25">
      <c r="A113" s="29"/>
      <c r="B113" s="29"/>
      <c r="C113" s="29"/>
      <c r="D113" s="29"/>
      <c r="E113" s="29"/>
      <c r="F113" s="29"/>
      <c r="G113" s="29"/>
      <c r="H113" s="29"/>
      <c r="I113" s="29"/>
      <c r="J113" s="29"/>
      <c r="K113" s="29"/>
      <c r="L113" s="29"/>
      <c r="M113" s="29"/>
      <c r="N113" s="29"/>
      <c r="O113" s="29"/>
      <c r="P113" s="29"/>
      <c r="Q113" s="29"/>
      <c r="R113" s="29"/>
      <c r="S113" s="29"/>
      <c r="T113" s="29"/>
      <c r="U113" s="29"/>
      <c r="V113" s="29"/>
    </row>
    <row r="114" spans="1:22" ht="14.25" customHeight="1" x14ac:dyDescent="0.25">
      <c r="A114" s="29"/>
      <c r="B114" s="29"/>
      <c r="C114" s="29"/>
      <c r="D114" s="29"/>
      <c r="E114" s="29"/>
      <c r="F114" s="29"/>
      <c r="G114" s="29"/>
      <c r="H114" s="29"/>
      <c r="I114" s="29"/>
      <c r="J114" s="29"/>
      <c r="K114" s="29"/>
      <c r="L114" s="29"/>
      <c r="M114" s="29"/>
      <c r="N114" s="29"/>
      <c r="O114" s="29"/>
      <c r="P114" s="29"/>
      <c r="Q114" s="29"/>
      <c r="R114" s="29"/>
      <c r="S114" s="29"/>
      <c r="T114" s="29"/>
      <c r="U114" s="29"/>
      <c r="V114" s="29"/>
    </row>
    <row r="115" spans="1:22" ht="14.25" customHeight="1" x14ac:dyDescent="0.25">
      <c r="A115" s="29"/>
      <c r="B115" s="29"/>
      <c r="C115" s="29"/>
      <c r="D115" s="29"/>
      <c r="E115" s="29"/>
      <c r="F115" s="29"/>
      <c r="G115" s="29"/>
      <c r="H115" s="29"/>
      <c r="I115" s="29"/>
      <c r="J115" s="29"/>
      <c r="K115" s="29"/>
      <c r="L115" s="29"/>
      <c r="M115" s="29"/>
      <c r="N115" s="29"/>
      <c r="O115" s="29"/>
      <c r="P115" s="29"/>
      <c r="Q115" s="29"/>
      <c r="R115" s="29"/>
      <c r="S115" s="29"/>
      <c r="T115" s="29"/>
      <c r="U115" s="29"/>
      <c r="V115" s="29"/>
    </row>
    <row r="116" spans="1:22" ht="14.25" customHeight="1" x14ac:dyDescent="0.25">
      <c r="A116" s="29"/>
      <c r="B116" s="29"/>
      <c r="C116" s="29"/>
      <c r="D116" s="29"/>
      <c r="E116" s="29"/>
      <c r="F116" s="29"/>
      <c r="G116" s="29"/>
      <c r="H116" s="29"/>
      <c r="I116" s="29"/>
      <c r="J116" s="29"/>
      <c r="K116" s="29"/>
      <c r="L116" s="29"/>
      <c r="M116" s="29"/>
      <c r="N116" s="29"/>
      <c r="O116" s="29"/>
      <c r="P116" s="29"/>
      <c r="Q116" s="29"/>
      <c r="R116" s="29"/>
      <c r="S116" s="29"/>
      <c r="T116" s="29"/>
      <c r="U116" s="29"/>
      <c r="V116" s="29"/>
    </row>
    <row r="117" spans="1:22" ht="14.25" customHeight="1" x14ac:dyDescent="0.25">
      <c r="A117" s="29"/>
      <c r="B117" s="29"/>
      <c r="C117" s="29"/>
      <c r="D117" s="29"/>
      <c r="E117" s="29"/>
      <c r="F117" s="29"/>
      <c r="G117" s="29"/>
      <c r="H117" s="29"/>
      <c r="I117" s="29"/>
      <c r="J117" s="29"/>
      <c r="K117" s="29"/>
      <c r="L117" s="29"/>
      <c r="M117" s="29"/>
      <c r="N117" s="29"/>
      <c r="O117" s="29"/>
      <c r="P117" s="29"/>
      <c r="Q117" s="29"/>
      <c r="R117" s="29"/>
      <c r="S117" s="29"/>
      <c r="T117" s="29"/>
      <c r="U117" s="29"/>
      <c r="V117" s="29"/>
    </row>
    <row r="118" spans="1:22" ht="14.25" customHeight="1" x14ac:dyDescent="0.25">
      <c r="A118" s="29"/>
      <c r="B118" s="29"/>
      <c r="C118" s="29"/>
      <c r="D118" s="29"/>
      <c r="E118" s="29"/>
      <c r="F118" s="29"/>
      <c r="G118" s="29"/>
      <c r="H118" s="29"/>
      <c r="I118" s="29"/>
      <c r="J118" s="29"/>
      <c r="K118" s="29"/>
      <c r="L118" s="29"/>
      <c r="M118" s="29"/>
      <c r="N118" s="29"/>
      <c r="O118" s="29"/>
      <c r="P118" s="29"/>
      <c r="Q118" s="29"/>
      <c r="R118" s="29"/>
      <c r="S118" s="29"/>
      <c r="T118" s="29"/>
      <c r="U118" s="29"/>
      <c r="V118" s="29"/>
    </row>
    <row r="119" spans="1:22" ht="14.25" customHeight="1" x14ac:dyDescent="0.25">
      <c r="A119" s="29"/>
      <c r="B119" s="29"/>
      <c r="C119" s="29"/>
      <c r="D119" s="29"/>
      <c r="E119" s="29"/>
      <c r="F119" s="29"/>
      <c r="G119" s="29"/>
      <c r="H119" s="29"/>
      <c r="I119" s="29"/>
      <c r="J119" s="29"/>
      <c r="K119" s="29"/>
      <c r="L119" s="29"/>
      <c r="M119" s="29"/>
      <c r="N119" s="29"/>
      <c r="O119" s="29"/>
      <c r="P119" s="29"/>
      <c r="Q119" s="29"/>
      <c r="R119" s="29"/>
      <c r="S119" s="29"/>
      <c r="T119" s="29"/>
      <c r="U119" s="29"/>
      <c r="V119" s="29"/>
    </row>
    <row r="120" spans="1:22" ht="14.25" customHeight="1" x14ac:dyDescent="0.25">
      <c r="A120" s="29"/>
      <c r="B120" s="29"/>
      <c r="C120" s="29"/>
      <c r="D120" s="29"/>
      <c r="E120" s="29"/>
      <c r="F120" s="29"/>
      <c r="G120" s="29"/>
      <c r="H120" s="29"/>
      <c r="I120" s="29"/>
      <c r="J120" s="29"/>
      <c r="K120" s="29"/>
      <c r="L120" s="29"/>
      <c r="M120" s="29"/>
      <c r="N120" s="29"/>
      <c r="O120" s="29"/>
      <c r="P120" s="29"/>
      <c r="Q120" s="29"/>
      <c r="R120" s="29"/>
      <c r="S120" s="29"/>
      <c r="T120" s="29"/>
      <c r="U120" s="29"/>
      <c r="V120" s="29"/>
    </row>
    <row r="121" spans="1:22" ht="14.25" customHeight="1" x14ac:dyDescent="0.25">
      <c r="A121" s="29"/>
      <c r="B121" s="29"/>
      <c r="C121" s="29"/>
      <c r="D121" s="29"/>
      <c r="E121" s="29"/>
      <c r="F121" s="29"/>
      <c r="G121" s="29"/>
      <c r="H121" s="29"/>
      <c r="I121" s="29"/>
      <c r="J121" s="29"/>
      <c r="K121" s="29"/>
      <c r="L121" s="29"/>
      <c r="M121" s="29"/>
      <c r="N121" s="29"/>
      <c r="O121" s="29"/>
      <c r="P121" s="29"/>
      <c r="Q121" s="29"/>
      <c r="R121" s="29"/>
      <c r="S121" s="29"/>
      <c r="T121" s="29"/>
      <c r="U121" s="29"/>
      <c r="V121" s="29"/>
    </row>
    <row r="122" spans="1:22" ht="14.25" customHeight="1" x14ac:dyDescent="0.25">
      <c r="A122" s="29"/>
      <c r="B122" s="29"/>
      <c r="C122" s="29"/>
      <c r="D122" s="29"/>
      <c r="E122" s="29"/>
      <c r="F122" s="29"/>
      <c r="G122" s="29"/>
      <c r="H122" s="29"/>
      <c r="I122" s="29"/>
      <c r="J122" s="29"/>
      <c r="K122" s="29"/>
      <c r="L122" s="29"/>
      <c r="M122" s="29"/>
      <c r="N122" s="29"/>
      <c r="O122" s="29"/>
      <c r="P122" s="29"/>
      <c r="Q122" s="29"/>
      <c r="R122" s="29"/>
      <c r="S122" s="29"/>
      <c r="T122" s="29"/>
      <c r="U122" s="29"/>
      <c r="V122" s="29"/>
    </row>
    <row r="123" spans="1:22" ht="14.25" customHeight="1" x14ac:dyDescent="0.25">
      <c r="A123" s="29"/>
      <c r="B123" s="29"/>
      <c r="C123" s="29"/>
      <c r="D123" s="29"/>
      <c r="E123" s="29"/>
      <c r="F123" s="29"/>
      <c r="G123" s="29"/>
      <c r="H123" s="29"/>
      <c r="I123" s="29"/>
      <c r="J123" s="29"/>
      <c r="K123" s="29"/>
      <c r="L123" s="29"/>
      <c r="M123" s="29"/>
      <c r="N123" s="29"/>
      <c r="O123" s="29"/>
      <c r="P123" s="29"/>
      <c r="Q123" s="29"/>
      <c r="R123" s="29"/>
      <c r="S123" s="29"/>
      <c r="T123" s="29"/>
      <c r="U123" s="29"/>
      <c r="V123" s="29"/>
    </row>
    <row r="124" spans="1:22" ht="14.25" customHeight="1" x14ac:dyDescent="0.25">
      <c r="A124" s="29"/>
      <c r="B124" s="29"/>
      <c r="C124" s="29"/>
      <c r="D124" s="29"/>
      <c r="E124" s="29"/>
      <c r="F124" s="29"/>
      <c r="G124" s="29"/>
      <c r="H124" s="29"/>
      <c r="I124" s="29"/>
      <c r="J124" s="29"/>
      <c r="K124" s="29"/>
      <c r="L124" s="29"/>
      <c r="M124" s="29"/>
      <c r="N124" s="29"/>
      <c r="O124" s="29"/>
      <c r="P124" s="29"/>
      <c r="Q124" s="29"/>
      <c r="R124" s="29"/>
      <c r="S124" s="29"/>
      <c r="T124" s="29"/>
      <c r="U124" s="29"/>
      <c r="V124" s="29"/>
    </row>
    <row r="125" spans="1:22" ht="14.25" customHeight="1" x14ac:dyDescent="0.25">
      <c r="A125" s="29"/>
      <c r="B125" s="29"/>
      <c r="C125" s="29"/>
      <c r="D125" s="29"/>
      <c r="E125" s="29"/>
      <c r="F125" s="29"/>
      <c r="G125" s="29"/>
      <c r="H125" s="29"/>
      <c r="I125" s="29"/>
      <c r="J125" s="29"/>
      <c r="K125" s="29"/>
      <c r="L125" s="29"/>
      <c r="M125" s="29"/>
      <c r="N125" s="29"/>
      <c r="O125" s="29"/>
      <c r="P125" s="29"/>
      <c r="Q125" s="29"/>
      <c r="R125" s="29"/>
      <c r="S125" s="29"/>
      <c r="T125" s="29"/>
      <c r="U125" s="29"/>
      <c r="V125" s="29"/>
    </row>
    <row r="126" spans="1:22" ht="14.25" customHeight="1" x14ac:dyDescent="0.25">
      <c r="A126" s="29"/>
      <c r="B126" s="29"/>
      <c r="C126" s="29"/>
      <c r="D126" s="29"/>
      <c r="E126" s="29"/>
      <c r="F126" s="29"/>
      <c r="G126" s="29"/>
      <c r="H126" s="29"/>
      <c r="I126" s="29"/>
      <c r="J126" s="29"/>
      <c r="K126" s="29"/>
      <c r="L126" s="29"/>
      <c r="M126" s="29"/>
      <c r="N126" s="29"/>
      <c r="O126" s="29"/>
      <c r="P126" s="29"/>
      <c r="Q126" s="29"/>
      <c r="R126" s="29"/>
      <c r="S126" s="29"/>
      <c r="T126" s="29"/>
      <c r="U126" s="29"/>
      <c r="V126" s="29"/>
    </row>
    <row r="127" spans="1:22" ht="14.25" customHeight="1" x14ac:dyDescent="0.25">
      <c r="A127" s="29"/>
      <c r="B127" s="29"/>
      <c r="C127" s="29"/>
      <c r="D127" s="29"/>
      <c r="E127" s="29"/>
      <c r="F127" s="29"/>
      <c r="G127" s="29"/>
      <c r="H127" s="29"/>
      <c r="I127" s="29"/>
      <c r="J127" s="29"/>
      <c r="K127" s="29"/>
      <c r="L127" s="29"/>
      <c r="M127" s="29"/>
      <c r="N127" s="29"/>
      <c r="O127" s="29"/>
      <c r="P127" s="29"/>
      <c r="Q127" s="29"/>
      <c r="R127" s="29"/>
      <c r="S127" s="29"/>
      <c r="T127" s="29"/>
      <c r="U127" s="29"/>
      <c r="V127" s="29"/>
    </row>
    <row r="128" spans="1:22" ht="14.25" customHeight="1" x14ac:dyDescent="0.25">
      <c r="A128" s="29"/>
      <c r="B128" s="29"/>
      <c r="C128" s="29"/>
      <c r="D128" s="29"/>
      <c r="E128" s="29"/>
      <c r="F128" s="29"/>
      <c r="G128" s="29"/>
      <c r="H128" s="29"/>
      <c r="I128" s="29"/>
      <c r="J128" s="29"/>
      <c r="K128" s="29"/>
      <c r="L128" s="29"/>
      <c r="M128" s="29"/>
      <c r="N128" s="29"/>
      <c r="O128" s="29"/>
      <c r="P128" s="29"/>
      <c r="Q128" s="29"/>
      <c r="R128" s="29"/>
      <c r="S128" s="29"/>
      <c r="T128" s="29"/>
      <c r="U128" s="29"/>
      <c r="V128" s="29"/>
    </row>
    <row r="129" spans="1:22" ht="14.25" customHeight="1" x14ac:dyDescent="0.25">
      <c r="A129" s="29"/>
      <c r="B129" s="29"/>
      <c r="C129" s="29"/>
      <c r="D129" s="29"/>
      <c r="E129" s="29"/>
      <c r="F129" s="29"/>
      <c r="G129" s="29"/>
      <c r="H129" s="29"/>
      <c r="I129" s="29"/>
      <c r="J129" s="29"/>
      <c r="K129" s="29"/>
      <c r="L129" s="29"/>
      <c r="M129" s="29"/>
      <c r="N129" s="29"/>
      <c r="O129" s="29"/>
      <c r="P129" s="29"/>
      <c r="Q129" s="29"/>
      <c r="R129" s="29"/>
      <c r="S129" s="29"/>
      <c r="T129" s="29"/>
      <c r="U129" s="29"/>
      <c r="V129" s="29"/>
    </row>
    <row r="130" spans="1:22" ht="14.25" customHeight="1" x14ac:dyDescent="0.25">
      <c r="A130" s="29"/>
      <c r="B130" s="29"/>
      <c r="C130" s="29"/>
      <c r="D130" s="29"/>
      <c r="E130" s="29"/>
      <c r="F130" s="29"/>
      <c r="G130" s="29"/>
      <c r="H130" s="29"/>
      <c r="I130" s="29"/>
      <c r="J130" s="29"/>
      <c r="K130" s="29"/>
      <c r="L130" s="29"/>
      <c r="M130" s="29"/>
      <c r="N130" s="29"/>
      <c r="O130" s="29"/>
      <c r="P130" s="29"/>
      <c r="Q130" s="29"/>
      <c r="R130" s="29"/>
      <c r="S130" s="29"/>
      <c r="T130" s="29"/>
      <c r="U130" s="29"/>
      <c r="V130" s="29"/>
    </row>
    <row r="131" spans="1:22" ht="14.25" customHeight="1" x14ac:dyDescent="0.25">
      <c r="A131" s="29"/>
      <c r="B131" s="29"/>
      <c r="C131" s="29"/>
      <c r="D131" s="29"/>
      <c r="E131" s="29"/>
      <c r="F131" s="29"/>
      <c r="G131" s="29"/>
      <c r="H131" s="29"/>
      <c r="I131" s="29"/>
      <c r="J131" s="29"/>
      <c r="K131" s="29"/>
      <c r="L131" s="29"/>
      <c r="M131" s="29"/>
      <c r="N131" s="29"/>
      <c r="O131" s="29"/>
      <c r="P131" s="29"/>
      <c r="Q131" s="29"/>
      <c r="R131" s="29"/>
      <c r="S131" s="29"/>
      <c r="T131" s="29"/>
      <c r="U131" s="29"/>
      <c r="V131" s="29"/>
    </row>
    <row r="132" spans="1:22" ht="14.25" customHeight="1" x14ac:dyDescent="0.25">
      <c r="A132" s="29"/>
      <c r="B132" s="29"/>
      <c r="C132" s="29"/>
      <c r="D132" s="29"/>
      <c r="E132" s="29"/>
      <c r="F132" s="29"/>
      <c r="G132" s="29"/>
      <c r="H132" s="29"/>
      <c r="I132" s="29"/>
      <c r="J132" s="29"/>
      <c r="K132" s="29"/>
      <c r="L132" s="29"/>
      <c r="M132" s="29"/>
      <c r="N132" s="29"/>
      <c r="O132" s="29"/>
      <c r="P132" s="29"/>
      <c r="Q132" s="29"/>
      <c r="R132" s="29"/>
      <c r="S132" s="29"/>
      <c r="T132" s="29"/>
      <c r="U132" s="29"/>
      <c r="V132" s="29"/>
    </row>
    <row r="133" spans="1:22" ht="14.25" customHeight="1" x14ac:dyDescent="0.25">
      <c r="A133" s="29"/>
      <c r="B133" s="29"/>
      <c r="C133" s="29"/>
      <c r="D133" s="29"/>
      <c r="E133" s="29"/>
      <c r="F133" s="29"/>
      <c r="G133" s="29"/>
      <c r="H133" s="29"/>
      <c r="I133" s="29"/>
      <c r="J133" s="29"/>
      <c r="K133" s="29"/>
      <c r="L133" s="29"/>
      <c r="M133" s="29"/>
      <c r="N133" s="29"/>
      <c r="O133" s="29"/>
      <c r="P133" s="29"/>
      <c r="Q133" s="29"/>
      <c r="R133" s="29"/>
      <c r="S133" s="29"/>
      <c r="T133" s="29"/>
      <c r="U133" s="29"/>
      <c r="V133" s="29"/>
    </row>
    <row r="134" spans="1:22" ht="14.25" customHeight="1" x14ac:dyDescent="0.25">
      <c r="A134" s="29"/>
      <c r="B134" s="29"/>
      <c r="C134" s="29"/>
      <c r="D134" s="29"/>
      <c r="E134" s="29"/>
      <c r="F134" s="29"/>
      <c r="G134" s="29"/>
      <c r="H134" s="29"/>
      <c r="I134" s="29"/>
      <c r="J134" s="29"/>
      <c r="K134" s="29"/>
      <c r="L134" s="29"/>
      <c r="M134" s="29"/>
      <c r="N134" s="29"/>
      <c r="O134" s="29"/>
      <c r="P134" s="29"/>
      <c r="Q134" s="29"/>
      <c r="R134" s="29"/>
      <c r="S134" s="29"/>
      <c r="T134" s="29"/>
      <c r="U134" s="29"/>
      <c r="V134" s="29"/>
    </row>
    <row r="135" spans="1:22" ht="14.25" customHeight="1" x14ac:dyDescent="0.25">
      <c r="A135" s="29"/>
      <c r="B135" s="29"/>
      <c r="C135" s="29"/>
      <c r="D135" s="29"/>
      <c r="E135" s="29"/>
      <c r="F135" s="29"/>
      <c r="G135" s="29"/>
      <c r="H135" s="29"/>
      <c r="I135" s="29"/>
      <c r="J135" s="29"/>
      <c r="K135" s="29"/>
      <c r="L135" s="29"/>
      <c r="M135" s="29"/>
      <c r="N135" s="29"/>
      <c r="O135" s="29"/>
      <c r="P135" s="29"/>
      <c r="Q135" s="29"/>
      <c r="R135" s="29"/>
      <c r="S135" s="29"/>
      <c r="T135" s="29"/>
      <c r="U135" s="29"/>
      <c r="V135" s="29"/>
    </row>
    <row r="136" spans="1:22" ht="14.25" customHeight="1" x14ac:dyDescent="0.25">
      <c r="A136" s="29"/>
      <c r="B136" s="29"/>
      <c r="C136" s="29"/>
      <c r="D136" s="29"/>
      <c r="E136" s="29"/>
      <c r="F136" s="29"/>
      <c r="G136" s="29"/>
      <c r="H136" s="29"/>
      <c r="I136" s="29"/>
      <c r="J136" s="29"/>
      <c r="K136" s="29"/>
      <c r="L136" s="29"/>
      <c r="M136" s="29"/>
      <c r="N136" s="29"/>
      <c r="O136" s="29"/>
      <c r="P136" s="29"/>
      <c r="Q136" s="29"/>
      <c r="R136" s="29"/>
      <c r="S136" s="29"/>
      <c r="T136" s="29"/>
      <c r="U136" s="29"/>
      <c r="V136" s="29"/>
    </row>
    <row r="137" spans="1:22" ht="14.25" customHeight="1" x14ac:dyDescent="0.25">
      <c r="A137" s="29"/>
      <c r="B137" s="29"/>
      <c r="C137" s="29"/>
      <c r="D137" s="29"/>
      <c r="E137" s="29"/>
      <c r="F137" s="29"/>
      <c r="G137" s="29"/>
      <c r="H137" s="29"/>
      <c r="I137" s="29"/>
      <c r="J137" s="29"/>
      <c r="K137" s="29"/>
      <c r="L137" s="29"/>
      <c r="M137" s="29"/>
      <c r="N137" s="29"/>
      <c r="O137" s="29"/>
      <c r="P137" s="29"/>
      <c r="Q137" s="29"/>
      <c r="R137" s="29"/>
      <c r="S137" s="29"/>
      <c r="T137" s="29"/>
      <c r="U137" s="29"/>
      <c r="V137" s="29"/>
    </row>
    <row r="138" spans="1:22" ht="14.25" customHeight="1" x14ac:dyDescent="0.25">
      <c r="A138" s="29"/>
      <c r="B138" s="29"/>
      <c r="C138" s="29"/>
      <c r="D138" s="29"/>
      <c r="E138" s="29"/>
      <c r="F138" s="29"/>
      <c r="G138" s="29"/>
      <c r="H138" s="29"/>
      <c r="I138" s="29"/>
      <c r="J138" s="29"/>
      <c r="K138" s="29"/>
      <c r="L138" s="29"/>
      <c r="M138" s="29"/>
      <c r="N138" s="29"/>
      <c r="O138" s="29"/>
      <c r="P138" s="29"/>
      <c r="Q138" s="29"/>
      <c r="R138" s="29"/>
      <c r="S138" s="29"/>
      <c r="T138" s="29"/>
      <c r="U138" s="29"/>
      <c r="V138" s="29"/>
    </row>
    <row r="139" spans="1:22" ht="14.25" customHeight="1" x14ac:dyDescent="0.25">
      <c r="A139" s="29"/>
      <c r="B139" s="29"/>
      <c r="C139" s="29"/>
      <c r="D139" s="29"/>
      <c r="E139" s="29"/>
      <c r="F139" s="29"/>
      <c r="G139" s="29"/>
      <c r="H139" s="29"/>
      <c r="I139" s="29"/>
      <c r="J139" s="29"/>
      <c r="K139" s="29"/>
      <c r="L139" s="29"/>
      <c r="M139" s="29"/>
      <c r="N139" s="29"/>
      <c r="O139" s="29"/>
      <c r="P139" s="29"/>
      <c r="Q139" s="29"/>
      <c r="R139" s="29"/>
      <c r="S139" s="29"/>
      <c r="T139" s="29"/>
      <c r="U139" s="29"/>
      <c r="V139" s="29"/>
    </row>
    <row r="140" spans="1:22" ht="14.25" customHeight="1" x14ac:dyDescent="0.25">
      <c r="A140" s="29"/>
      <c r="B140" s="29"/>
      <c r="C140" s="29"/>
      <c r="D140" s="29"/>
      <c r="E140" s="29"/>
      <c r="F140" s="29"/>
      <c r="G140" s="29"/>
      <c r="H140" s="29"/>
      <c r="I140" s="29"/>
      <c r="J140" s="29"/>
      <c r="K140" s="29"/>
      <c r="L140" s="29"/>
      <c r="M140" s="29"/>
      <c r="N140" s="29"/>
      <c r="O140" s="29"/>
      <c r="P140" s="29"/>
      <c r="Q140" s="29"/>
      <c r="R140" s="29"/>
      <c r="S140" s="29"/>
      <c r="T140" s="29"/>
      <c r="U140" s="29"/>
      <c r="V140" s="29"/>
    </row>
    <row r="141" spans="1:22" ht="14.25" customHeight="1" x14ac:dyDescent="0.25">
      <c r="A141" s="29"/>
      <c r="B141" s="29"/>
      <c r="C141" s="29"/>
      <c r="D141" s="29"/>
      <c r="E141" s="29"/>
      <c r="F141" s="29"/>
      <c r="G141" s="29"/>
      <c r="H141" s="29"/>
      <c r="I141" s="29"/>
      <c r="J141" s="29"/>
      <c r="K141" s="29"/>
      <c r="L141" s="29"/>
      <c r="M141" s="29"/>
      <c r="N141" s="29"/>
      <c r="O141" s="29"/>
      <c r="P141" s="29"/>
      <c r="Q141" s="29"/>
      <c r="R141" s="29"/>
      <c r="S141" s="29"/>
      <c r="T141" s="29"/>
      <c r="U141" s="29"/>
      <c r="V141" s="29"/>
    </row>
    <row r="142" spans="1:22" ht="14.25" customHeight="1" x14ac:dyDescent="0.25">
      <c r="A142" s="29"/>
      <c r="B142" s="29"/>
      <c r="C142" s="29"/>
      <c r="D142" s="29"/>
      <c r="E142" s="29"/>
      <c r="F142" s="29"/>
      <c r="G142" s="29"/>
      <c r="H142" s="29"/>
      <c r="I142" s="29"/>
      <c r="J142" s="29"/>
      <c r="K142" s="29"/>
      <c r="L142" s="29"/>
      <c r="M142" s="29"/>
      <c r="N142" s="29"/>
      <c r="O142" s="29"/>
      <c r="P142" s="29"/>
      <c r="Q142" s="29"/>
      <c r="R142" s="29"/>
      <c r="S142" s="29"/>
      <c r="T142" s="29"/>
      <c r="U142" s="29"/>
      <c r="V142" s="29"/>
    </row>
    <row r="143" spans="1:22" ht="14.25" customHeight="1" x14ac:dyDescent="0.25">
      <c r="A143" s="29"/>
      <c r="B143" s="29"/>
      <c r="C143" s="29"/>
      <c r="D143" s="29"/>
      <c r="E143" s="29"/>
      <c r="F143" s="29"/>
      <c r="G143" s="29"/>
      <c r="H143" s="29"/>
      <c r="I143" s="29"/>
      <c r="J143" s="29"/>
      <c r="K143" s="29"/>
      <c r="L143" s="29"/>
      <c r="M143" s="29"/>
      <c r="N143" s="29"/>
      <c r="O143" s="29"/>
      <c r="P143" s="29"/>
      <c r="Q143" s="29"/>
      <c r="R143" s="29"/>
      <c r="S143" s="29"/>
      <c r="T143" s="29"/>
      <c r="U143" s="29"/>
      <c r="V143" s="29"/>
    </row>
    <row r="144" spans="1:22" ht="14.25" customHeight="1" x14ac:dyDescent="0.25">
      <c r="A144" s="29"/>
      <c r="B144" s="29"/>
      <c r="C144" s="29"/>
      <c r="D144" s="29"/>
      <c r="E144" s="29"/>
      <c r="F144" s="29"/>
      <c r="G144" s="29"/>
      <c r="H144" s="29"/>
      <c r="I144" s="29"/>
      <c r="J144" s="29"/>
      <c r="K144" s="29"/>
      <c r="L144" s="29"/>
      <c r="M144" s="29"/>
      <c r="N144" s="29"/>
      <c r="O144" s="29"/>
      <c r="P144" s="29"/>
      <c r="Q144" s="29"/>
      <c r="R144" s="29"/>
      <c r="S144" s="29"/>
      <c r="T144" s="29"/>
      <c r="U144" s="29"/>
      <c r="V144" s="29"/>
    </row>
    <row r="145" spans="1:22" ht="14.25" customHeight="1" x14ac:dyDescent="0.25">
      <c r="A145" s="29"/>
      <c r="B145" s="29"/>
      <c r="C145" s="29"/>
      <c r="D145" s="29"/>
      <c r="E145" s="29"/>
      <c r="F145" s="29"/>
      <c r="G145" s="29"/>
      <c r="H145" s="29"/>
      <c r="I145" s="29"/>
      <c r="J145" s="29"/>
      <c r="K145" s="29"/>
      <c r="L145" s="29"/>
      <c r="M145" s="29"/>
      <c r="N145" s="29"/>
      <c r="O145" s="29"/>
      <c r="P145" s="29"/>
      <c r="Q145" s="29"/>
      <c r="R145" s="29"/>
      <c r="S145" s="29"/>
      <c r="T145" s="29"/>
      <c r="U145" s="29"/>
      <c r="V145" s="29"/>
    </row>
    <row r="146" spans="1:22" ht="14.25" customHeight="1" x14ac:dyDescent="0.25">
      <c r="A146" s="29"/>
      <c r="B146" s="29"/>
      <c r="C146" s="29"/>
      <c r="D146" s="29"/>
      <c r="E146" s="29"/>
      <c r="F146" s="29"/>
      <c r="G146" s="29"/>
      <c r="H146" s="29"/>
      <c r="I146" s="29"/>
      <c r="J146" s="29"/>
      <c r="K146" s="29"/>
      <c r="L146" s="29"/>
      <c r="M146" s="29"/>
      <c r="N146" s="29"/>
      <c r="O146" s="29"/>
      <c r="P146" s="29"/>
      <c r="Q146" s="29"/>
      <c r="R146" s="29"/>
      <c r="S146" s="29"/>
      <c r="T146" s="29"/>
      <c r="U146" s="29"/>
      <c r="V146" s="29"/>
    </row>
    <row r="147" spans="1:22" ht="14.25" customHeight="1" x14ac:dyDescent="0.25">
      <c r="A147" s="29"/>
      <c r="B147" s="29"/>
      <c r="C147" s="29"/>
      <c r="D147" s="29"/>
      <c r="E147" s="29"/>
      <c r="F147" s="29"/>
      <c r="G147" s="29"/>
      <c r="H147" s="29"/>
      <c r="I147" s="29"/>
      <c r="J147" s="29"/>
      <c r="K147" s="29"/>
      <c r="L147" s="29"/>
      <c r="M147" s="29"/>
      <c r="N147" s="29"/>
      <c r="O147" s="29"/>
      <c r="P147" s="29"/>
      <c r="Q147" s="29"/>
      <c r="R147" s="29"/>
      <c r="S147" s="29"/>
      <c r="T147" s="29"/>
      <c r="U147" s="29"/>
      <c r="V147" s="29"/>
    </row>
    <row r="148" spans="1:22" ht="14.25" customHeight="1" x14ac:dyDescent="0.25">
      <c r="A148" s="29"/>
      <c r="B148" s="29"/>
      <c r="C148" s="29"/>
      <c r="D148" s="29"/>
      <c r="E148" s="29"/>
      <c r="F148" s="29"/>
      <c r="G148" s="29"/>
      <c r="H148" s="29"/>
      <c r="I148" s="29"/>
      <c r="J148" s="29"/>
      <c r="K148" s="29"/>
      <c r="L148" s="29"/>
      <c r="M148" s="29"/>
      <c r="N148" s="29"/>
      <c r="O148" s="29"/>
      <c r="P148" s="29"/>
      <c r="Q148" s="29"/>
      <c r="R148" s="29"/>
      <c r="S148" s="29"/>
      <c r="T148" s="29"/>
      <c r="U148" s="29"/>
      <c r="V148" s="29"/>
    </row>
    <row r="149" spans="1:22" ht="14.25" customHeight="1" x14ac:dyDescent="0.25">
      <c r="A149" s="29"/>
      <c r="B149" s="29"/>
      <c r="C149" s="29"/>
      <c r="D149" s="29"/>
      <c r="E149" s="29"/>
      <c r="F149" s="29"/>
      <c r="G149" s="29"/>
      <c r="H149" s="29"/>
      <c r="I149" s="29"/>
      <c r="J149" s="29"/>
      <c r="K149" s="29"/>
      <c r="L149" s="29"/>
      <c r="M149" s="29"/>
      <c r="N149" s="29"/>
      <c r="O149" s="29"/>
      <c r="P149" s="29"/>
      <c r="Q149" s="29"/>
      <c r="R149" s="29"/>
      <c r="S149" s="29"/>
      <c r="T149" s="29"/>
      <c r="U149" s="29"/>
      <c r="V149" s="29"/>
    </row>
    <row r="150" spans="1:22" ht="14.25" customHeight="1" x14ac:dyDescent="0.25">
      <c r="A150" s="29"/>
      <c r="B150" s="29"/>
      <c r="C150" s="29"/>
      <c r="D150" s="29"/>
      <c r="E150" s="29"/>
      <c r="F150" s="29"/>
      <c r="G150" s="29"/>
      <c r="H150" s="29"/>
      <c r="I150" s="29"/>
      <c r="J150" s="29"/>
      <c r="K150" s="29"/>
      <c r="L150" s="29"/>
      <c r="M150" s="29"/>
      <c r="N150" s="29"/>
      <c r="O150" s="29"/>
      <c r="P150" s="29"/>
      <c r="Q150" s="29"/>
      <c r="R150" s="29"/>
      <c r="S150" s="29"/>
      <c r="T150" s="29"/>
      <c r="U150" s="29"/>
      <c r="V150" s="29"/>
    </row>
    <row r="151" spans="1:22" ht="14.25" customHeight="1" x14ac:dyDescent="0.25">
      <c r="A151" s="29"/>
      <c r="B151" s="29"/>
      <c r="C151" s="29"/>
      <c r="D151" s="29"/>
      <c r="E151" s="29"/>
      <c r="F151" s="29"/>
      <c r="G151" s="29"/>
      <c r="H151" s="29"/>
      <c r="I151" s="29"/>
      <c r="J151" s="29"/>
      <c r="K151" s="29"/>
      <c r="L151" s="29"/>
      <c r="M151" s="29"/>
      <c r="N151" s="29"/>
      <c r="O151" s="29"/>
      <c r="P151" s="29"/>
      <c r="Q151" s="29"/>
      <c r="R151" s="29"/>
      <c r="S151" s="29"/>
      <c r="T151" s="29"/>
      <c r="U151" s="29"/>
      <c r="V151" s="29"/>
    </row>
    <row r="152" spans="1:22" ht="14.25" customHeight="1" x14ac:dyDescent="0.25">
      <c r="A152" s="29"/>
      <c r="B152" s="29"/>
      <c r="C152" s="29"/>
      <c r="D152" s="29"/>
      <c r="E152" s="29"/>
      <c r="F152" s="29"/>
      <c r="G152" s="29"/>
      <c r="H152" s="29"/>
      <c r="I152" s="29"/>
      <c r="J152" s="29"/>
      <c r="K152" s="29"/>
      <c r="L152" s="29"/>
      <c r="M152" s="29"/>
      <c r="N152" s="29"/>
      <c r="O152" s="29"/>
      <c r="P152" s="29"/>
      <c r="Q152" s="29"/>
      <c r="R152" s="29"/>
      <c r="S152" s="29"/>
      <c r="T152" s="29"/>
      <c r="U152" s="29"/>
      <c r="V152" s="29"/>
    </row>
    <row r="153" spans="1:22" ht="14.25" customHeight="1" x14ac:dyDescent="0.25">
      <c r="A153" s="29"/>
      <c r="B153" s="29"/>
      <c r="C153" s="29"/>
      <c r="D153" s="29"/>
      <c r="E153" s="29"/>
      <c r="F153" s="29"/>
      <c r="G153" s="29"/>
      <c r="H153" s="29"/>
      <c r="I153" s="29"/>
      <c r="J153" s="29"/>
      <c r="K153" s="29"/>
      <c r="L153" s="29"/>
      <c r="M153" s="29"/>
      <c r="N153" s="29"/>
      <c r="O153" s="29"/>
      <c r="P153" s="29"/>
      <c r="Q153" s="29"/>
      <c r="R153" s="29"/>
      <c r="S153" s="29"/>
      <c r="T153" s="29"/>
      <c r="U153" s="29"/>
      <c r="V153" s="29"/>
    </row>
    <row r="154" spans="1:22" ht="14.25" customHeight="1" x14ac:dyDescent="0.25">
      <c r="A154" s="29"/>
      <c r="B154" s="29"/>
      <c r="C154" s="29"/>
      <c r="D154" s="29"/>
      <c r="E154" s="29"/>
      <c r="F154" s="29"/>
      <c r="G154" s="29"/>
      <c r="H154" s="29"/>
      <c r="I154" s="29"/>
      <c r="J154" s="29"/>
      <c r="K154" s="29"/>
      <c r="L154" s="29"/>
      <c r="M154" s="29"/>
      <c r="N154" s="29"/>
      <c r="O154" s="29"/>
      <c r="P154" s="29"/>
      <c r="Q154" s="29"/>
      <c r="R154" s="29"/>
      <c r="S154" s="29"/>
      <c r="T154" s="29"/>
      <c r="U154" s="29"/>
      <c r="V154" s="29"/>
    </row>
    <row r="155" spans="1:22" ht="14.25" customHeight="1" x14ac:dyDescent="0.25">
      <c r="A155" s="29"/>
      <c r="B155" s="29"/>
      <c r="C155" s="29"/>
      <c r="D155" s="29"/>
      <c r="E155" s="29"/>
      <c r="F155" s="29"/>
      <c r="G155" s="29"/>
      <c r="H155" s="29"/>
      <c r="I155" s="29"/>
      <c r="J155" s="29"/>
      <c r="K155" s="29"/>
      <c r="L155" s="29"/>
      <c r="M155" s="29"/>
      <c r="N155" s="29"/>
      <c r="O155" s="29"/>
      <c r="P155" s="29"/>
      <c r="Q155" s="29"/>
      <c r="R155" s="29"/>
      <c r="S155" s="29"/>
      <c r="T155" s="29"/>
      <c r="U155" s="29"/>
      <c r="V155" s="29"/>
    </row>
    <row r="156" spans="1:22" ht="14.25" customHeight="1" x14ac:dyDescent="0.25">
      <c r="A156" s="29"/>
      <c r="B156" s="29"/>
      <c r="C156" s="29"/>
      <c r="D156" s="29"/>
      <c r="E156" s="29"/>
      <c r="F156" s="29"/>
      <c r="G156" s="29"/>
      <c r="H156" s="29"/>
      <c r="I156" s="29"/>
      <c r="J156" s="29"/>
      <c r="K156" s="29"/>
      <c r="L156" s="29"/>
      <c r="M156" s="29"/>
      <c r="N156" s="29"/>
      <c r="O156" s="29"/>
      <c r="P156" s="29"/>
      <c r="Q156" s="29"/>
      <c r="R156" s="29"/>
      <c r="S156" s="29"/>
      <c r="T156" s="29"/>
      <c r="U156" s="29"/>
      <c r="V156" s="29"/>
    </row>
    <row r="157" spans="1:22" ht="14.25" customHeight="1" x14ac:dyDescent="0.25">
      <c r="A157" s="29"/>
      <c r="B157" s="29"/>
      <c r="C157" s="29"/>
      <c r="D157" s="29"/>
      <c r="E157" s="29"/>
      <c r="F157" s="29"/>
      <c r="G157" s="29"/>
      <c r="H157" s="29"/>
      <c r="I157" s="29"/>
      <c r="J157" s="29"/>
      <c r="K157" s="29"/>
      <c r="L157" s="29"/>
      <c r="M157" s="29"/>
      <c r="N157" s="29"/>
      <c r="O157" s="29"/>
      <c r="P157" s="29"/>
      <c r="Q157" s="29"/>
      <c r="R157" s="29"/>
      <c r="S157" s="29"/>
      <c r="T157" s="29"/>
      <c r="U157" s="29"/>
      <c r="V157" s="29"/>
    </row>
    <row r="158" spans="1:22" ht="14.25" customHeight="1" x14ac:dyDescent="0.25">
      <c r="A158" s="29"/>
      <c r="B158" s="29"/>
      <c r="C158" s="29"/>
      <c r="D158" s="29"/>
      <c r="E158" s="29"/>
      <c r="F158" s="29"/>
      <c r="G158" s="29"/>
      <c r="H158" s="29"/>
      <c r="I158" s="29"/>
      <c r="J158" s="29"/>
      <c r="K158" s="29"/>
      <c r="L158" s="29"/>
      <c r="M158" s="29"/>
      <c r="N158" s="29"/>
      <c r="O158" s="29"/>
      <c r="P158" s="29"/>
      <c r="Q158" s="29"/>
      <c r="R158" s="29"/>
      <c r="S158" s="29"/>
      <c r="T158" s="29"/>
      <c r="U158" s="29"/>
      <c r="V158" s="29"/>
    </row>
    <row r="159" spans="1:22" ht="14.25" customHeight="1" x14ac:dyDescent="0.25">
      <c r="A159" s="29"/>
      <c r="B159" s="29"/>
      <c r="C159" s="29"/>
      <c r="D159" s="29"/>
      <c r="E159" s="29"/>
      <c r="F159" s="29"/>
      <c r="G159" s="29"/>
      <c r="H159" s="29"/>
      <c r="I159" s="29"/>
      <c r="J159" s="29"/>
      <c r="K159" s="29"/>
      <c r="L159" s="29"/>
      <c r="M159" s="29"/>
      <c r="N159" s="29"/>
      <c r="O159" s="29"/>
      <c r="P159" s="29"/>
      <c r="Q159" s="29"/>
      <c r="R159" s="29"/>
      <c r="S159" s="29"/>
      <c r="T159" s="29"/>
      <c r="U159" s="29"/>
      <c r="V159" s="29"/>
    </row>
    <row r="160" spans="1:22" ht="14.25" customHeight="1" x14ac:dyDescent="0.25">
      <c r="A160" s="29"/>
      <c r="B160" s="29"/>
      <c r="C160" s="29"/>
      <c r="D160" s="29"/>
      <c r="E160" s="29"/>
      <c r="F160" s="29"/>
      <c r="G160" s="29"/>
      <c r="H160" s="29"/>
      <c r="I160" s="29"/>
      <c r="J160" s="29"/>
      <c r="K160" s="29"/>
      <c r="L160" s="29"/>
      <c r="M160" s="29"/>
      <c r="N160" s="29"/>
      <c r="O160" s="29"/>
      <c r="P160" s="29"/>
      <c r="Q160" s="29"/>
      <c r="R160" s="29"/>
      <c r="S160" s="29"/>
      <c r="T160" s="29"/>
      <c r="U160" s="29"/>
      <c r="V160" s="29"/>
    </row>
    <row r="161" spans="1:22" ht="14.25" customHeight="1" x14ac:dyDescent="0.25">
      <c r="A161" s="29"/>
      <c r="B161" s="29"/>
      <c r="C161" s="29"/>
      <c r="D161" s="29"/>
      <c r="E161" s="29"/>
      <c r="F161" s="29"/>
      <c r="G161" s="29"/>
      <c r="H161" s="29"/>
      <c r="I161" s="29"/>
      <c r="J161" s="29"/>
      <c r="K161" s="29"/>
      <c r="L161" s="29"/>
      <c r="M161" s="29"/>
      <c r="N161" s="29"/>
      <c r="O161" s="29"/>
      <c r="P161" s="29"/>
      <c r="Q161" s="29"/>
      <c r="R161" s="29"/>
      <c r="S161" s="29"/>
      <c r="T161" s="29"/>
      <c r="U161" s="29"/>
      <c r="V161" s="29"/>
    </row>
    <row r="162" spans="1:22" ht="14.25" customHeight="1" x14ac:dyDescent="0.25">
      <c r="A162" s="29"/>
      <c r="B162" s="29"/>
      <c r="C162" s="29"/>
      <c r="D162" s="29"/>
      <c r="E162" s="29"/>
      <c r="F162" s="29"/>
      <c r="G162" s="29"/>
      <c r="H162" s="29"/>
      <c r="I162" s="29"/>
      <c r="J162" s="29"/>
      <c r="K162" s="29"/>
      <c r="L162" s="29"/>
      <c r="M162" s="29"/>
      <c r="N162" s="29"/>
      <c r="O162" s="29"/>
      <c r="P162" s="29"/>
      <c r="Q162" s="29"/>
      <c r="R162" s="29"/>
      <c r="S162" s="29"/>
      <c r="T162" s="29"/>
      <c r="U162" s="29"/>
      <c r="V162" s="29"/>
    </row>
    <row r="163" spans="1:22" ht="14.25" customHeight="1" x14ac:dyDescent="0.25">
      <c r="A163" s="29"/>
      <c r="B163" s="29"/>
      <c r="C163" s="29"/>
      <c r="D163" s="29"/>
      <c r="E163" s="29"/>
      <c r="F163" s="29"/>
      <c r="G163" s="29"/>
      <c r="H163" s="29"/>
      <c r="I163" s="29"/>
      <c r="J163" s="29"/>
      <c r="K163" s="29"/>
      <c r="L163" s="29"/>
      <c r="M163" s="29"/>
      <c r="N163" s="29"/>
      <c r="O163" s="29"/>
      <c r="P163" s="29"/>
      <c r="Q163" s="29"/>
      <c r="R163" s="29"/>
      <c r="S163" s="29"/>
      <c r="T163" s="29"/>
      <c r="U163" s="29"/>
      <c r="V163" s="29"/>
    </row>
    <row r="164" spans="1:22" ht="14.25" customHeight="1" x14ac:dyDescent="0.25">
      <c r="A164" s="29"/>
      <c r="B164" s="29"/>
      <c r="C164" s="29"/>
      <c r="D164" s="29"/>
      <c r="E164" s="29"/>
      <c r="F164" s="29"/>
      <c r="G164" s="29"/>
      <c r="H164" s="29"/>
      <c r="I164" s="29"/>
      <c r="J164" s="29"/>
      <c r="K164" s="29"/>
      <c r="L164" s="29"/>
      <c r="M164" s="29"/>
      <c r="N164" s="29"/>
      <c r="O164" s="29"/>
      <c r="P164" s="29"/>
      <c r="Q164" s="29"/>
      <c r="R164" s="29"/>
      <c r="S164" s="29"/>
      <c r="T164" s="29"/>
      <c r="U164" s="29"/>
      <c r="V164" s="29"/>
    </row>
    <row r="165" spans="1:22" ht="14.25" customHeight="1" x14ac:dyDescent="0.25">
      <c r="A165" s="29"/>
      <c r="B165" s="29"/>
      <c r="C165" s="29"/>
      <c r="D165" s="29"/>
      <c r="E165" s="29"/>
      <c r="F165" s="29"/>
      <c r="G165" s="29"/>
      <c r="H165" s="29"/>
      <c r="I165" s="29"/>
      <c r="J165" s="29"/>
      <c r="K165" s="29"/>
      <c r="L165" s="29"/>
      <c r="M165" s="29"/>
      <c r="N165" s="29"/>
      <c r="O165" s="29"/>
      <c r="P165" s="29"/>
      <c r="Q165" s="29"/>
      <c r="R165" s="29"/>
      <c r="S165" s="29"/>
      <c r="T165" s="29"/>
      <c r="U165" s="29"/>
      <c r="V165" s="29"/>
    </row>
    <row r="166" spans="1:22" ht="14.25" customHeight="1" x14ac:dyDescent="0.25">
      <c r="A166" s="29"/>
      <c r="B166" s="29"/>
      <c r="C166" s="29"/>
      <c r="D166" s="29"/>
      <c r="E166" s="29"/>
      <c r="F166" s="29"/>
      <c r="G166" s="29"/>
      <c r="H166" s="29"/>
      <c r="I166" s="29"/>
      <c r="J166" s="29"/>
      <c r="K166" s="29"/>
      <c r="L166" s="29"/>
      <c r="M166" s="29"/>
      <c r="N166" s="29"/>
      <c r="O166" s="29"/>
      <c r="P166" s="29"/>
      <c r="Q166" s="29"/>
      <c r="R166" s="29"/>
      <c r="S166" s="29"/>
      <c r="T166" s="29"/>
      <c r="U166" s="29"/>
      <c r="V166" s="29"/>
    </row>
    <row r="167" spans="1:22" ht="14.25" customHeight="1" x14ac:dyDescent="0.25">
      <c r="A167" s="29"/>
      <c r="B167" s="29"/>
      <c r="C167" s="29"/>
      <c r="D167" s="29"/>
      <c r="E167" s="29"/>
      <c r="F167" s="29"/>
      <c r="G167" s="29"/>
      <c r="H167" s="29"/>
      <c r="I167" s="29"/>
      <c r="J167" s="29"/>
      <c r="K167" s="29"/>
      <c r="L167" s="29"/>
      <c r="M167" s="29"/>
      <c r="N167" s="29"/>
      <c r="O167" s="29"/>
      <c r="P167" s="29"/>
      <c r="Q167" s="29"/>
      <c r="R167" s="29"/>
      <c r="S167" s="29"/>
      <c r="T167" s="29"/>
      <c r="U167" s="29"/>
      <c r="V167" s="29"/>
    </row>
    <row r="168" spans="1:22" ht="14.25" customHeight="1" x14ac:dyDescent="0.25">
      <c r="A168" s="29"/>
      <c r="B168" s="29"/>
      <c r="C168" s="29"/>
      <c r="D168" s="29"/>
      <c r="E168" s="29"/>
      <c r="F168" s="29"/>
      <c r="G168" s="29"/>
      <c r="H168" s="29"/>
      <c r="I168" s="29"/>
      <c r="J168" s="29"/>
      <c r="K168" s="29"/>
      <c r="L168" s="29"/>
      <c r="M168" s="29"/>
      <c r="N168" s="29"/>
      <c r="O168" s="29"/>
      <c r="P168" s="29"/>
      <c r="Q168" s="29"/>
      <c r="R168" s="29"/>
      <c r="S168" s="29"/>
      <c r="T168" s="29"/>
      <c r="U168" s="29"/>
      <c r="V168" s="29"/>
    </row>
    <row r="169" spans="1:22" ht="14.25" customHeight="1" x14ac:dyDescent="0.25">
      <c r="A169" s="29"/>
      <c r="B169" s="29"/>
      <c r="C169" s="29"/>
      <c r="D169" s="29"/>
      <c r="E169" s="29"/>
      <c r="F169" s="29"/>
      <c r="G169" s="29"/>
      <c r="H169" s="29"/>
      <c r="I169" s="29"/>
      <c r="J169" s="29"/>
      <c r="K169" s="29"/>
      <c r="L169" s="29"/>
      <c r="M169" s="29"/>
      <c r="N169" s="29"/>
      <c r="O169" s="29"/>
      <c r="P169" s="29"/>
      <c r="Q169" s="29"/>
      <c r="R169" s="29"/>
      <c r="S169" s="29"/>
      <c r="T169" s="29"/>
      <c r="U169" s="29"/>
      <c r="V169" s="29"/>
    </row>
    <row r="170" spans="1:22" ht="14.25" customHeight="1" x14ac:dyDescent="0.25">
      <c r="A170" s="29"/>
      <c r="B170" s="29"/>
      <c r="C170" s="29"/>
      <c r="D170" s="29"/>
      <c r="E170" s="29"/>
      <c r="F170" s="29"/>
      <c r="G170" s="29"/>
      <c r="H170" s="29"/>
      <c r="I170" s="29"/>
      <c r="J170" s="29"/>
      <c r="K170" s="29"/>
      <c r="L170" s="29"/>
      <c r="M170" s="29"/>
      <c r="N170" s="29"/>
      <c r="O170" s="29"/>
      <c r="P170" s="29"/>
      <c r="Q170" s="29"/>
      <c r="R170" s="29"/>
      <c r="S170" s="29"/>
      <c r="T170" s="29"/>
      <c r="U170" s="29"/>
      <c r="V170" s="29"/>
    </row>
    <row r="171" spans="1:22" ht="14.25" customHeight="1" x14ac:dyDescent="0.25">
      <c r="A171" s="29"/>
      <c r="B171" s="29"/>
      <c r="C171" s="29"/>
      <c r="D171" s="29"/>
      <c r="E171" s="29"/>
      <c r="F171" s="29"/>
      <c r="G171" s="29"/>
      <c r="H171" s="29"/>
      <c r="I171" s="29"/>
      <c r="J171" s="29"/>
      <c r="K171" s="29"/>
      <c r="L171" s="29"/>
      <c r="M171" s="29"/>
      <c r="N171" s="29"/>
      <c r="O171" s="29"/>
      <c r="P171" s="29"/>
      <c r="Q171" s="29"/>
      <c r="R171" s="29"/>
      <c r="S171" s="29"/>
      <c r="T171" s="29"/>
      <c r="U171" s="29"/>
      <c r="V171" s="29"/>
    </row>
    <row r="172" spans="1:22" ht="14.25" customHeight="1" x14ac:dyDescent="0.25">
      <c r="A172" s="29"/>
      <c r="B172" s="29"/>
      <c r="C172" s="29"/>
      <c r="D172" s="29"/>
      <c r="E172" s="29"/>
      <c r="F172" s="29"/>
      <c r="G172" s="29"/>
      <c r="H172" s="29"/>
      <c r="I172" s="29"/>
      <c r="J172" s="29"/>
      <c r="K172" s="29"/>
      <c r="L172" s="29"/>
      <c r="M172" s="29"/>
      <c r="N172" s="29"/>
      <c r="O172" s="29"/>
      <c r="P172" s="29"/>
      <c r="Q172" s="29"/>
      <c r="R172" s="29"/>
      <c r="S172" s="29"/>
      <c r="T172" s="29"/>
      <c r="U172" s="29"/>
      <c r="V172" s="29"/>
    </row>
    <row r="173" spans="1:22" ht="14.25" customHeight="1" x14ac:dyDescent="0.25">
      <c r="A173" s="29"/>
      <c r="B173" s="29"/>
      <c r="C173" s="29"/>
      <c r="D173" s="29"/>
      <c r="E173" s="29"/>
      <c r="F173" s="29"/>
      <c r="G173" s="29"/>
      <c r="H173" s="29"/>
      <c r="I173" s="29"/>
      <c r="J173" s="29"/>
      <c r="K173" s="29"/>
      <c r="L173" s="29"/>
      <c r="M173" s="29"/>
      <c r="N173" s="29"/>
      <c r="O173" s="29"/>
      <c r="P173" s="29"/>
      <c r="Q173" s="29"/>
      <c r="R173" s="29"/>
      <c r="S173" s="29"/>
      <c r="T173" s="29"/>
      <c r="U173" s="29"/>
      <c r="V173" s="29"/>
    </row>
    <row r="174" spans="1:22" ht="14.25" customHeight="1" x14ac:dyDescent="0.25">
      <c r="A174" s="29"/>
      <c r="B174" s="29"/>
      <c r="C174" s="29"/>
      <c r="D174" s="29"/>
      <c r="E174" s="29"/>
      <c r="F174" s="29"/>
      <c r="G174" s="29"/>
      <c r="H174" s="29"/>
      <c r="I174" s="29"/>
      <c r="J174" s="29"/>
      <c r="K174" s="29"/>
      <c r="L174" s="29"/>
      <c r="M174" s="29"/>
      <c r="N174" s="29"/>
      <c r="O174" s="29"/>
      <c r="P174" s="29"/>
      <c r="Q174" s="29"/>
      <c r="R174" s="29"/>
      <c r="S174" s="29"/>
      <c r="T174" s="29"/>
      <c r="U174" s="29"/>
      <c r="V174" s="29"/>
    </row>
    <row r="175" spans="1:22" ht="14.25" customHeight="1" x14ac:dyDescent="0.25">
      <c r="A175" s="29"/>
      <c r="B175" s="29"/>
      <c r="C175" s="29"/>
      <c r="D175" s="29"/>
      <c r="E175" s="29"/>
      <c r="F175" s="29"/>
      <c r="G175" s="29"/>
      <c r="H175" s="29"/>
      <c r="I175" s="29"/>
      <c r="J175" s="29"/>
      <c r="K175" s="29"/>
      <c r="L175" s="29"/>
      <c r="M175" s="29"/>
      <c r="N175" s="29"/>
      <c r="O175" s="29"/>
      <c r="P175" s="29"/>
      <c r="Q175" s="29"/>
      <c r="R175" s="29"/>
      <c r="S175" s="29"/>
      <c r="T175" s="29"/>
      <c r="U175" s="29"/>
      <c r="V175" s="29"/>
    </row>
    <row r="176" spans="1:22" ht="14.25" customHeight="1" x14ac:dyDescent="0.25">
      <c r="A176" s="29"/>
      <c r="B176" s="29"/>
      <c r="C176" s="29"/>
      <c r="D176" s="29"/>
      <c r="E176" s="29"/>
      <c r="F176" s="29"/>
      <c r="G176" s="29"/>
      <c r="H176" s="29"/>
      <c r="I176" s="29"/>
      <c r="J176" s="29"/>
      <c r="K176" s="29"/>
      <c r="L176" s="29"/>
      <c r="M176" s="29"/>
      <c r="N176" s="29"/>
      <c r="O176" s="29"/>
      <c r="P176" s="29"/>
      <c r="Q176" s="29"/>
      <c r="R176" s="29"/>
      <c r="S176" s="29"/>
      <c r="T176" s="29"/>
      <c r="U176" s="29"/>
      <c r="V176" s="29"/>
    </row>
    <row r="177" spans="1:22" ht="14.25" customHeight="1" x14ac:dyDescent="0.25">
      <c r="A177" s="29"/>
      <c r="B177" s="29"/>
      <c r="C177" s="29"/>
      <c r="D177" s="29"/>
      <c r="E177" s="29"/>
      <c r="F177" s="29"/>
      <c r="G177" s="29"/>
      <c r="H177" s="29"/>
      <c r="I177" s="29"/>
      <c r="J177" s="29"/>
      <c r="K177" s="29"/>
      <c r="L177" s="29"/>
      <c r="M177" s="29"/>
      <c r="N177" s="29"/>
      <c r="O177" s="29"/>
      <c r="P177" s="29"/>
      <c r="Q177" s="29"/>
      <c r="R177" s="29"/>
      <c r="S177" s="29"/>
      <c r="T177" s="29"/>
      <c r="U177" s="29"/>
      <c r="V177" s="29"/>
    </row>
    <row r="178" spans="1:22" ht="14.25" customHeight="1" x14ac:dyDescent="0.25">
      <c r="A178" s="29"/>
      <c r="B178" s="29"/>
      <c r="C178" s="29"/>
      <c r="D178" s="29"/>
      <c r="E178" s="29"/>
      <c r="F178" s="29"/>
      <c r="G178" s="29"/>
      <c r="H178" s="29"/>
      <c r="I178" s="29"/>
      <c r="J178" s="29"/>
      <c r="K178" s="29"/>
      <c r="L178" s="29"/>
      <c r="M178" s="29"/>
      <c r="N178" s="29"/>
      <c r="O178" s="29"/>
      <c r="P178" s="29"/>
      <c r="Q178" s="29"/>
      <c r="R178" s="29"/>
      <c r="S178" s="29"/>
      <c r="T178" s="29"/>
      <c r="U178" s="29"/>
      <c r="V178" s="29"/>
    </row>
    <row r="179" spans="1:22" ht="14.25" customHeight="1" x14ac:dyDescent="0.25">
      <c r="A179" s="29"/>
      <c r="B179" s="29"/>
      <c r="C179" s="29"/>
      <c r="D179" s="29"/>
      <c r="E179" s="29"/>
      <c r="F179" s="29"/>
      <c r="G179" s="29"/>
      <c r="H179" s="29"/>
      <c r="I179" s="29"/>
      <c r="J179" s="29"/>
      <c r="K179" s="29"/>
      <c r="L179" s="29"/>
      <c r="M179" s="29"/>
      <c r="N179" s="29"/>
      <c r="O179" s="29"/>
      <c r="P179" s="29"/>
      <c r="Q179" s="29"/>
      <c r="R179" s="29"/>
      <c r="S179" s="29"/>
      <c r="T179" s="29"/>
      <c r="U179" s="29"/>
      <c r="V179" s="29"/>
    </row>
    <row r="180" spans="1:22" ht="14.25" customHeight="1" x14ac:dyDescent="0.25">
      <c r="A180" s="29"/>
      <c r="B180" s="29"/>
      <c r="C180" s="29"/>
      <c r="D180" s="29"/>
      <c r="E180" s="29"/>
      <c r="F180" s="29"/>
      <c r="G180" s="29"/>
      <c r="H180" s="29"/>
      <c r="I180" s="29"/>
      <c r="J180" s="29"/>
      <c r="K180" s="29"/>
      <c r="L180" s="29"/>
      <c r="M180" s="29"/>
      <c r="N180" s="29"/>
      <c r="O180" s="29"/>
      <c r="P180" s="29"/>
      <c r="Q180" s="29"/>
      <c r="R180" s="29"/>
      <c r="S180" s="29"/>
      <c r="T180" s="29"/>
      <c r="U180" s="29"/>
      <c r="V180" s="29"/>
    </row>
    <row r="181" spans="1:22" ht="14.25" customHeight="1" x14ac:dyDescent="0.25">
      <c r="A181" s="29"/>
      <c r="B181" s="29"/>
      <c r="C181" s="29"/>
      <c r="D181" s="29"/>
      <c r="E181" s="29"/>
      <c r="F181" s="29"/>
      <c r="G181" s="29"/>
      <c r="H181" s="29"/>
      <c r="I181" s="29"/>
      <c r="J181" s="29"/>
      <c r="K181" s="29"/>
      <c r="L181" s="29"/>
      <c r="M181" s="29"/>
      <c r="N181" s="29"/>
      <c r="O181" s="29"/>
      <c r="P181" s="29"/>
      <c r="Q181" s="29"/>
      <c r="R181" s="29"/>
      <c r="S181" s="29"/>
      <c r="T181" s="29"/>
      <c r="U181" s="29"/>
      <c r="V181" s="29"/>
    </row>
    <row r="182" spans="1:22" ht="14.25" customHeight="1" x14ac:dyDescent="0.25">
      <c r="A182" s="29"/>
      <c r="B182" s="29"/>
      <c r="C182" s="29"/>
      <c r="D182" s="29"/>
      <c r="E182" s="29"/>
      <c r="F182" s="29"/>
      <c r="G182" s="29"/>
      <c r="H182" s="29"/>
      <c r="I182" s="29"/>
      <c r="J182" s="29"/>
      <c r="K182" s="29"/>
      <c r="L182" s="29"/>
      <c r="M182" s="29"/>
      <c r="N182" s="29"/>
      <c r="O182" s="29"/>
      <c r="P182" s="29"/>
      <c r="Q182" s="29"/>
      <c r="R182" s="29"/>
      <c r="S182" s="29"/>
      <c r="T182" s="29"/>
      <c r="U182" s="29"/>
      <c r="V182" s="29"/>
    </row>
    <row r="183" spans="1:22" ht="14.25" customHeight="1" x14ac:dyDescent="0.25">
      <c r="A183" s="29"/>
      <c r="B183" s="29"/>
      <c r="C183" s="29"/>
      <c r="D183" s="29"/>
      <c r="E183" s="29"/>
      <c r="F183" s="29"/>
      <c r="G183" s="29"/>
      <c r="H183" s="29"/>
      <c r="I183" s="29"/>
      <c r="J183" s="29"/>
      <c r="K183" s="29"/>
      <c r="L183" s="29"/>
      <c r="M183" s="29"/>
      <c r="N183" s="29"/>
      <c r="O183" s="29"/>
      <c r="P183" s="29"/>
      <c r="Q183" s="29"/>
      <c r="R183" s="29"/>
      <c r="S183" s="29"/>
      <c r="T183" s="29"/>
      <c r="U183" s="29"/>
      <c r="V183" s="29"/>
    </row>
    <row r="184" spans="1:22" ht="14.25" customHeight="1" x14ac:dyDescent="0.25">
      <c r="A184" s="29"/>
      <c r="B184" s="29"/>
      <c r="C184" s="29"/>
      <c r="D184" s="29"/>
      <c r="E184" s="29"/>
      <c r="F184" s="29"/>
      <c r="G184" s="29"/>
      <c r="H184" s="29"/>
      <c r="I184" s="29"/>
      <c r="J184" s="29"/>
      <c r="K184" s="29"/>
      <c r="L184" s="29"/>
      <c r="M184" s="29"/>
      <c r="N184" s="29"/>
      <c r="O184" s="29"/>
      <c r="P184" s="29"/>
      <c r="Q184" s="29"/>
      <c r="R184" s="29"/>
      <c r="S184" s="29"/>
      <c r="T184" s="29"/>
      <c r="U184" s="29"/>
      <c r="V184" s="29"/>
    </row>
    <row r="185" spans="1:22" ht="14.25" customHeight="1" x14ac:dyDescent="0.25">
      <c r="A185" s="29"/>
      <c r="B185" s="29"/>
      <c r="C185" s="29"/>
      <c r="D185" s="29"/>
      <c r="E185" s="29"/>
      <c r="F185" s="29"/>
      <c r="G185" s="29"/>
      <c r="H185" s="29"/>
      <c r="I185" s="29"/>
      <c r="J185" s="29"/>
      <c r="K185" s="29"/>
      <c r="L185" s="29"/>
      <c r="M185" s="29"/>
      <c r="N185" s="29"/>
      <c r="O185" s="29"/>
      <c r="P185" s="29"/>
      <c r="Q185" s="29"/>
      <c r="R185" s="29"/>
      <c r="S185" s="29"/>
      <c r="T185" s="29"/>
      <c r="U185" s="29"/>
      <c r="V185" s="29"/>
    </row>
    <row r="186" spans="1:22" ht="14.25" customHeight="1" x14ac:dyDescent="0.25">
      <c r="A186" s="29"/>
      <c r="B186" s="29"/>
      <c r="C186" s="29"/>
      <c r="D186" s="29"/>
      <c r="E186" s="29"/>
      <c r="F186" s="29"/>
      <c r="G186" s="29"/>
      <c r="H186" s="29"/>
      <c r="I186" s="29"/>
      <c r="J186" s="29"/>
      <c r="K186" s="29"/>
      <c r="L186" s="29"/>
      <c r="M186" s="29"/>
      <c r="N186" s="29"/>
      <c r="O186" s="29"/>
      <c r="P186" s="29"/>
      <c r="Q186" s="29"/>
      <c r="R186" s="29"/>
      <c r="S186" s="29"/>
      <c r="T186" s="29"/>
      <c r="U186" s="29"/>
      <c r="V186" s="29"/>
    </row>
    <row r="187" spans="1:22" ht="14.25" customHeight="1" x14ac:dyDescent="0.25">
      <c r="A187" s="29"/>
      <c r="B187" s="29"/>
      <c r="C187" s="29"/>
      <c r="D187" s="29"/>
      <c r="E187" s="29"/>
      <c r="F187" s="29"/>
      <c r="G187" s="29"/>
      <c r="H187" s="29"/>
      <c r="I187" s="29"/>
      <c r="J187" s="29"/>
      <c r="K187" s="29"/>
      <c r="L187" s="29"/>
      <c r="M187" s="29"/>
      <c r="N187" s="29"/>
      <c r="O187" s="29"/>
      <c r="P187" s="29"/>
      <c r="Q187" s="29"/>
      <c r="R187" s="29"/>
      <c r="S187" s="29"/>
      <c r="T187" s="29"/>
      <c r="U187" s="29"/>
      <c r="V187" s="29"/>
    </row>
    <row r="188" spans="1:22" ht="14.25" customHeight="1" x14ac:dyDescent="0.25">
      <c r="A188" s="29"/>
      <c r="B188" s="29"/>
      <c r="C188" s="29"/>
      <c r="D188" s="29"/>
      <c r="E188" s="29"/>
      <c r="F188" s="29"/>
      <c r="G188" s="29"/>
      <c r="H188" s="29"/>
      <c r="I188" s="29"/>
      <c r="J188" s="29"/>
      <c r="K188" s="29"/>
      <c r="L188" s="29"/>
      <c r="M188" s="29"/>
      <c r="N188" s="29"/>
      <c r="O188" s="29"/>
      <c r="P188" s="29"/>
      <c r="Q188" s="29"/>
      <c r="R188" s="29"/>
      <c r="S188" s="29"/>
      <c r="T188" s="29"/>
      <c r="U188" s="29"/>
      <c r="V188" s="29"/>
    </row>
    <row r="189" spans="1:22" ht="14.25" customHeight="1" x14ac:dyDescent="0.25">
      <c r="A189" s="29"/>
      <c r="B189" s="29"/>
      <c r="C189" s="29"/>
      <c r="D189" s="29"/>
      <c r="E189" s="29"/>
      <c r="F189" s="29"/>
      <c r="G189" s="29"/>
      <c r="H189" s="29"/>
      <c r="I189" s="29"/>
      <c r="J189" s="29"/>
      <c r="K189" s="29"/>
      <c r="L189" s="29"/>
      <c r="M189" s="29"/>
      <c r="N189" s="29"/>
      <c r="O189" s="29"/>
      <c r="P189" s="29"/>
      <c r="Q189" s="29"/>
      <c r="R189" s="29"/>
      <c r="S189" s="29"/>
      <c r="T189" s="29"/>
      <c r="U189" s="29"/>
      <c r="V189" s="29"/>
    </row>
    <row r="190" spans="1:22" ht="14.25" customHeight="1" x14ac:dyDescent="0.25">
      <c r="A190" s="29"/>
      <c r="B190" s="29"/>
      <c r="C190" s="29"/>
      <c r="D190" s="29"/>
      <c r="E190" s="29"/>
      <c r="F190" s="29"/>
      <c r="G190" s="29"/>
      <c r="H190" s="29"/>
      <c r="I190" s="29"/>
      <c r="J190" s="29"/>
      <c r="K190" s="29"/>
      <c r="L190" s="29"/>
      <c r="M190" s="29"/>
      <c r="N190" s="29"/>
      <c r="O190" s="29"/>
      <c r="P190" s="29"/>
      <c r="Q190" s="29"/>
      <c r="R190" s="29"/>
      <c r="S190" s="29"/>
      <c r="T190" s="29"/>
      <c r="U190" s="29"/>
      <c r="V190" s="29"/>
    </row>
    <row r="191" spans="1:22" ht="14.25" customHeight="1" x14ac:dyDescent="0.25">
      <c r="A191" s="29"/>
      <c r="B191" s="29"/>
      <c r="C191" s="29"/>
      <c r="D191" s="29"/>
      <c r="E191" s="29"/>
      <c r="F191" s="29"/>
      <c r="G191" s="29"/>
      <c r="H191" s="29"/>
      <c r="I191" s="29"/>
      <c r="J191" s="29"/>
      <c r="K191" s="29"/>
      <c r="L191" s="29"/>
      <c r="M191" s="29"/>
      <c r="N191" s="29"/>
      <c r="O191" s="29"/>
      <c r="P191" s="29"/>
      <c r="Q191" s="29"/>
      <c r="R191" s="29"/>
      <c r="S191" s="29"/>
      <c r="T191" s="29"/>
      <c r="U191" s="29"/>
      <c r="V191" s="29"/>
    </row>
    <row r="192" spans="1:22" ht="14.25" customHeight="1" x14ac:dyDescent="0.25">
      <c r="A192" s="29"/>
      <c r="B192" s="29"/>
      <c r="C192" s="29"/>
      <c r="D192" s="29"/>
      <c r="E192" s="29"/>
      <c r="F192" s="29"/>
      <c r="G192" s="29"/>
      <c r="H192" s="29"/>
      <c r="I192" s="29"/>
      <c r="J192" s="29"/>
      <c r="K192" s="29"/>
      <c r="L192" s="29"/>
      <c r="M192" s="29"/>
      <c r="N192" s="29"/>
      <c r="O192" s="29"/>
      <c r="P192" s="29"/>
      <c r="Q192" s="29"/>
      <c r="R192" s="29"/>
      <c r="S192" s="29"/>
      <c r="T192" s="29"/>
      <c r="U192" s="29"/>
      <c r="V192" s="29"/>
    </row>
    <row r="193" spans="1:22" ht="14.25" customHeight="1" x14ac:dyDescent="0.25">
      <c r="A193" s="29"/>
      <c r="B193" s="29"/>
      <c r="C193" s="29"/>
      <c r="D193" s="29"/>
      <c r="E193" s="29"/>
      <c r="F193" s="29"/>
      <c r="G193" s="29"/>
      <c r="H193" s="29"/>
      <c r="I193" s="29"/>
      <c r="J193" s="29"/>
      <c r="K193" s="29"/>
      <c r="L193" s="29"/>
      <c r="M193" s="29"/>
      <c r="N193" s="29"/>
      <c r="O193" s="29"/>
      <c r="P193" s="29"/>
      <c r="Q193" s="29"/>
      <c r="R193" s="29"/>
      <c r="S193" s="29"/>
      <c r="T193" s="29"/>
      <c r="U193" s="29"/>
      <c r="V193" s="29"/>
    </row>
    <row r="194" spans="1:22" ht="14.25" customHeight="1" x14ac:dyDescent="0.25">
      <c r="A194" s="29"/>
      <c r="B194" s="29"/>
      <c r="C194" s="29"/>
      <c r="D194" s="29"/>
      <c r="E194" s="29"/>
      <c r="F194" s="29"/>
      <c r="G194" s="29"/>
      <c r="H194" s="29"/>
      <c r="I194" s="29"/>
      <c r="J194" s="29"/>
      <c r="K194" s="29"/>
      <c r="L194" s="29"/>
      <c r="M194" s="29"/>
      <c r="N194" s="29"/>
      <c r="O194" s="29"/>
      <c r="P194" s="29"/>
      <c r="Q194" s="29"/>
      <c r="R194" s="29"/>
      <c r="S194" s="29"/>
      <c r="T194" s="29"/>
      <c r="U194" s="29"/>
      <c r="V194" s="29"/>
    </row>
    <row r="195" spans="1:22" ht="14.25" customHeight="1" x14ac:dyDescent="0.25">
      <c r="A195" s="29"/>
      <c r="B195" s="29"/>
      <c r="C195" s="29"/>
      <c r="D195" s="29"/>
      <c r="E195" s="29"/>
      <c r="F195" s="29"/>
      <c r="G195" s="29"/>
      <c r="H195" s="29"/>
      <c r="I195" s="29"/>
      <c r="J195" s="29"/>
      <c r="K195" s="29"/>
      <c r="L195" s="29"/>
      <c r="M195" s="29"/>
      <c r="N195" s="29"/>
      <c r="O195" s="29"/>
      <c r="P195" s="29"/>
      <c r="Q195" s="29"/>
      <c r="R195" s="29"/>
      <c r="S195" s="29"/>
      <c r="T195" s="29"/>
      <c r="U195" s="29"/>
      <c r="V195" s="29"/>
    </row>
    <row r="196" spans="1:22" ht="14.25" customHeight="1" x14ac:dyDescent="0.25">
      <c r="A196" s="29"/>
      <c r="B196" s="29"/>
      <c r="C196" s="29"/>
      <c r="D196" s="29"/>
      <c r="E196" s="29"/>
      <c r="F196" s="29"/>
      <c r="G196" s="29"/>
      <c r="H196" s="29"/>
      <c r="I196" s="29"/>
      <c r="J196" s="29"/>
      <c r="K196" s="29"/>
      <c r="L196" s="29"/>
      <c r="M196" s="29"/>
      <c r="N196" s="29"/>
      <c r="O196" s="29"/>
      <c r="P196" s="29"/>
      <c r="Q196" s="29"/>
      <c r="R196" s="29"/>
      <c r="S196" s="29"/>
      <c r="T196" s="29"/>
      <c r="U196" s="29"/>
      <c r="V196" s="29"/>
    </row>
    <row r="197" spans="1:22" ht="14.25" customHeight="1" x14ac:dyDescent="0.25">
      <c r="A197" s="29"/>
      <c r="B197" s="29"/>
      <c r="C197" s="29"/>
      <c r="D197" s="29"/>
      <c r="E197" s="29"/>
      <c r="F197" s="29"/>
      <c r="G197" s="29"/>
      <c r="H197" s="29"/>
      <c r="I197" s="29"/>
      <c r="J197" s="29"/>
      <c r="K197" s="29"/>
      <c r="L197" s="29"/>
      <c r="M197" s="29"/>
      <c r="N197" s="29"/>
      <c r="O197" s="29"/>
      <c r="P197" s="29"/>
      <c r="Q197" s="29"/>
      <c r="R197" s="29"/>
      <c r="S197" s="29"/>
      <c r="T197" s="29"/>
      <c r="U197" s="29"/>
      <c r="V197" s="29"/>
    </row>
    <row r="198" spans="1:22" ht="14.25" customHeight="1" x14ac:dyDescent="0.25">
      <c r="A198" s="29"/>
      <c r="B198" s="29"/>
      <c r="C198" s="29"/>
      <c r="D198" s="29"/>
      <c r="E198" s="29"/>
      <c r="F198" s="29"/>
      <c r="G198" s="29"/>
      <c r="H198" s="29"/>
      <c r="I198" s="29"/>
      <c r="J198" s="29"/>
      <c r="K198" s="29"/>
      <c r="L198" s="29"/>
      <c r="M198" s="29"/>
      <c r="N198" s="29"/>
      <c r="O198" s="29"/>
      <c r="P198" s="29"/>
      <c r="Q198" s="29"/>
      <c r="R198" s="29"/>
      <c r="S198" s="29"/>
      <c r="T198" s="29"/>
      <c r="U198" s="29"/>
      <c r="V198" s="29"/>
    </row>
    <row r="199" spans="1:22" ht="14.25" customHeight="1" x14ac:dyDescent="0.25">
      <c r="A199" s="29"/>
      <c r="B199" s="29"/>
      <c r="C199" s="29"/>
      <c r="D199" s="29"/>
      <c r="E199" s="29"/>
      <c r="F199" s="29"/>
      <c r="G199" s="29"/>
      <c r="H199" s="29"/>
      <c r="I199" s="29"/>
      <c r="J199" s="29"/>
      <c r="K199" s="29"/>
      <c r="L199" s="29"/>
      <c r="M199" s="29"/>
      <c r="N199" s="29"/>
      <c r="O199" s="29"/>
      <c r="P199" s="29"/>
      <c r="Q199" s="29"/>
      <c r="R199" s="29"/>
      <c r="S199" s="29"/>
      <c r="T199" s="29"/>
      <c r="U199" s="29"/>
      <c r="V199" s="29"/>
    </row>
    <row r="200" spans="1:22" ht="14.25" customHeight="1" x14ac:dyDescent="0.25">
      <c r="A200" s="29"/>
      <c r="B200" s="29"/>
      <c r="C200" s="29"/>
      <c r="D200" s="29"/>
      <c r="E200" s="29"/>
      <c r="F200" s="29"/>
      <c r="G200" s="29"/>
      <c r="H200" s="29"/>
      <c r="I200" s="29"/>
      <c r="J200" s="29"/>
      <c r="K200" s="29"/>
      <c r="L200" s="29"/>
      <c r="M200" s="29"/>
      <c r="N200" s="29"/>
      <c r="O200" s="29"/>
      <c r="P200" s="29"/>
      <c r="Q200" s="29"/>
      <c r="R200" s="29"/>
      <c r="S200" s="29"/>
      <c r="T200" s="29"/>
      <c r="U200" s="29"/>
      <c r="V200" s="29"/>
    </row>
    <row r="201" spans="1:22" ht="14.25" customHeight="1" x14ac:dyDescent="0.25">
      <c r="A201" s="29"/>
      <c r="B201" s="29"/>
      <c r="C201" s="29"/>
      <c r="D201" s="29"/>
      <c r="E201" s="29"/>
      <c r="F201" s="29"/>
      <c r="G201" s="29"/>
      <c r="H201" s="29"/>
      <c r="I201" s="29"/>
      <c r="J201" s="29"/>
      <c r="K201" s="29"/>
      <c r="L201" s="29"/>
      <c r="M201" s="29"/>
      <c r="N201" s="29"/>
      <c r="O201" s="29"/>
      <c r="P201" s="29"/>
      <c r="Q201" s="29"/>
      <c r="R201" s="29"/>
      <c r="S201" s="29"/>
      <c r="T201" s="29"/>
      <c r="U201" s="29"/>
      <c r="V201" s="29"/>
    </row>
    <row r="202" spans="1:22" ht="14.25" customHeight="1" x14ac:dyDescent="0.25">
      <c r="A202" s="29"/>
      <c r="B202" s="29"/>
      <c r="C202" s="29"/>
      <c r="D202" s="29"/>
      <c r="E202" s="29"/>
      <c r="F202" s="29"/>
      <c r="G202" s="29"/>
      <c r="H202" s="29"/>
      <c r="I202" s="29"/>
      <c r="J202" s="29"/>
      <c r="K202" s="29"/>
      <c r="L202" s="29"/>
      <c r="M202" s="29"/>
      <c r="N202" s="29"/>
      <c r="O202" s="29"/>
      <c r="P202" s="29"/>
      <c r="Q202" s="29"/>
      <c r="R202" s="29"/>
      <c r="S202" s="29"/>
      <c r="T202" s="29"/>
      <c r="U202" s="29"/>
      <c r="V202" s="29"/>
    </row>
    <row r="203" spans="1:22" ht="14.25" customHeight="1" x14ac:dyDescent="0.25">
      <c r="A203" s="29"/>
      <c r="B203" s="29"/>
      <c r="C203" s="29"/>
      <c r="D203" s="29"/>
      <c r="E203" s="29"/>
      <c r="F203" s="29"/>
      <c r="G203" s="29"/>
      <c r="H203" s="29"/>
      <c r="I203" s="29"/>
      <c r="J203" s="29"/>
      <c r="K203" s="29"/>
      <c r="L203" s="29"/>
      <c r="M203" s="29"/>
      <c r="N203" s="29"/>
      <c r="O203" s="29"/>
      <c r="P203" s="29"/>
      <c r="Q203" s="29"/>
      <c r="R203" s="29"/>
      <c r="S203" s="29"/>
      <c r="T203" s="29"/>
      <c r="U203" s="29"/>
      <c r="V203" s="29"/>
    </row>
    <row r="204" spans="1:22" ht="14.25" customHeight="1" x14ac:dyDescent="0.25">
      <c r="A204" s="29"/>
      <c r="B204" s="29"/>
      <c r="C204" s="29"/>
      <c r="D204" s="29"/>
      <c r="E204" s="29"/>
      <c r="F204" s="29"/>
      <c r="G204" s="29"/>
      <c r="H204" s="29"/>
      <c r="I204" s="29"/>
      <c r="J204" s="29"/>
      <c r="K204" s="29"/>
      <c r="L204" s="29"/>
      <c r="M204" s="29"/>
      <c r="N204" s="29"/>
      <c r="O204" s="29"/>
      <c r="P204" s="29"/>
      <c r="Q204" s="29"/>
      <c r="R204" s="29"/>
      <c r="S204" s="29"/>
      <c r="T204" s="29"/>
      <c r="U204" s="29"/>
      <c r="V204" s="29"/>
    </row>
    <row r="205" spans="1:22" ht="14.25" customHeight="1" x14ac:dyDescent="0.25">
      <c r="A205" s="29"/>
      <c r="B205" s="29"/>
      <c r="C205" s="29"/>
      <c r="D205" s="29"/>
      <c r="E205" s="29"/>
      <c r="F205" s="29"/>
      <c r="G205" s="29"/>
      <c r="H205" s="29"/>
      <c r="I205" s="29"/>
      <c r="J205" s="29"/>
      <c r="K205" s="29"/>
      <c r="L205" s="29"/>
      <c r="M205" s="29"/>
      <c r="N205" s="29"/>
      <c r="O205" s="29"/>
      <c r="P205" s="29"/>
      <c r="Q205" s="29"/>
      <c r="R205" s="29"/>
      <c r="S205" s="29"/>
      <c r="T205" s="29"/>
      <c r="U205" s="29"/>
      <c r="V205" s="29"/>
    </row>
    <row r="206" spans="1:22" ht="14.25" customHeight="1" x14ac:dyDescent="0.25">
      <c r="A206" s="29"/>
      <c r="B206" s="29"/>
      <c r="C206" s="29"/>
      <c r="D206" s="29"/>
      <c r="E206" s="29"/>
      <c r="F206" s="29"/>
      <c r="G206" s="29"/>
      <c r="H206" s="29"/>
      <c r="I206" s="29"/>
      <c r="J206" s="29"/>
      <c r="K206" s="29"/>
      <c r="L206" s="29"/>
      <c r="M206" s="29"/>
      <c r="N206" s="29"/>
      <c r="O206" s="29"/>
      <c r="P206" s="29"/>
      <c r="Q206" s="29"/>
      <c r="R206" s="29"/>
      <c r="S206" s="29"/>
      <c r="T206" s="29"/>
      <c r="U206" s="29"/>
      <c r="V206" s="29"/>
    </row>
    <row r="207" spans="1:22" ht="14.25" customHeight="1" x14ac:dyDescent="0.25">
      <c r="A207" s="29"/>
      <c r="B207" s="29"/>
      <c r="C207" s="29"/>
      <c r="D207" s="29"/>
      <c r="E207" s="29"/>
      <c r="F207" s="29"/>
      <c r="G207" s="29"/>
      <c r="H207" s="29"/>
      <c r="I207" s="29"/>
      <c r="J207" s="29"/>
      <c r="K207" s="29"/>
      <c r="L207" s="29"/>
      <c r="M207" s="29"/>
      <c r="N207" s="29"/>
      <c r="O207" s="29"/>
      <c r="P207" s="29"/>
      <c r="Q207" s="29"/>
      <c r="R207" s="29"/>
      <c r="S207" s="29"/>
      <c r="T207" s="29"/>
      <c r="U207" s="29"/>
      <c r="V207" s="29"/>
    </row>
    <row r="208" spans="1:22" ht="14.25" customHeight="1" x14ac:dyDescent="0.25">
      <c r="A208" s="29"/>
      <c r="B208" s="29"/>
      <c r="C208" s="29"/>
      <c r="D208" s="29"/>
      <c r="E208" s="29"/>
      <c r="F208" s="29"/>
      <c r="G208" s="29"/>
      <c r="H208" s="29"/>
      <c r="I208" s="29"/>
      <c r="J208" s="29"/>
      <c r="K208" s="29"/>
      <c r="L208" s="29"/>
      <c r="M208" s="29"/>
      <c r="N208" s="29"/>
      <c r="O208" s="29"/>
      <c r="P208" s="29"/>
      <c r="Q208" s="29"/>
      <c r="R208" s="29"/>
      <c r="S208" s="29"/>
      <c r="T208" s="29"/>
      <c r="U208" s="29"/>
      <c r="V208" s="29"/>
    </row>
    <row r="209" spans="1:22" ht="14.25" customHeight="1" x14ac:dyDescent="0.25">
      <c r="A209" s="29"/>
      <c r="B209" s="29"/>
      <c r="C209" s="29"/>
      <c r="D209" s="29"/>
      <c r="E209" s="29"/>
      <c r="F209" s="29"/>
      <c r="G209" s="29"/>
      <c r="H209" s="29"/>
      <c r="I209" s="29"/>
      <c r="J209" s="29"/>
      <c r="K209" s="29"/>
      <c r="L209" s="29"/>
      <c r="M209" s="29"/>
      <c r="N209" s="29"/>
      <c r="O209" s="29"/>
      <c r="P209" s="29"/>
      <c r="Q209" s="29"/>
      <c r="R209" s="29"/>
      <c r="S209" s="29"/>
      <c r="T209" s="29"/>
      <c r="U209" s="29"/>
      <c r="V209" s="29"/>
    </row>
    <row r="210" spans="1:22" ht="14.25" customHeight="1" x14ac:dyDescent="0.25">
      <c r="A210" s="29"/>
      <c r="B210" s="29"/>
      <c r="C210" s="29"/>
      <c r="D210" s="29"/>
      <c r="E210" s="29"/>
      <c r="F210" s="29"/>
      <c r="G210" s="29"/>
      <c r="H210" s="29"/>
      <c r="I210" s="29"/>
      <c r="J210" s="29"/>
      <c r="K210" s="29"/>
      <c r="L210" s="29"/>
      <c r="M210" s="29"/>
      <c r="N210" s="29"/>
      <c r="O210" s="29"/>
      <c r="P210" s="29"/>
      <c r="Q210" s="29"/>
      <c r="R210" s="29"/>
      <c r="S210" s="29"/>
      <c r="T210" s="29"/>
      <c r="U210" s="29"/>
      <c r="V210" s="29"/>
    </row>
    <row r="211" spans="1:22" ht="14.25" customHeight="1" x14ac:dyDescent="0.25">
      <c r="A211" s="29"/>
      <c r="B211" s="29"/>
      <c r="C211" s="29"/>
      <c r="D211" s="29"/>
      <c r="E211" s="29"/>
      <c r="F211" s="29"/>
      <c r="G211" s="29"/>
      <c r="H211" s="29"/>
      <c r="I211" s="29"/>
      <c r="J211" s="29"/>
      <c r="K211" s="29"/>
      <c r="L211" s="29"/>
      <c r="M211" s="29"/>
      <c r="N211" s="29"/>
      <c r="O211" s="29"/>
      <c r="P211" s="29"/>
      <c r="Q211" s="29"/>
      <c r="R211" s="29"/>
      <c r="S211" s="29"/>
      <c r="T211" s="29"/>
      <c r="U211" s="29"/>
      <c r="V211" s="29"/>
    </row>
    <row r="212" spans="1:22" ht="14.25" customHeight="1" x14ac:dyDescent="0.25">
      <c r="A212" s="29"/>
      <c r="B212" s="29"/>
      <c r="C212" s="29"/>
      <c r="D212" s="29"/>
      <c r="E212" s="29"/>
      <c r="F212" s="29"/>
      <c r="G212" s="29"/>
      <c r="H212" s="29"/>
      <c r="I212" s="29"/>
      <c r="J212" s="29"/>
      <c r="K212" s="29"/>
      <c r="L212" s="29"/>
      <c r="M212" s="29"/>
      <c r="N212" s="29"/>
      <c r="O212" s="29"/>
      <c r="P212" s="29"/>
      <c r="Q212" s="29"/>
      <c r="R212" s="29"/>
      <c r="S212" s="29"/>
      <c r="T212" s="29"/>
      <c r="U212" s="29"/>
      <c r="V212" s="29"/>
    </row>
    <row r="213" spans="1:22" ht="14.25" customHeight="1" x14ac:dyDescent="0.25">
      <c r="A213" s="29"/>
      <c r="B213" s="29"/>
      <c r="C213" s="29"/>
      <c r="D213" s="29"/>
      <c r="E213" s="29"/>
      <c r="F213" s="29"/>
      <c r="G213" s="29"/>
      <c r="H213" s="29"/>
      <c r="I213" s="29"/>
      <c r="J213" s="29"/>
      <c r="K213" s="29"/>
      <c r="L213" s="29"/>
      <c r="M213" s="29"/>
      <c r="N213" s="29"/>
      <c r="O213" s="29"/>
      <c r="P213" s="29"/>
      <c r="Q213" s="29"/>
      <c r="R213" s="29"/>
      <c r="S213" s="29"/>
      <c r="T213" s="29"/>
      <c r="U213" s="29"/>
      <c r="V213" s="29"/>
    </row>
    <row r="214" spans="1:22" ht="14.25" customHeight="1" x14ac:dyDescent="0.25">
      <c r="A214" s="29"/>
      <c r="B214" s="29"/>
      <c r="C214" s="29"/>
      <c r="D214" s="29"/>
      <c r="E214" s="29"/>
      <c r="F214" s="29"/>
      <c r="G214" s="29"/>
      <c r="H214" s="29"/>
      <c r="I214" s="29"/>
      <c r="J214" s="29"/>
      <c r="K214" s="29"/>
      <c r="L214" s="29"/>
      <c r="M214" s="29"/>
      <c r="N214" s="29"/>
      <c r="O214" s="29"/>
      <c r="P214" s="29"/>
      <c r="Q214" s="29"/>
      <c r="R214" s="29"/>
      <c r="S214" s="29"/>
      <c r="T214" s="29"/>
      <c r="U214" s="29"/>
      <c r="V214" s="29"/>
    </row>
    <row r="215" spans="1:22" ht="14.25" customHeight="1" x14ac:dyDescent="0.25">
      <c r="A215" s="29"/>
      <c r="B215" s="29"/>
      <c r="C215" s="29"/>
      <c r="D215" s="29"/>
      <c r="E215" s="29"/>
      <c r="F215" s="29"/>
      <c r="G215" s="29"/>
      <c r="H215" s="29"/>
      <c r="I215" s="29"/>
      <c r="J215" s="29"/>
      <c r="K215" s="29"/>
      <c r="L215" s="29"/>
      <c r="M215" s="29"/>
      <c r="N215" s="29"/>
      <c r="O215" s="29"/>
      <c r="P215" s="29"/>
      <c r="Q215" s="29"/>
      <c r="R215" s="29"/>
      <c r="S215" s="29"/>
      <c r="T215" s="29"/>
      <c r="U215" s="29"/>
      <c r="V215" s="29"/>
    </row>
    <row r="216" spans="1:22" ht="14.25" customHeight="1" x14ac:dyDescent="0.25">
      <c r="A216" s="29"/>
      <c r="B216" s="29"/>
      <c r="C216" s="29"/>
      <c r="D216" s="29"/>
      <c r="E216" s="29"/>
      <c r="F216" s="29"/>
      <c r="G216" s="29"/>
      <c r="H216" s="29"/>
      <c r="I216" s="29"/>
      <c r="J216" s="29"/>
      <c r="K216" s="29"/>
      <c r="L216" s="29"/>
      <c r="M216" s="29"/>
      <c r="N216" s="29"/>
      <c r="O216" s="29"/>
      <c r="P216" s="29"/>
      <c r="Q216" s="29"/>
      <c r="R216" s="29"/>
      <c r="S216" s="29"/>
      <c r="T216" s="29"/>
      <c r="U216" s="29"/>
      <c r="V216" s="29"/>
    </row>
    <row r="217" spans="1:22" ht="14.25" customHeight="1" x14ac:dyDescent="0.25">
      <c r="A217" s="29"/>
      <c r="B217" s="29"/>
      <c r="C217" s="29"/>
      <c r="D217" s="29"/>
      <c r="E217" s="29"/>
      <c r="F217" s="29"/>
      <c r="G217" s="29"/>
      <c r="H217" s="29"/>
      <c r="I217" s="29"/>
      <c r="J217" s="29"/>
      <c r="K217" s="29"/>
      <c r="L217" s="29"/>
      <c r="M217" s="29"/>
      <c r="N217" s="29"/>
      <c r="O217" s="29"/>
      <c r="P217" s="29"/>
      <c r="Q217" s="29"/>
      <c r="R217" s="29"/>
      <c r="S217" s="29"/>
      <c r="T217" s="29"/>
      <c r="U217" s="29"/>
      <c r="V217" s="29"/>
    </row>
    <row r="218" spans="1:22" ht="14.25" customHeight="1" x14ac:dyDescent="0.25">
      <c r="A218" s="29"/>
      <c r="B218" s="29"/>
      <c r="C218" s="29"/>
      <c r="D218" s="29"/>
      <c r="E218" s="29"/>
      <c r="F218" s="29"/>
      <c r="G218" s="29"/>
      <c r="H218" s="29"/>
      <c r="I218" s="29"/>
      <c r="J218" s="29"/>
      <c r="K218" s="29"/>
      <c r="L218" s="29"/>
      <c r="M218" s="29"/>
      <c r="N218" s="29"/>
      <c r="O218" s="29"/>
      <c r="P218" s="29"/>
      <c r="Q218" s="29"/>
      <c r="R218" s="29"/>
      <c r="S218" s="29"/>
      <c r="T218" s="29"/>
      <c r="U218" s="29"/>
      <c r="V218" s="29"/>
    </row>
    <row r="219" spans="1:22" ht="14.25" customHeight="1" x14ac:dyDescent="0.25">
      <c r="A219" s="29"/>
      <c r="B219" s="29"/>
      <c r="C219" s="29"/>
      <c r="D219" s="29"/>
      <c r="E219" s="29"/>
      <c r="F219" s="29"/>
      <c r="G219" s="29"/>
      <c r="H219" s="29"/>
      <c r="I219" s="29"/>
      <c r="J219" s="29"/>
      <c r="K219" s="29"/>
      <c r="L219" s="29"/>
      <c r="M219" s="29"/>
      <c r="N219" s="29"/>
      <c r="O219" s="29"/>
      <c r="P219" s="29"/>
      <c r="Q219" s="29"/>
      <c r="R219" s="29"/>
      <c r="S219" s="29"/>
      <c r="T219" s="29"/>
      <c r="U219" s="29"/>
      <c r="V219" s="29"/>
    </row>
    <row r="220" spans="1:22" ht="14.25" customHeight="1" x14ac:dyDescent="0.25">
      <c r="A220" s="29"/>
      <c r="B220" s="29"/>
      <c r="C220" s="29"/>
      <c r="D220" s="29"/>
      <c r="E220" s="29"/>
      <c r="F220" s="29"/>
      <c r="G220" s="29"/>
      <c r="H220" s="29"/>
      <c r="I220" s="29"/>
      <c r="J220" s="29"/>
      <c r="K220" s="29"/>
      <c r="L220" s="29"/>
      <c r="M220" s="29"/>
      <c r="N220" s="29"/>
      <c r="O220" s="29"/>
      <c r="P220" s="29"/>
      <c r="Q220" s="29"/>
      <c r="R220" s="29"/>
      <c r="S220" s="29"/>
      <c r="T220" s="29"/>
      <c r="U220" s="29"/>
      <c r="V220" s="29"/>
    </row>
    <row r="221" spans="1:22" ht="14.25" customHeight="1" x14ac:dyDescent="0.25">
      <c r="A221" s="29"/>
      <c r="B221" s="29"/>
      <c r="C221" s="29"/>
      <c r="D221" s="29"/>
      <c r="E221" s="29"/>
      <c r="F221" s="29"/>
      <c r="G221" s="29"/>
      <c r="H221" s="29"/>
      <c r="I221" s="29"/>
      <c r="J221" s="29"/>
      <c r="K221" s="29"/>
      <c r="L221" s="29"/>
      <c r="M221" s="29"/>
      <c r="N221" s="29"/>
      <c r="O221" s="29"/>
      <c r="P221" s="29"/>
      <c r="Q221" s="29"/>
      <c r="R221" s="29"/>
      <c r="S221" s="29"/>
      <c r="T221" s="29"/>
      <c r="U221" s="29"/>
      <c r="V221" s="29"/>
    </row>
    <row r="222" spans="1:22" ht="14.25" customHeight="1" x14ac:dyDescent="0.25">
      <c r="A222" s="29"/>
      <c r="B222" s="29"/>
      <c r="C222" s="29"/>
      <c r="D222" s="29"/>
      <c r="E222" s="29"/>
      <c r="F222" s="29"/>
      <c r="G222" s="29"/>
      <c r="H222" s="29"/>
      <c r="I222" s="29"/>
      <c r="J222" s="29"/>
      <c r="K222" s="29"/>
      <c r="L222" s="29"/>
      <c r="M222" s="29"/>
      <c r="N222" s="29"/>
      <c r="O222" s="29"/>
      <c r="P222" s="29"/>
      <c r="Q222" s="29"/>
      <c r="R222" s="29"/>
      <c r="S222" s="29"/>
      <c r="T222" s="29"/>
      <c r="U222" s="29"/>
      <c r="V222" s="29"/>
    </row>
    <row r="223" spans="1:22" ht="14.25" customHeight="1" x14ac:dyDescent="0.25">
      <c r="A223" s="29"/>
      <c r="B223" s="29"/>
      <c r="C223" s="29"/>
      <c r="D223" s="29"/>
      <c r="E223" s="29"/>
      <c r="F223" s="29"/>
      <c r="G223" s="29"/>
      <c r="H223" s="29"/>
      <c r="I223" s="29"/>
      <c r="J223" s="29"/>
      <c r="K223" s="29"/>
      <c r="L223" s="29"/>
      <c r="M223" s="29"/>
      <c r="N223" s="29"/>
      <c r="O223" s="29"/>
      <c r="P223" s="29"/>
      <c r="Q223" s="29"/>
      <c r="R223" s="29"/>
      <c r="S223" s="29"/>
      <c r="T223" s="29"/>
      <c r="U223" s="29"/>
      <c r="V223" s="29"/>
    </row>
    <row r="224" spans="1:22" ht="14.25" customHeight="1" x14ac:dyDescent="0.25">
      <c r="A224" s="29"/>
      <c r="B224" s="29"/>
      <c r="C224" s="29"/>
      <c r="D224" s="29"/>
      <c r="E224" s="29"/>
      <c r="F224" s="29"/>
      <c r="G224" s="29"/>
      <c r="H224" s="29"/>
      <c r="I224" s="29"/>
      <c r="J224" s="29"/>
      <c r="K224" s="29"/>
      <c r="L224" s="29"/>
      <c r="M224" s="29"/>
      <c r="N224" s="29"/>
      <c r="O224" s="29"/>
      <c r="P224" s="29"/>
      <c r="Q224" s="29"/>
      <c r="R224" s="29"/>
      <c r="S224" s="29"/>
      <c r="T224" s="29"/>
      <c r="U224" s="29"/>
      <c r="V224" s="29"/>
    </row>
    <row r="225" spans="1:22" ht="14.25" customHeight="1" x14ac:dyDescent="0.25">
      <c r="A225" s="29"/>
      <c r="B225" s="29"/>
      <c r="C225" s="29"/>
      <c r="D225" s="29"/>
      <c r="E225" s="29"/>
      <c r="F225" s="29"/>
      <c r="G225" s="29"/>
      <c r="H225" s="29"/>
      <c r="I225" s="29"/>
      <c r="J225" s="29"/>
      <c r="K225" s="29"/>
      <c r="L225" s="29"/>
      <c r="M225" s="29"/>
      <c r="N225" s="29"/>
      <c r="O225" s="29"/>
      <c r="P225" s="29"/>
      <c r="Q225" s="29"/>
      <c r="R225" s="29"/>
      <c r="S225" s="29"/>
      <c r="T225" s="29"/>
      <c r="U225" s="29"/>
      <c r="V225" s="29"/>
    </row>
    <row r="226" spans="1:22" ht="14.25" customHeight="1" x14ac:dyDescent="0.25">
      <c r="A226" s="29"/>
      <c r="B226" s="29"/>
      <c r="C226" s="29"/>
      <c r="D226" s="29"/>
      <c r="E226" s="29"/>
      <c r="F226" s="29"/>
      <c r="G226" s="29"/>
      <c r="H226" s="29"/>
      <c r="I226" s="29"/>
      <c r="J226" s="29"/>
      <c r="K226" s="29"/>
      <c r="L226" s="29"/>
      <c r="M226" s="29"/>
      <c r="N226" s="29"/>
      <c r="O226" s="29"/>
      <c r="P226" s="29"/>
      <c r="Q226" s="29"/>
      <c r="R226" s="29"/>
      <c r="S226" s="29"/>
      <c r="T226" s="29"/>
      <c r="U226" s="29"/>
      <c r="V226" s="29"/>
    </row>
    <row r="227" spans="1:22" ht="14.25" customHeight="1" x14ac:dyDescent="0.25">
      <c r="A227" s="29"/>
      <c r="B227" s="29"/>
      <c r="C227" s="29"/>
      <c r="D227" s="29"/>
      <c r="E227" s="29"/>
      <c r="F227" s="29"/>
      <c r="G227" s="29"/>
      <c r="H227" s="29"/>
      <c r="I227" s="29"/>
      <c r="J227" s="29"/>
      <c r="K227" s="29"/>
      <c r="L227" s="29"/>
      <c r="M227" s="29"/>
      <c r="N227" s="29"/>
      <c r="O227" s="29"/>
      <c r="P227" s="29"/>
      <c r="Q227" s="29"/>
      <c r="R227" s="29"/>
      <c r="S227" s="29"/>
      <c r="T227" s="29"/>
      <c r="U227" s="29"/>
      <c r="V227" s="29"/>
    </row>
    <row r="228" spans="1:22" ht="14.25" customHeight="1" x14ac:dyDescent="0.25">
      <c r="A228" s="29"/>
      <c r="B228" s="29"/>
      <c r="C228" s="29"/>
      <c r="D228" s="29"/>
      <c r="E228" s="29"/>
      <c r="F228" s="29"/>
      <c r="G228" s="29"/>
      <c r="H228" s="29"/>
      <c r="I228" s="29"/>
      <c r="J228" s="29"/>
      <c r="K228" s="29"/>
      <c r="L228" s="29"/>
      <c r="M228" s="29"/>
      <c r="N228" s="29"/>
      <c r="O228" s="29"/>
      <c r="P228" s="29"/>
      <c r="Q228" s="29"/>
      <c r="R228" s="29"/>
      <c r="S228" s="29"/>
      <c r="T228" s="29"/>
      <c r="U228" s="29"/>
      <c r="V228" s="29"/>
    </row>
    <row r="229" spans="1:22" ht="14.25" customHeight="1" x14ac:dyDescent="0.25">
      <c r="A229" s="29"/>
      <c r="B229" s="29"/>
      <c r="C229" s="29"/>
      <c r="D229" s="29"/>
      <c r="E229" s="29"/>
      <c r="F229" s="29"/>
      <c r="G229" s="29"/>
      <c r="H229" s="29"/>
      <c r="I229" s="29"/>
      <c r="J229" s="29"/>
      <c r="K229" s="29"/>
      <c r="L229" s="29"/>
      <c r="M229" s="29"/>
      <c r="N229" s="29"/>
      <c r="O229" s="29"/>
      <c r="P229" s="29"/>
      <c r="Q229" s="29"/>
      <c r="R229" s="29"/>
      <c r="S229" s="29"/>
      <c r="T229" s="29"/>
      <c r="U229" s="29"/>
      <c r="V229" s="29"/>
    </row>
    <row r="230" spans="1:22" ht="14.25" customHeight="1" x14ac:dyDescent="0.25">
      <c r="A230" s="29"/>
      <c r="B230" s="29"/>
      <c r="C230" s="29"/>
      <c r="D230" s="29"/>
      <c r="E230" s="29"/>
      <c r="F230" s="29"/>
      <c r="G230" s="29"/>
      <c r="H230" s="29"/>
      <c r="I230" s="29"/>
      <c r="J230" s="29"/>
      <c r="K230" s="29"/>
      <c r="L230" s="29"/>
      <c r="M230" s="29"/>
      <c r="N230" s="29"/>
      <c r="O230" s="29"/>
      <c r="P230" s="29"/>
      <c r="Q230" s="29"/>
      <c r="R230" s="29"/>
      <c r="S230" s="29"/>
      <c r="T230" s="29"/>
      <c r="U230" s="29"/>
      <c r="V230" s="29"/>
    </row>
    <row r="231" spans="1:22" ht="14.25" customHeight="1" x14ac:dyDescent="0.25">
      <c r="A231" s="29"/>
      <c r="B231" s="29"/>
      <c r="C231" s="29"/>
      <c r="D231" s="29"/>
      <c r="E231" s="29"/>
      <c r="F231" s="29"/>
      <c r="G231" s="29"/>
      <c r="H231" s="29"/>
      <c r="I231" s="29"/>
      <c r="J231" s="29"/>
      <c r="K231" s="29"/>
      <c r="L231" s="29"/>
      <c r="M231" s="29"/>
      <c r="N231" s="29"/>
      <c r="O231" s="29"/>
      <c r="P231" s="29"/>
      <c r="Q231" s="29"/>
      <c r="R231" s="29"/>
      <c r="S231" s="29"/>
      <c r="T231" s="29"/>
      <c r="U231" s="29"/>
      <c r="V231" s="29"/>
    </row>
    <row r="232" spans="1:22" ht="14.25" customHeight="1" x14ac:dyDescent="0.25">
      <c r="A232" s="29"/>
      <c r="B232" s="29"/>
      <c r="C232" s="29"/>
      <c r="D232" s="29"/>
      <c r="E232" s="29"/>
      <c r="F232" s="29"/>
      <c r="G232" s="29"/>
      <c r="H232" s="29"/>
      <c r="I232" s="29"/>
      <c r="J232" s="29"/>
      <c r="K232" s="29"/>
      <c r="L232" s="29"/>
      <c r="M232" s="29"/>
      <c r="N232" s="29"/>
      <c r="O232" s="29"/>
      <c r="P232" s="29"/>
      <c r="Q232" s="29"/>
      <c r="R232" s="29"/>
      <c r="S232" s="29"/>
      <c r="T232" s="29"/>
      <c r="U232" s="29"/>
      <c r="V232" s="29"/>
    </row>
    <row r="233" spans="1:22" ht="14.25" customHeight="1" x14ac:dyDescent="0.25">
      <c r="A233" s="29"/>
      <c r="B233" s="29"/>
      <c r="C233" s="29"/>
      <c r="D233" s="29"/>
      <c r="E233" s="29"/>
      <c r="F233" s="29"/>
      <c r="G233" s="29"/>
      <c r="H233" s="29"/>
      <c r="I233" s="29"/>
      <c r="J233" s="29"/>
      <c r="K233" s="29"/>
      <c r="L233" s="29"/>
      <c r="M233" s="29"/>
      <c r="N233" s="29"/>
      <c r="O233" s="29"/>
      <c r="P233" s="29"/>
      <c r="Q233" s="29"/>
      <c r="R233" s="29"/>
      <c r="S233" s="29"/>
      <c r="T233" s="29"/>
      <c r="U233" s="29"/>
      <c r="V233" s="29"/>
    </row>
    <row r="234" spans="1:22" ht="14.25" customHeight="1" x14ac:dyDescent="0.25">
      <c r="A234" s="29"/>
      <c r="B234" s="29"/>
      <c r="C234" s="29"/>
      <c r="D234" s="29"/>
      <c r="E234" s="29"/>
      <c r="F234" s="29"/>
      <c r="G234" s="29"/>
      <c r="H234" s="29"/>
      <c r="I234" s="29"/>
      <c r="J234" s="29"/>
      <c r="K234" s="29"/>
      <c r="L234" s="29"/>
      <c r="M234" s="29"/>
      <c r="N234" s="29"/>
      <c r="O234" s="29"/>
      <c r="P234" s="29"/>
      <c r="Q234" s="29"/>
      <c r="R234" s="29"/>
      <c r="S234" s="29"/>
      <c r="T234" s="29"/>
      <c r="U234" s="29"/>
      <c r="V234" s="29"/>
    </row>
    <row r="235" spans="1:22" ht="14.25" customHeight="1" x14ac:dyDescent="0.25">
      <c r="A235" s="29"/>
      <c r="B235" s="29"/>
      <c r="C235" s="29"/>
      <c r="D235" s="29"/>
      <c r="E235" s="29"/>
      <c r="F235" s="29"/>
      <c r="G235" s="29"/>
      <c r="H235" s="29"/>
      <c r="I235" s="29"/>
      <c r="J235" s="29"/>
      <c r="K235" s="29"/>
      <c r="L235" s="29"/>
      <c r="M235" s="29"/>
      <c r="N235" s="29"/>
      <c r="O235" s="29"/>
      <c r="P235" s="29"/>
      <c r="Q235" s="29"/>
      <c r="R235" s="29"/>
      <c r="S235" s="29"/>
      <c r="T235" s="29"/>
      <c r="U235" s="29"/>
      <c r="V235" s="29"/>
    </row>
    <row r="236" spans="1:22" ht="14.25" customHeight="1" x14ac:dyDescent="0.25">
      <c r="A236" s="29"/>
      <c r="B236" s="29"/>
      <c r="C236" s="29"/>
      <c r="D236" s="29"/>
      <c r="E236" s="29"/>
      <c r="F236" s="29"/>
      <c r="G236" s="29"/>
      <c r="H236" s="29"/>
      <c r="I236" s="29"/>
      <c r="J236" s="29"/>
      <c r="K236" s="29"/>
      <c r="L236" s="29"/>
      <c r="M236" s="29"/>
      <c r="N236" s="29"/>
      <c r="O236" s="29"/>
      <c r="P236" s="29"/>
      <c r="Q236" s="29"/>
      <c r="R236" s="29"/>
      <c r="S236" s="29"/>
      <c r="T236" s="29"/>
      <c r="U236" s="29"/>
      <c r="V236" s="29"/>
    </row>
    <row r="237" spans="1:22" ht="14.25" customHeight="1" x14ac:dyDescent="0.25">
      <c r="A237" s="29"/>
      <c r="B237" s="29"/>
      <c r="C237" s="29"/>
      <c r="D237" s="29"/>
      <c r="E237" s="29"/>
      <c r="F237" s="29"/>
      <c r="G237" s="29"/>
      <c r="H237" s="29"/>
      <c r="I237" s="29"/>
      <c r="J237" s="29"/>
      <c r="K237" s="29"/>
      <c r="L237" s="29"/>
      <c r="M237" s="29"/>
      <c r="N237" s="29"/>
      <c r="O237" s="29"/>
      <c r="P237" s="29"/>
      <c r="Q237" s="29"/>
      <c r="R237" s="29"/>
      <c r="S237" s="29"/>
      <c r="T237" s="29"/>
      <c r="U237" s="29"/>
      <c r="V237" s="29"/>
    </row>
    <row r="238" spans="1:22" ht="14.25" customHeight="1" x14ac:dyDescent="0.25">
      <c r="A238" s="29"/>
      <c r="B238" s="29"/>
      <c r="C238" s="29"/>
      <c r="D238" s="29"/>
      <c r="E238" s="29"/>
      <c r="F238" s="29"/>
      <c r="G238" s="29"/>
      <c r="H238" s="29"/>
      <c r="I238" s="29"/>
      <c r="J238" s="29"/>
      <c r="K238" s="29"/>
      <c r="L238" s="29"/>
      <c r="M238" s="29"/>
      <c r="N238" s="29"/>
      <c r="O238" s="29"/>
      <c r="P238" s="29"/>
      <c r="Q238" s="29"/>
      <c r="R238" s="29"/>
      <c r="S238" s="29"/>
      <c r="T238" s="29"/>
      <c r="U238" s="29"/>
      <c r="V238" s="29"/>
    </row>
    <row r="239" spans="1:22" ht="14.25" customHeight="1" x14ac:dyDescent="0.25">
      <c r="A239" s="29"/>
      <c r="B239" s="29"/>
      <c r="C239" s="29"/>
      <c r="D239" s="29"/>
      <c r="E239" s="29"/>
      <c r="F239" s="29"/>
      <c r="G239" s="29"/>
      <c r="H239" s="29"/>
      <c r="I239" s="29"/>
      <c r="J239" s="29"/>
      <c r="K239" s="29"/>
      <c r="L239" s="29"/>
      <c r="M239" s="29"/>
      <c r="N239" s="29"/>
      <c r="O239" s="29"/>
      <c r="P239" s="29"/>
      <c r="Q239" s="29"/>
      <c r="R239" s="29"/>
      <c r="S239" s="29"/>
      <c r="T239" s="29"/>
      <c r="U239" s="29"/>
      <c r="V239" s="29"/>
    </row>
    <row r="240" spans="1:22" ht="14.25" customHeight="1" x14ac:dyDescent="0.25">
      <c r="A240" s="29"/>
      <c r="B240" s="29"/>
      <c r="C240" s="29"/>
      <c r="D240" s="29"/>
      <c r="E240" s="29"/>
      <c r="F240" s="29"/>
      <c r="G240" s="29"/>
      <c r="H240" s="29"/>
      <c r="I240" s="29"/>
      <c r="J240" s="29"/>
      <c r="K240" s="29"/>
      <c r="L240" s="29"/>
      <c r="M240" s="29"/>
      <c r="N240" s="29"/>
      <c r="O240" s="29"/>
      <c r="P240" s="29"/>
      <c r="Q240" s="29"/>
      <c r="R240" s="29"/>
      <c r="S240" s="29"/>
      <c r="T240" s="29"/>
      <c r="U240" s="29"/>
      <c r="V240" s="29"/>
    </row>
    <row r="241" spans="1:22" ht="14.25" customHeight="1" x14ac:dyDescent="0.25">
      <c r="A241" s="29"/>
      <c r="B241" s="29"/>
      <c r="C241" s="29"/>
      <c r="D241" s="29"/>
      <c r="E241" s="29"/>
      <c r="F241" s="29"/>
      <c r="G241" s="29"/>
      <c r="H241" s="29"/>
      <c r="I241" s="29"/>
      <c r="J241" s="29"/>
      <c r="K241" s="29"/>
      <c r="L241" s="29"/>
      <c r="M241" s="29"/>
      <c r="N241" s="29"/>
      <c r="O241" s="29"/>
      <c r="P241" s="29"/>
      <c r="Q241" s="29"/>
      <c r="R241" s="29"/>
      <c r="S241" s="29"/>
      <c r="T241" s="29"/>
      <c r="U241" s="29"/>
      <c r="V241" s="29"/>
    </row>
    <row r="242" spans="1:22" ht="14.25" customHeight="1" x14ac:dyDescent="0.25">
      <c r="A242" s="29"/>
      <c r="B242" s="29"/>
      <c r="C242" s="29"/>
      <c r="D242" s="29"/>
      <c r="E242" s="29"/>
      <c r="F242" s="29"/>
      <c r="G242" s="29"/>
      <c r="H242" s="29"/>
      <c r="I242" s="29"/>
      <c r="J242" s="29"/>
      <c r="K242" s="29"/>
      <c r="L242" s="29"/>
      <c r="M242" s="29"/>
      <c r="N242" s="29"/>
      <c r="O242" s="29"/>
      <c r="P242" s="29"/>
      <c r="Q242" s="29"/>
      <c r="R242" s="29"/>
      <c r="S242" s="29"/>
      <c r="T242" s="29"/>
      <c r="U242" s="29"/>
      <c r="V242" s="29"/>
    </row>
    <row r="243" spans="1:22" ht="14.25" customHeight="1" x14ac:dyDescent="0.25">
      <c r="A243" s="29"/>
      <c r="B243" s="29"/>
      <c r="C243" s="29"/>
      <c r="D243" s="29"/>
      <c r="E243" s="29"/>
      <c r="F243" s="29"/>
      <c r="G243" s="29"/>
      <c r="H243" s="29"/>
      <c r="I243" s="29"/>
      <c r="J243" s="29"/>
      <c r="K243" s="29"/>
      <c r="L243" s="29"/>
      <c r="M243" s="29"/>
      <c r="N243" s="29"/>
      <c r="O243" s="29"/>
      <c r="P243" s="29"/>
      <c r="Q243" s="29"/>
      <c r="R243" s="29"/>
      <c r="S243" s="29"/>
      <c r="T243" s="29"/>
      <c r="U243" s="29"/>
      <c r="V243" s="29"/>
    </row>
    <row r="244" spans="1:22" ht="14.25" customHeight="1" x14ac:dyDescent="0.25">
      <c r="A244" s="29"/>
      <c r="B244" s="29"/>
      <c r="C244" s="29"/>
      <c r="D244" s="29"/>
      <c r="E244" s="29"/>
      <c r="F244" s="29"/>
      <c r="G244" s="29"/>
      <c r="H244" s="29"/>
      <c r="I244" s="29"/>
      <c r="J244" s="29"/>
      <c r="K244" s="29"/>
      <c r="L244" s="29"/>
      <c r="M244" s="29"/>
      <c r="N244" s="29"/>
      <c r="O244" s="29"/>
      <c r="P244" s="29"/>
      <c r="Q244" s="29"/>
      <c r="R244" s="29"/>
      <c r="S244" s="29"/>
      <c r="T244" s="29"/>
      <c r="U244" s="29"/>
      <c r="V244" s="29"/>
    </row>
    <row r="245" spans="1:22" ht="14.25" customHeight="1" x14ac:dyDescent="0.25">
      <c r="A245" s="29"/>
      <c r="B245" s="29"/>
      <c r="C245" s="29"/>
      <c r="D245" s="29"/>
      <c r="E245" s="29"/>
      <c r="F245" s="29"/>
      <c r="G245" s="29"/>
      <c r="H245" s="29"/>
      <c r="I245" s="29"/>
      <c r="J245" s="29"/>
      <c r="K245" s="29"/>
      <c r="L245" s="29"/>
      <c r="M245" s="29"/>
      <c r="N245" s="29"/>
      <c r="O245" s="29"/>
      <c r="P245" s="29"/>
      <c r="Q245" s="29"/>
      <c r="R245" s="29"/>
      <c r="S245" s="29"/>
      <c r="T245" s="29"/>
      <c r="U245" s="29"/>
      <c r="V245" s="29"/>
    </row>
    <row r="246" spans="1:22" ht="14.25" customHeight="1" x14ac:dyDescent="0.25">
      <c r="A246" s="29"/>
      <c r="B246" s="29"/>
      <c r="C246" s="29"/>
      <c r="D246" s="29"/>
      <c r="E246" s="29"/>
      <c r="F246" s="29"/>
      <c r="G246" s="29"/>
      <c r="H246" s="29"/>
      <c r="I246" s="29"/>
      <c r="J246" s="29"/>
      <c r="K246" s="29"/>
      <c r="L246" s="29"/>
      <c r="M246" s="29"/>
      <c r="N246" s="29"/>
      <c r="O246" s="29"/>
      <c r="P246" s="29"/>
      <c r="Q246" s="29"/>
      <c r="R246" s="29"/>
      <c r="S246" s="29"/>
      <c r="T246" s="29"/>
      <c r="U246" s="29"/>
      <c r="V246" s="29"/>
    </row>
    <row r="247" spans="1:22" ht="14.25" customHeight="1" x14ac:dyDescent="0.25">
      <c r="A247" s="29"/>
      <c r="B247" s="29"/>
      <c r="C247" s="29"/>
      <c r="D247" s="29"/>
      <c r="E247" s="29"/>
      <c r="F247" s="29"/>
      <c r="G247" s="29"/>
      <c r="H247" s="29"/>
      <c r="I247" s="29"/>
      <c r="J247" s="29"/>
      <c r="K247" s="29"/>
      <c r="L247" s="29"/>
      <c r="M247" s="29"/>
      <c r="N247" s="29"/>
      <c r="O247" s="29"/>
      <c r="P247" s="29"/>
      <c r="Q247" s="29"/>
      <c r="R247" s="29"/>
      <c r="S247" s="29"/>
      <c r="T247" s="29"/>
      <c r="U247" s="29"/>
      <c r="V247" s="29"/>
    </row>
    <row r="248" spans="1:22" ht="14.25" customHeight="1" x14ac:dyDescent="0.25">
      <c r="A248" s="29"/>
      <c r="B248" s="29"/>
      <c r="C248" s="29"/>
      <c r="D248" s="29"/>
      <c r="E248" s="29"/>
      <c r="F248" s="29"/>
      <c r="G248" s="29"/>
      <c r="H248" s="29"/>
      <c r="I248" s="29"/>
      <c r="J248" s="29"/>
      <c r="K248" s="29"/>
      <c r="L248" s="29"/>
      <c r="M248" s="29"/>
      <c r="N248" s="29"/>
      <c r="O248" s="29"/>
      <c r="P248" s="29"/>
      <c r="Q248" s="29"/>
      <c r="R248" s="29"/>
      <c r="S248" s="29"/>
      <c r="T248" s="29"/>
      <c r="U248" s="29"/>
      <c r="V248" s="29"/>
    </row>
    <row r="249" spans="1:22" ht="14.25" customHeight="1" x14ac:dyDescent="0.25">
      <c r="A249" s="29"/>
      <c r="B249" s="29"/>
      <c r="C249" s="29"/>
      <c r="D249" s="29"/>
      <c r="E249" s="29"/>
      <c r="F249" s="29"/>
      <c r="G249" s="29"/>
      <c r="H249" s="29"/>
      <c r="I249" s="29"/>
      <c r="J249" s="29"/>
      <c r="K249" s="29"/>
      <c r="L249" s="29"/>
      <c r="M249" s="29"/>
      <c r="N249" s="29"/>
      <c r="O249" s="29"/>
      <c r="P249" s="29"/>
      <c r="Q249" s="29"/>
      <c r="R249" s="29"/>
      <c r="S249" s="29"/>
      <c r="T249" s="29"/>
      <c r="U249" s="29"/>
      <c r="V249" s="29"/>
    </row>
    <row r="250" spans="1:22" ht="14.25" customHeight="1" x14ac:dyDescent="0.25">
      <c r="A250" s="29"/>
      <c r="B250" s="29"/>
      <c r="C250" s="29"/>
      <c r="D250" s="29"/>
      <c r="E250" s="29"/>
      <c r="F250" s="29"/>
      <c r="G250" s="29"/>
      <c r="H250" s="29"/>
      <c r="I250" s="29"/>
      <c r="J250" s="29"/>
      <c r="K250" s="29"/>
      <c r="L250" s="29"/>
      <c r="M250" s="29"/>
      <c r="N250" s="29"/>
      <c r="O250" s="29"/>
      <c r="P250" s="29"/>
      <c r="Q250" s="29"/>
      <c r="R250" s="29"/>
      <c r="S250" s="29"/>
      <c r="T250" s="29"/>
      <c r="U250" s="29"/>
      <c r="V250" s="29"/>
    </row>
    <row r="251" spans="1:22" ht="14.25" customHeight="1" x14ac:dyDescent="0.25">
      <c r="A251" s="29"/>
      <c r="B251" s="29"/>
      <c r="C251" s="29"/>
      <c r="D251" s="29"/>
      <c r="E251" s="29"/>
      <c r="F251" s="29"/>
      <c r="G251" s="29"/>
      <c r="H251" s="29"/>
      <c r="I251" s="29"/>
      <c r="J251" s="29"/>
      <c r="K251" s="29"/>
      <c r="L251" s="29"/>
      <c r="M251" s="29"/>
      <c r="N251" s="29"/>
      <c r="O251" s="29"/>
      <c r="P251" s="29"/>
      <c r="Q251" s="29"/>
      <c r="R251" s="29"/>
      <c r="S251" s="29"/>
      <c r="T251" s="29"/>
      <c r="U251" s="29"/>
      <c r="V251" s="29"/>
    </row>
    <row r="252" spans="1:22" ht="14.25" customHeight="1" x14ac:dyDescent="0.25">
      <c r="A252" s="29"/>
      <c r="B252" s="29"/>
      <c r="C252" s="29"/>
      <c r="D252" s="29"/>
      <c r="E252" s="29"/>
      <c r="F252" s="29"/>
      <c r="G252" s="29"/>
      <c r="H252" s="29"/>
      <c r="I252" s="29"/>
      <c r="J252" s="29"/>
      <c r="K252" s="29"/>
      <c r="L252" s="29"/>
      <c r="M252" s="29"/>
      <c r="N252" s="29"/>
      <c r="O252" s="29"/>
      <c r="P252" s="29"/>
      <c r="Q252" s="29"/>
      <c r="R252" s="29"/>
      <c r="S252" s="29"/>
      <c r="T252" s="29"/>
      <c r="U252" s="29"/>
      <c r="V252" s="29"/>
    </row>
    <row r="253" spans="1:22" ht="14.25" customHeight="1" x14ac:dyDescent="0.25">
      <c r="A253" s="29"/>
      <c r="B253" s="29"/>
      <c r="C253" s="29"/>
      <c r="D253" s="29"/>
      <c r="E253" s="29"/>
      <c r="F253" s="29"/>
      <c r="G253" s="29"/>
      <c r="H253" s="29"/>
      <c r="I253" s="29"/>
      <c r="J253" s="29"/>
      <c r="K253" s="29"/>
      <c r="L253" s="29"/>
      <c r="M253" s="29"/>
      <c r="N253" s="29"/>
      <c r="O253" s="29"/>
      <c r="P253" s="29"/>
      <c r="Q253" s="29"/>
      <c r="R253" s="29"/>
      <c r="S253" s="29"/>
      <c r="T253" s="29"/>
      <c r="U253" s="29"/>
      <c r="V253" s="29"/>
    </row>
    <row r="254" spans="1:22" ht="14.25" customHeight="1" x14ac:dyDescent="0.25">
      <c r="A254" s="29"/>
      <c r="B254" s="29"/>
      <c r="C254" s="29"/>
      <c r="D254" s="29"/>
      <c r="E254" s="29"/>
      <c r="F254" s="29"/>
      <c r="G254" s="29"/>
      <c r="H254" s="29"/>
      <c r="I254" s="29"/>
      <c r="J254" s="29"/>
      <c r="K254" s="29"/>
      <c r="L254" s="29"/>
      <c r="M254" s="29"/>
      <c r="N254" s="29"/>
      <c r="O254" s="29"/>
      <c r="P254" s="29"/>
      <c r="Q254" s="29"/>
      <c r="R254" s="29"/>
      <c r="S254" s="29"/>
      <c r="T254" s="29"/>
      <c r="U254" s="29"/>
      <c r="V254" s="29"/>
    </row>
    <row r="255" spans="1:22" ht="15.75" customHeight="1" x14ac:dyDescent="0.25"/>
    <row r="256" spans="1:22"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1000"/>
  <sheetViews>
    <sheetView workbookViewId="0"/>
  </sheetViews>
  <sheetFormatPr defaultColWidth="12.59765625" defaultRowHeight="15" customHeight="1" x14ac:dyDescent="0.25"/>
  <cols>
    <col min="1" max="6" width="8.59765625" customWidth="1"/>
  </cols>
  <sheetData>
    <row r="1" ht="16.5" customHeight="1" x14ac:dyDescent="0.25"/>
    <row r="2" ht="16.5" customHeight="1" x14ac:dyDescent="0.25"/>
    <row r="3" ht="16.5" customHeight="1" x14ac:dyDescent="0.25"/>
    <row r="4" ht="16.5" customHeight="1" x14ac:dyDescent="0.25"/>
    <row r="5" ht="16.5" customHeight="1" x14ac:dyDescent="0.25"/>
    <row r="6" ht="16.5" customHeight="1" x14ac:dyDescent="0.25"/>
    <row r="7" ht="16.5" customHeight="1" x14ac:dyDescent="0.25"/>
    <row r="8" ht="16.5" customHeight="1" x14ac:dyDescent="0.25"/>
    <row r="9" ht="16.5" customHeight="1" x14ac:dyDescent="0.25"/>
    <row r="10" ht="16.5" customHeight="1" x14ac:dyDescent="0.25"/>
    <row r="11" ht="16.5" customHeight="1" x14ac:dyDescent="0.25"/>
    <row r="12" ht="16.5" customHeight="1" x14ac:dyDescent="0.25"/>
    <row r="13" ht="16.5" customHeight="1" x14ac:dyDescent="0.25"/>
    <row r="14" ht="16.5" customHeight="1" x14ac:dyDescent="0.25"/>
    <row r="15" ht="16.5" customHeight="1" x14ac:dyDescent="0.25"/>
    <row r="16" ht="16.5" customHeight="1" x14ac:dyDescent="0.25"/>
    <row r="17" ht="16.5" customHeight="1" x14ac:dyDescent="0.25"/>
    <row r="18" ht="16.5" customHeight="1" x14ac:dyDescent="0.25"/>
    <row r="19" ht="16.5" customHeight="1" x14ac:dyDescent="0.25"/>
    <row r="20" ht="16.5" customHeight="1" x14ac:dyDescent="0.25"/>
    <row r="21" ht="16.5" customHeight="1" x14ac:dyDescent="0.25"/>
    <row r="22" ht="16.5" customHeight="1" x14ac:dyDescent="0.25"/>
    <row r="23" ht="16.5" customHeight="1" x14ac:dyDescent="0.25"/>
    <row r="24" ht="16.5" customHeight="1" x14ac:dyDescent="0.25"/>
    <row r="25" ht="16.5" customHeight="1" x14ac:dyDescent="0.25"/>
    <row r="26" ht="16.5" customHeight="1" x14ac:dyDescent="0.25"/>
    <row r="27" ht="16.5" customHeight="1" x14ac:dyDescent="0.25"/>
    <row r="28" ht="16.5" customHeight="1" x14ac:dyDescent="0.25"/>
    <row r="29" ht="16.5" customHeight="1" x14ac:dyDescent="0.25"/>
    <row r="30" ht="16.5" customHeight="1" x14ac:dyDescent="0.25"/>
    <row r="31" ht="16.5" customHeight="1" x14ac:dyDescent="0.25"/>
    <row r="32" ht="16.5" customHeight="1" x14ac:dyDescent="0.25"/>
    <row r="33" ht="16.5" customHeight="1" x14ac:dyDescent="0.25"/>
    <row r="34" ht="16.5" customHeight="1" x14ac:dyDescent="0.25"/>
    <row r="35" ht="16.5" customHeight="1" x14ac:dyDescent="0.25"/>
    <row r="36" ht="16.5" customHeight="1" x14ac:dyDescent="0.25"/>
    <row r="37" ht="16.5" customHeight="1" x14ac:dyDescent="0.25"/>
    <row r="38" ht="16.5" customHeight="1" x14ac:dyDescent="0.25"/>
    <row r="39" ht="16.5" customHeight="1" x14ac:dyDescent="0.25"/>
    <row r="40" ht="16.5" customHeight="1" x14ac:dyDescent="0.25"/>
    <row r="41" ht="16.5" customHeight="1" x14ac:dyDescent="0.25"/>
    <row r="42" ht="16.5" customHeight="1" x14ac:dyDescent="0.25"/>
    <row r="43" ht="16.5" customHeight="1" x14ac:dyDescent="0.25"/>
    <row r="44" ht="16.5" customHeight="1" x14ac:dyDescent="0.25"/>
    <row r="45" ht="16.5" customHeight="1" x14ac:dyDescent="0.25"/>
    <row r="46" ht="16.5" customHeight="1" x14ac:dyDescent="0.25"/>
    <row r="47" ht="16.5" customHeight="1" x14ac:dyDescent="0.25"/>
    <row r="48" ht="16.5" customHeight="1" x14ac:dyDescent="0.25"/>
    <row r="49" ht="16.5" customHeight="1" x14ac:dyDescent="0.25"/>
    <row r="50" ht="16.5" customHeight="1" x14ac:dyDescent="0.25"/>
    <row r="51" ht="16.5" customHeight="1" x14ac:dyDescent="0.25"/>
    <row r="52" ht="16.5" customHeight="1" x14ac:dyDescent="0.25"/>
    <row r="53" ht="16.5" customHeight="1" x14ac:dyDescent="0.25"/>
    <row r="54" ht="16.5" customHeight="1" x14ac:dyDescent="0.25"/>
    <row r="55" ht="16.5" customHeight="1" x14ac:dyDescent="0.25"/>
    <row r="56" ht="16.5" customHeight="1" x14ac:dyDescent="0.25"/>
    <row r="57" ht="16.5" customHeight="1" x14ac:dyDescent="0.25"/>
    <row r="58" ht="16.5" customHeight="1" x14ac:dyDescent="0.25"/>
    <row r="59" ht="16.5" customHeight="1" x14ac:dyDescent="0.25"/>
    <row r="60" ht="16.5" customHeight="1" x14ac:dyDescent="0.25"/>
    <row r="61" ht="16.5" customHeight="1" x14ac:dyDescent="0.25"/>
    <row r="62" ht="16.5" customHeight="1" x14ac:dyDescent="0.25"/>
    <row r="63" ht="16.5" customHeight="1" x14ac:dyDescent="0.25"/>
    <row r="64" ht="16.5" customHeight="1" x14ac:dyDescent="0.25"/>
    <row r="65" ht="16.5" customHeight="1" x14ac:dyDescent="0.25"/>
    <row r="66" ht="16.5" customHeight="1" x14ac:dyDescent="0.25"/>
    <row r="67" ht="16.5" customHeight="1" x14ac:dyDescent="0.25"/>
    <row r="68" ht="16.5" customHeight="1" x14ac:dyDescent="0.25"/>
    <row r="69" ht="16.5" customHeight="1" x14ac:dyDescent="0.25"/>
    <row r="70" ht="16.5" customHeight="1" x14ac:dyDescent="0.25"/>
    <row r="71" ht="16.5" customHeight="1" x14ac:dyDescent="0.25"/>
    <row r="72" ht="16.5" customHeight="1" x14ac:dyDescent="0.25"/>
    <row r="73" ht="16.5" customHeight="1" x14ac:dyDescent="0.25"/>
    <row r="74" ht="16.5" customHeight="1" x14ac:dyDescent="0.25"/>
    <row r="75" ht="16.5" customHeight="1" x14ac:dyDescent="0.25"/>
    <row r="76" ht="16.5" customHeight="1" x14ac:dyDescent="0.25"/>
    <row r="77" ht="16.5" customHeight="1" x14ac:dyDescent="0.25"/>
    <row r="78" ht="16.5" customHeight="1" x14ac:dyDescent="0.25"/>
    <row r="79" ht="16.5" customHeight="1" x14ac:dyDescent="0.25"/>
    <row r="80" ht="16.5" customHeight="1" x14ac:dyDescent="0.25"/>
    <row r="81" ht="16.5" customHeight="1" x14ac:dyDescent="0.25"/>
    <row r="82" ht="16.5" customHeight="1" x14ac:dyDescent="0.25"/>
    <row r="83" ht="16.5" customHeight="1" x14ac:dyDescent="0.25"/>
    <row r="84" ht="16.5" customHeight="1" x14ac:dyDescent="0.25"/>
    <row r="85" ht="16.5" customHeight="1" x14ac:dyDescent="0.25"/>
    <row r="86" ht="16.5" customHeight="1" x14ac:dyDescent="0.25"/>
    <row r="87" ht="16.5" customHeight="1" x14ac:dyDescent="0.25"/>
    <row r="88" ht="16.5" customHeight="1" x14ac:dyDescent="0.25"/>
    <row r="89" ht="16.5" customHeight="1" x14ac:dyDescent="0.25"/>
    <row r="90" ht="16.5" customHeight="1" x14ac:dyDescent="0.25"/>
    <row r="91" ht="16.5" customHeight="1" x14ac:dyDescent="0.25"/>
    <row r="92" ht="16.5" customHeight="1" x14ac:dyDescent="0.25"/>
    <row r="93" ht="16.5" customHeight="1" x14ac:dyDescent="0.25"/>
    <row r="94" ht="16.5" customHeight="1" x14ac:dyDescent="0.25"/>
    <row r="95" ht="16.5" customHeight="1" x14ac:dyDescent="0.25"/>
    <row r="96" ht="16.5" customHeight="1" x14ac:dyDescent="0.25"/>
    <row r="97" ht="16.5" customHeight="1" x14ac:dyDescent="0.25"/>
    <row r="98" ht="16.5" customHeight="1" x14ac:dyDescent="0.25"/>
    <row r="99" ht="16.5" customHeight="1" x14ac:dyDescent="0.25"/>
    <row r="100" ht="16.5" customHeight="1" x14ac:dyDescent="0.25"/>
    <row r="101" ht="16.5" customHeight="1" x14ac:dyDescent="0.25"/>
    <row r="102" ht="16.5" customHeight="1" x14ac:dyDescent="0.25"/>
    <row r="103" ht="16.5" customHeight="1" x14ac:dyDescent="0.25"/>
    <row r="104" ht="16.5" customHeight="1" x14ac:dyDescent="0.25"/>
    <row r="105" ht="16.5" customHeight="1" x14ac:dyDescent="0.25"/>
    <row r="106" ht="16.5" customHeight="1" x14ac:dyDescent="0.25"/>
    <row r="107" ht="16.5" customHeight="1" x14ac:dyDescent="0.25"/>
    <row r="108" ht="16.5" customHeight="1" x14ac:dyDescent="0.25"/>
    <row r="109" ht="16.5" customHeight="1" x14ac:dyDescent="0.25"/>
    <row r="110" ht="16.5" customHeight="1" x14ac:dyDescent="0.25"/>
    <row r="111" ht="16.5" customHeight="1" x14ac:dyDescent="0.25"/>
    <row r="112" ht="16.5" customHeight="1" x14ac:dyDescent="0.25"/>
    <row r="113" ht="16.5" customHeight="1" x14ac:dyDescent="0.25"/>
    <row r="114" ht="16.5" customHeight="1" x14ac:dyDescent="0.25"/>
    <row r="115" ht="16.5" customHeight="1" x14ac:dyDescent="0.25"/>
    <row r="116" ht="16.5" customHeight="1" x14ac:dyDescent="0.25"/>
    <row r="117" ht="16.5" customHeight="1" x14ac:dyDescent="0.25"/>
    <row r="118" ht="16.5" customHeight="1" x14ac:dyDescent="0.25"/>
    <row r="119" ht="16.5" customHeight="1" x14ac:dyDescent="0.25"/>
    <row r="120" ht="16.5" customHeight="1" x14ac:dyDescent="0.25"/>
    <row r="121" ht="16.5" customHeight="1" x14ac:dyDescent="0.25"/>
    <row r="122" ht="16.5" customHeight="1" x14ac:dyDescent="0.25"/>
    <row r="123" ht="16.5" customHeight="1" x14ac:dyDescent="0.25"/>
    <row r="124" ht="16.5" customHeight="1" x14ac:dyDescent="0.25"/>
    <row r="125" ht="16.5" customHeight="1" x14ac:dyDescent="0.25"/>
    <row r="126" ht="16.5" customHeight="1" x14ac:dyDescent="0.25"/>
    <row r="127" ht="16.5" customHeight="1" x14ac:dyDescent="0.25"/>
    <row r="128" ht="16.5" customHeight="1" x14ac:dyDescent="0.25"/>
    <row r="129" ht="16.5" customHeight="1" x14ac:dyDescent="0.25"/>
    <row r="130" ht="16.5" customHeight="1" x14ac:dyDescent="0.25"/>
    <row r="131" ht="16.5" customHeight="1" x14ac:dyDescent="0.25"/>
    <row r="132" ht="16.5" customHeight="1" x14ac:dyDescent="0.25"/>
    <row r="133" ht="16.5" customHeight="1" x14ac:dyDescent="0.25"/>
    <row r="134" ht="16.5" customHeight="1" x14ac:dyDescent="0.25"/>
    <row r="135" ht="16.5" customHeight="1" x14ac:dyDescent="0.25"/>
    <row r="136" ht="16.5" customHeight="1" x14ac:dyDescent="0.25"/>
    <row r="137" ht="16.5" customHeight="1" x14ac:dyDescent="0.25"/>
    <row r="138" ht="16.5" customHeight="1" x14ac:dyDescent="0.25"/>
    <row r="139" ht="16.5" customHeight="1" x14ac:dyDescent="0.25"/>
    <row r="140" ht="16.5" customHeight="1" x14ac:dyDescent="0.25"/>
    <row r="141" ht="16.5" customHeight="1" x14ac:dyDescent="0.25"/>
    <row r="142" ht="16.5" customHeight="1" x14ac:dyDescent="0.25"/>
    <row r="143" ht="16.5" customHeight="1" x14ac:dyDescent="0.25"/>
    <row r="144" ht="16.5" customHeight="1" x14ac:dyDescent="0.25"/>
    <row r="145" ht="16.5" customHeight="1" x14ac:dyDescent="0.25"/>
    <row r="146" ht="16.5" customHeight="1" x14ac:dyDescent="0.25"/>
    <row r="147" ht="16.5" customHeight="1" x14ac:dyDescent="0.25"/>
    <row r="148" ht="16.5" customHeight="1" x14ac:dyDescent="0.25"/>
    <row r="149" ht="16.5" customHeight="1" x14ac:dyDescent="0.25"/>
    <row r="150" ht="16.5" customHeight="1" x14ac:dyDescent="0.25"/>
    <row r="151" ht="16.5" customHeight="1" x14ac:dyDescent="0.25"/>
    <row r="152" ht="16.5" customHeight="1" x14ac:dyDescent="0.25"/>
    <row r="153" ht="16.5" customHeight="1" x14ac:dyDescent="0.25"/>
    <row r="154" ht="16.5" customHeight="1" x14ac:dyDescent="0.25"/>
    <row r="155" ht="16.5" customHeight="1" x14ac:dyDescent="0.25"/>
    <row r="156" ht="16.5" customHeight="1" x14ac:dyDescent="0.25"/>
    <row r="157" ht="16.5" customHeight="1" x14ac:dyDescent="0.25"/>
    <row r="158" ht="16.5" customHeight="1" x14ac:dyDescent="0.25"/>
    <row r="159" ht="16.5" customHeight="1" x14ac:dyDescent="0.25"/>
    <row r="160" ht="16.5" customHeight="1" x14ac:dyDescent="0.25"/>
    <row r="161" ht="16.5" customHeight="1" x14ac:dyDescent="0.25"/>
    <row r="162" ht="16.5" customHeight="1" x14ac:dyDescent="0.25"/>
    <row r="163" ht="16.5" customHeight="1" x14ac:dyDescent="0.25"/>
    <row r="164" ht="16.5" customHeight="1" x14ac:dyDescent="0.25"/>
    <row r="165" ht="16.5" customHeight="1" x14ac:dyDescent="0.25"/>
    <row r="166" ht="16.5" customHeight="1" x14ac:dyDescent="0.25"/>
    <row r="167" ht="16.5" customHeight="1" x14ac:dyDescent="0.25"/>
    <row r="168" ht="16.5" customHeight="1" x14ac:dyDescent="0.25"/>
    <row r="169" ht="16.5" customHeight="1" x14ac:dyDescent="0.25"/>
    <row r="170" ht="16.5" customHeight="1" x14ac:dyDescent="0.25"/>
    <row r="171" ht="16.5" customHeight="1" x14ac:dyDescent="0.25"/>
    <row r="172" ht="16.5" customHeight="1" x14ac:dyDescent="0.25"/>
    <row r="173" ht="16.5" customHeight="1" x14ac:dyDescent="0.25"/>
    <row r="174" ht="16.5" customHeight="1" x14ac:dyDescent="0.25"/>
    <row r="175" ht="16.5" customHeight="1" x14ac:dyDescent="0.25"/>
    <row r="176" ht="16.5" customHeight="1" x14ac:dyDescent="0.25"/>
    <row r="177" ht="16.5" customHeight="1" x14ac:dyDescent="0.25"/>
    <row r="178" ht="16.5" customHeight="1" x14ac:dyDescent="0.25"/>
    <row r="179" ht="16.5" customHeight="1" x14ac:dyDescent="0.25"/>
    <row r="180" ht="16.5" customHeight="1" x14ac:dyDescent="0.25"/>
    <row r="181" ht="16.5" customHeight="1" x14ac:dyDescent="0.25"/>
    <row r="182" ht="16.5" customHeight="1" x14ac:dyDescent="0.25"/>
    <row r="183" ht="16.5" customHeight="1" x14ac:dyDescent="0.25"/>
    <row r="184" ht="16.5" customHeight="1" x14ac:dyDescent="0.25"/>
    <row r="185" ht="16.5" customHeight="1" x14ac:dyDescent="0.25"/>
    <row r="186" ht="16.5" customHeight="1" x14ac:dyDescent="0.25"/>
    <row r="187" ht="16.5" customHeight="1" x14ac:dyDescent="0.25"/>
    <row r="188" ht="16.5" customHeight="1" x14ac:dyDescent="0.25"/>
    <row r="189" ht="16.5" customHeight="1" x14ac:dyDescent="0.25"/>
    <row r="190" ht="16.5" customHeight="1" x14ac:dyDescent="0.25"/>
    <row r="191" ht="16.5" customHeight="1" x14ac:dyDescent="0.25"/>
    <row r="192" ht="16.5" customHeight="1" x14ac:dyDescent="0.25"/>
    <row r="193" ht="16.5" customHeight="1" x14ac:dyDescent="0.25"/>
    <row r="194" ht="16.5" customHeight="1" x14ac:dyDescent="0.25"/>
    <row r="195" ht="16.5" customHeight="1" x14ac:dyDescent="0.25"/>
    <row r="196" ht="16.5" customHeight="1" x14ac:dyDescent="0.25"/>
    <row r="197" ht="16.5" customHeight="1" x14ac:dyDescent="0.25"/>
    <row r="198" ht="16.5" customHeight="1" x14ac:dyDescent="0.25"/>
    <row r="199" ht="16.5" customHeight="1" x14ac:dyDescent="0.25"/>
    <row r="200" ht="16.5" customHeight="1" x14ac:dyDescent="0.25"/>
    <row r="201" ht="16.5" customHeight="1" x14ac:dyDescent="0.25"/>
    <row r="202" ht="16.5" customHeight="1" x14ac:dyDescent="0.25"/>
    <row r="203" ht="16.5" customHeight="1" x14ac:dyDescent="0.25"/>
    <row r="204" ht="16.5" customHeight="1" x14ac:dyDescent="0.25"/>
    <row r="205" ht="16.5" customHeight="1" x14ac:dyDescent="0.25"/>
    <row r="206" ht="16.5" customHeight="1" x14ac:dyDescent="0.25"/>
    <row r="207" ht="16.5" customHeight="1" x14ac:dyDescent="0.25"/>
    <row r="208" ht="16.5" customHeight="1" x14ac:dyDescent="0.25"/>
    <row r="209" ht="16.5" customHeight="1" x14ac:dyDescent="0.25"/>
    <row r="210" ht="16.5" customHeight="1" x14ac:dyDescent="0.25"/>
    <row r="211" ht="16.5" customHeight="1" x14ac:dyDescent="0.25"/>
    <row r="212" ht="16.5" customHeight="1" x14ac:dyDescent="0.25"/>
    <row r="213" ht="16.5" customHeight="1" x14ac:dyDescent="0.25"/>
    <row r="214" ht="16.5" customHeight="1" x14ac:dyDescent="0.25"/>
    <row r="215" ht="16.5" customHeight="1" x14ac:dyDescent="0.25"/>
    <row r="216" ht="16.5" customHeight="1" x14ac:dyDescent="0.25"/>
    <row r="217" ht="16.5" customHeight="1" x14ac:dyDescent="0.25"/>
    <row r="218" ht="16.5" customHeight="1" x14ac:dyDescent="0.25"/>
    <row r="219" ht="16.5" customHeight="1" x14ac:dyDescent="0.25"/>
    <row r="220" ht="16.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Higher Education (Op1)</vt:lpstr>
      <vt:lpstr>Higher Education (Op2)</vt:lpstr>
      <vt:lpstr>Higher Education (Oc1)</vt:lpstr>
      <vt:lpstr>Higher Education (Oc2)</vt:lpstr>
      <vt:lpstr>Advanced Education_SC (Op1)</vt:lpstr>
      <vt:lpstr>Advanced Education (Op2)</vt:lpstr>
      <vt:lpstr>Advanced Ed (Oc)</vt:lpstr>
      <vt:lpstr>Research Program (Op and Oc)</vt:lpstr>
      <vt:lpstr>Extension Program (Op1 and Op3)</vt:lpstr>
      <vt:lpstr>Extension Program (Op2)</vt:lpstr>
      <vt:lpstr>Extension Program (Oc)</vt:lpstr>
      <vt:lpstr>Legend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Romell-IPDO</dc:creator>
  <cp:lastModifiedBy>CICS</cp:lastModifiedBy>
  <dcterms:modified xsi:type="dcterms:W3CDTF">2025-05-20T06:28:43Z</dcterms:modified>
</cp:coreProperties>
</file>