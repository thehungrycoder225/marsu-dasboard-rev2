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D:\Dev\dev\ds-dashboard\"/>
    </mc:Choice>
  </mc:AlternateContent>
  <xr:revisionPtr revIDLastSave="0" documentId="13_ncr:1_{B5F91FB4-371E-4021-9D88-081439C4BA9C}" xr6:coauthVersionLast="47" xr6:coauthVersionMax="47" xr10:uidLastSave="{00000000-0000-0000-0000-000000000000}"/>
  <bookViews>
    <workbookView xWindow="0" yWindow="90" windowWidth="14595" windowHeight="10800" firstSheet="3" activeTab="4" xr2:uid="{00000000-000D-0000-FFFF-FFFF00000000}"/>
  </bookViews>
  <sheets>
    <sheet name="Reference Matrix" sheetId="1" r:id="rId1"/>
    <sheet name="Higher Education (Oc1)" sheetId="2" r:id="rId2"/>
    <sheet name="Higher Education (Oc2)" sheetId="3" r:id="rId3"/>
    <sheet name="Higher Education (Op1)" sheetId="4" r:id="rId4"/>
    <sheet name="Higher Education (Op2)" sheetId="5" r:id="rId5"/>
    <sheet name="Advanced Education (Oc1)" sheetId="6" r:id="rId6"/>
    <sheet name="Advanced Education (Op1_SC)" sheetId="7" r:id="rId7"/>
    <sheet name="Advanced Education (Op2)" sheetId="8" r:id="rId8"/>
    <sheet name="Research Program (Op&amp;Oc)" sheetId="9" r:id="rId9"/>
    <sheet name="Extension Program (Op1&amp;Op3)" sheetId="10" r:id="rId10"/>
    <sheet name="Extension Program (Op2)" sheetId="11" r:id="rId11"/>
    <sheet name="Extension Program (Oc)" sheetId="12" r:id="rId12"/>
  </sheets>
  <externalReferences>
    <externalReference r:id="rId13"/>
  </externalReferences>
  <calcPr calcId="181029"/>
  <extLst>
    <ext uri="GoogleSheetsCustomDataVersion2">
      <go:sheetsCustomData xmlns:go="http://customooxmlschemas.google.com/" r:id="rId19" roundtripDataChecksum="JZbpXFLoCi1mVFHmJeJ+H7BSxattOciTLjKxo5VdRKA="/>
    </ext>
  </extLst>
</workbook>
</file>

<file path=xl/calcChain.xml><?xml version="1.0" encoding="utf-8"?>
<calcChain xmlns="http://schemas.openxmlformats.org/spreadsheetml/2006/main">
  <c r="C91" i="12" l="1"/>
  <c r="A18" i="12" a="1"/>
  <c r="A18" i="12" s="1"/>
  <c r="N69" i="10"/>
  <c r="M69" i="10"/>
  <c r="I69" i="10"/>
  <c r="J70" i="10" s="1"/>
  <c r="G69" i="10"/>
  <c r="H68" i="10"/>
  <c r="F67" i="10"/>
  <c r="H67" i="10" s="1"/>
  <c r="H66" i="10"/>
  <c r="H65" i="10"/>
  <c r="F64" i="10"/>
  <c r="H64" i="10" s="1"/>
  <c r="H63" i="10"/>
  <c r="H62" i="10"/>
  <c r="H61" i="10"/>
  <c r="H60" i="10"/>
  <c r="F59" i="10"/>
  <c r="H59" i="10" s="1"/>
  <c r="F58" i="10"/>
  <c r="H58" i="10" s="1"/>
  <c r="F57" i="10"/>
  <c r="H57" i="10" s="1"/>
  <c r="F56" i="10"/>
  <c r="H56" i="10" s="1"/>
  <c r="H55" i="10"/>
  <c r="H54" i="10"/>
  <c r="F53" i="10"/>
  <c r="H53" i="10" s="1"/>
  <c r="F52" i="10"/>
  <c r="H52" i="10" s="1"/>
  <c r="H51" i="10"/>
  <c r="F50" i="10"/>
  <c r="H50" i="10" s="1"/>
  <c r="F49" i="10"/>
  <c r="F48" i="10"/>
  <c r="H48" i="10" s="1"/>
  <c r="F47" i="10"/>
  <c r="H47" i="10" s="1"/>
  <c r="H46" i="10"/>
  <c r="H45" i="10"/>
  <c r="H44" i="10"/>
  <c r="F43" i="10"/>
  <c r="H43" i="10" s="1"/>
  <c r="H42" i="10"/>
  <c r="F41" i="10"/>
  <c r="H41" i="10" s="1"/>
  <c r="H40" i="10"/>
  <c r="F39" i="10"/>
  <c r="H39" i="10" s="1"/>
  <c r="H38" i="10"/>
  <c r="F37" i="10"/>
  <c r="H37" i="10" s="1"/>
  <c r="H36" i="10"/>
  <c r="F35" i="10"/>
  <c r="H35" i="10" s="1"/>
  <c r="F34" i="10"/>
  <c r="H34" i="10" s="1"/>
  <c r="F33" i="10"/>
  <c r="H33" i="10" s="1"/>
  <c r="F32" i="10"/>
  <c r="H32" i="10" s="1"/>
  <c r="F31" i="10"/>
  <c r="H31" i="10" s="1"/>
  <c r="F30" i="10"/>
  <c r="H30" i="10" s="1"/>
  <c r="F29" i="10"/>
  <c r="H29" i="10" s="1"/>
  <c r="F28" i="10"/>
  <c r="H28" i="10" s="1"/>
  <c r="F27" i="10"/>
  <c r="H27" i="10" s="1"/>
  <c r="F26" i="10"/>
  <c r="H26" i="10" s="1"/>
  <c r="F25" i="10"/>
  <c r="H25" i="10" s="1"/>
  <c r="H69" i="10" s="1"/>
  <c r="A25" i="10" a="1"/>
  <c r="A25" i="10" s="1"/>
  <c r="F24" i="10"/>
  <c r="H24" i="10" s="1"/>
  <c r="H14" i="10" a="1"/>
  <c r="H14" i="10" s="1"/>
  <c r="I211" i="9"/>
  <c r="H211" i="9"/>
  <c r="J211" i="9" s="1"/>
  <c r="I210" i="9"/>
  <c r="H210" i="9"/>
  <c r="J210" i="9" s="1"/>
  <c r="C6" i="9"/>
  <c r="C5" i="9" a="1"/>
  <c r="C5" i="9"/>
  <c r="D31" i="8"/>
  <c r="D32" i="8" s="1"/>
  <c r="D29" i="8"/>
  <c r="C6" i="8"/>
  <c r="C5" i="8"/>
  <c r="C32" i="7"/>
  <c r="D31" i="7"/>
  <c r="C31" i="7"/>
  <c r="C33" i="7" s="1"/>
  <c r="C6" i="7" a="1"/>
  <c r="C6" i="7" s="1"/>
  <c r="C5" i="7" a="1"/>
  <c r="C5" i="7" s="1"/>
  <c r="C46" i="6"/>
  <c r="C45" i="6"/>
  <c r="C44" i="6"/>
  <c r="C43" i="6"/>
  <c r="C42" i="6"/>
  <c r="A21" i="6" a="1"/>
  <c r="A21" i="6" s="1"/>
  <c r="C6" i="6"/>
  <c r="C5" i="6"/>
  <c r="D62" i="5"/>
  <c r="D59" i="5"/>
  <c r="C6" i="5"/>
  <c r="C5" i="5"/>
  <c r="C64" i="4"/>
  <c r="D63" i="4"/>
  <c r="C63" i="4"/>
  <c r="C65" i="4" s="1"/>
  <c r="C6" i="4"/>
  <c r="C5" i="4"/>
  <c r="F210" i="3"/>
  <c r="E210" i="3"/>
  <c r="D210" i="3"/>
  <c r="C209" i="3"/>
  <c r="F158" i="3"/>
  <c r="E158" i="3"/>
  <c r="D158" i="3"/>
  <c r="C157" i="3"/>
  <c r="E213" i="3" s="1"/>
  <c r="F19" i="3"/>
  <c r="E19" i="3"/>
  <c r="D19" i="3"/>
  <c r="C18" i="3"/>
  <c r="B6" i="3"/>
  <c r="B5" i="3"/>
  <c r="E35" i="2"/>
  <c r="D36" i="2" s="1"/>
  <c r="D35" i="2"/>
  <c r="C6" i="2"/>
  <c r="C5" i="2"/>
  <c r="C47" i="6" l="1"/>
  <c r="F213" i="3"/>
  <c r="H15" i="10"/>
  <c r="H16" i="10"/>
  <c r="H17" i="10"/>
  <c r="H18" i="10"/>
  <c r="D213" i="3"/>
  <c r="D43" i="6" l="1"/>
  <c r="D42" i="6"/>
  <c r="D45" i="6"/>
  <c r="C212" i="3"/>
  <c r="G212" i="3" s="1"/>
  <c r="D44" i="6"/>
  <c r="D47" i="6" l="1"/>
</calcChain>
</file>

<file path=xl/sharedStrings.xml><?xml version="1.0" encoding="utf-8"?>
<sst xmlns="http://schemas.openxmlformats.org/spreadsheetml/2006/main" count="3264" uniqueCount="1517">
  <si>
    <t>GENERAL INSTRUCTIONS</t>
  </si>
  <si>
    <r>
      <rPr>
        <sz val="11"/>
        <color theme="1"/>
        <rFont val="Arial"/>
        <family val="2"/>
      </rPr>
      <t xml:space="preserve">This workbook contains twelve (12) worksheets to provide supplementary documentation to </t>
    </r>
    <r>
      <rPr>
        <b/>
        <i/>
        <sz val="11"/>
        <color theme="1"/>
        <rFont val="Arial"/>
        <family val="2"/>
      </rPr>
      <t>Annex 4.2.</t>
    </r>
    <r>
      <rPr>
        <sz val="11"/>
        <color theme="1"/>
        <rFont val="Arial"/>
        <family val="2"/>
      </rPr>
      <t xml:space="preserve"> of the Administrative Order No. 25, series of 2011 Inter-Agency Task Force (AO25-IATF) Memorandum Circular No. 2023-1. Performance-Based Bonus (PBB) Focal Persons of State Universities and Colleges (SUCs) are requested to accomplish the appropriate and applicable worksheets.
</t>
    </r>
    <r>
      <rPr>
        <b/>
        <sz val="11"/>
        <color theme="1"/>
        <rFont val="Arial"/>
        <family val="2"/>
      </rPr>
      <t>Please do not alter or edit the format of this template.</t>
    </r>
    <r>
      <rPr>
        <sz val="11"/>
        <color theme="1"/>
        <rFont val="Arial"/>
        <family val="2"/>
      </rPr>
      <t xml:space="preserve"> Kindly input all requested information in each worksheet. Indicate the complete name of the institution in </t>
    </r>
    <r>
      <rPr>
        <b/>
        <i/>
        <sz val="11"/>
        <color theme="1"/>
        <rFont val="Arial"/>
        <family val="2"/>
      </rPr>
      <t>Row 1</t>
    </r>
    <r>
      <rPr>
        <sz val="11"/>
        <color theme="1"/>
        <rFont val="Arial"/>
        <family val="2"/>
      </rPr>
      <t xml:space="preserve">, and provide the links to respective Google Drive Folders in </t>
    </r>
    <r>
      <rPr>
        <b/>
        <i/>
        <sz val="11"/>
        <color theme="1"/>
        <rFont val="Arial"/>
        <family val="2"/>
      </rPr>
      <t>Row 7</t>
    </r>
    <r>
      <rPr>
        <sz val="11"/>
        <color theme="1"/>
        <rFont val="Arial"/>
        <family val="2"/>
      </rPr>
      <t xml:space="preserve"> of each worksheet. At the end of each worksheet, indicate the requested details of signatories. Kindly upload and submit the completed Summary Sheets (signed PDF and editable Excel file format) in the Government Executive Information System (GEIS) </t>
    </r>
    <r>
      <rPr>
        <b/>
        <i/>
        <sz val="11"/>
        <color theme="1"/>
        <rFont val="Arial"/>
        <family val="2"/>
      </rPr>
      <t>on or before 29 February 2024</t>
    </r>
    <r>
      <rPr>
        <sz val="11"/>
        <color theme="1"/>
        <rFont val="Arial"/>
        <family val="2"/>
      </rPr>
      <t>.
The reference matrix below details the definition, formula, documentation, and means of verification for each Output and Outcome Indicator in the 2023 General Appropriations Act for SUCs.
Thank you for your kind and usual cooperation.</t>
    </r>
  </si>
  <si>
    <t>PROGRAM / INDICATOR</t>
  </si>
  <si>
    <t>INDICATOR</t>
  </si>
  <si>
    <t>DEFINITION</t>
  </si>
  <si>
    <t>FORMULA</t>
  </si>
  <si>
    <t>REFERENCES / GUIDES</t>
  </si>
  <si>
    <t>MEANS OF VERIFICATION</t>
  </si>
  <si>
    <t>HIGHER EDUCATION PROGRAM</t>
  </si>
  <si>
    <t>OUTCOME</t>
  </si>
  <si>
    <t>1. Percentage of first-time licensure exam takers that pass the licensure exams</t>
  </si>
  <si>
    <t>Ratio of the passers to the total number of takers (1st time) of all board/licensure exams in FY 2023</t>
  </si>
  <si>
    <r>
      <rPr>
        <b/>
        <sz val="11"/>
        <color rgb="FF000000"/>
        <rFont val="Arial"/>
        <family val="2"/>
      </rPr>
      <t xml:space="preserve">Numerator: </t>
    </r>
    <r>
      <rPr>
        <sz val="11"/>
        <color rgb="FF000000"/>
        <rFont val="Arial"/>
        <family val="2"/>
      </rPr>
      <t xml:space="preserve">Total number of passers (1st time) of all board/licensure exams in FY 2023
</t>
    </r>
    <r>
      <rPr>
        <b/>
        <sz val="11"/>
        <color rgb="FF000000"/>
        <rFont val="Arial"/>
        <family val="2"/>
      </rPr>
      <t xml:space="preserve">Denominator: </t>
    </r>
    <r>
      <rPr>
        <sz val="11"/>
        <color rgb="FF000000"/>
        <rFont val="Arial"/>
        <family val="2"/>
      </rPr>
      <t>Total number of 1st time takers of all board/licensure exams in FY 2023</t>
    </r>
  </si>
  <si>
    <t>Summary Sheets</t>
  </si>
  <si>
    <t>1. PRC/MARINA licensure examination results</t>
  </si>
  <si>
    <t>2. Percentage of graduates (2 years prior) that are employed</t>
  </si>
  <si>
    <t>Ratio of graduates in FY 2021 who are employed as of FY 2023 to the total number of graduates in FY 2021</t>
  </si>
  <si>
    <r>
      <rPr>
        <b/>
        <sz val="11"/>
        <color rgb="FF000000"/>
        <rFont val="Arial"/>
        <family val="2"/>
      </rPr>
      <t xml:space="preserve">Numerator: </t>
    </r>
    <r>
      <rPr>
        <sz val="11"/>
        <color rgb="FF000000"/>
        <rFont val="Arial"/>
        <family val="2"/>
      </rPr>
      <t xml:space="preserve">Total number of graduates employed as of FY 2023 out of the graduates in FY 2021 (based on adopted Academic calendar)
</t>
    </r>
    <r>
      <rPr>
        <b/>
        <sz val="11"/>
        <color rgb="FF000000"/>
        <rFont val="Arial"/>
        <family val="2"/>
      </rPr>
      <t xml:space="preserve">Denominator: </t>
    </r>
    <r>
      <rPr>
        <sz val="11"/>
        <color rgb="FF000000"/>
        <rFont val="Arial"/>
        <family val="2"/>
      </rPr>
      <t>Total number of graduates in FY 2021 in all undergraduate programs per campus (based on adopted academic calendar)</t>
    </r>
  </si>
  <si>
    <t>1. Graduate tracer study
2. Result of survey of employed from the graduates in the 1st semester of FY 2021-2022, certified by the Registrar
3. Total Enrolment in the 1st Semester of AY 2021-2022, certified by the Registrar</t>
  </si>
  <si>
    <t>OUTPUT</t>
  </si>
  <si>
    <t>1. Percentage of undergraduate students enrolled in CHED-identified and RDC-identified priority programs</t>
  </si>
  <si>
    <t>Ratio of undergraduate student enollment (1st Sem AY 2023-2024) in CHED identified and RDC-identified priority programs to all other programs</t>
  </si>
  <si>
    <r>
      <rPr>
        <b/>
        <sz val="11"/>
        <color rgb="FF000000"/>
        <rFont val="Arial"/>
        <family val="2"/>
      </rPr>
      <t xml:space="preserve">Numerator: </t>
    </r>
    <r>
      <rPr>
        <sz val="11"/>
        <color rgb="FF000000"/>
        <rFont val="Arial"/>
        <family val="2"/>
      </rPr>
      <t xml:space="preserve">Number of students enrolled in CHED- identified and RDC-identified priority programs (1st Sem AY 2023-2024)
</t>
    </r>
    <r>
      <rPr>
        <b/>
        <sz val="11"/>
        <color rgb="FF000000"/>
        <rFont val="Arial"/>
        <family val="2"/>
      </rPr>
      <t xml:space="preserve">Denominator: </t>
    </r>
    <r>
      <rPr>
        <sz val="11"/>
        <color rgb="FF000000"/>
        <rFont val="Arial"/>
        <family val="2"/>
      </rPr>
      <t>Total number of undergraduate enrollment (1st Sem AY 2023-2024)</t>
    </r>
  </si>
  <si>
    <r>
      <rPr>
        <b/>
        <i/>
        <sz val="11"/>
        <color rgb="FF000000"/>
        <rFont val="Arial"/>
        <family val="2"/>
      </rPr>
      <t>References in determining the disciplines/programs identified as priority offerings:</t>
    </r>
    <r>
      <rPr>
        <i/>
        <sz val="11"/>
        <color rgb="FF000000"/>
        <rFont val="Arial"/>
        <family val="2"/>
      </rPr>
      <t xml:space="preserve">
a. CMO No. 5, s. 2019
b. CMO No. 10, s. 2021
c. CMO No. 7, s. 2023
d. RDC Resolutions</t>
    </r>
  </si>
  <si>
    <t>1. Duly certified enrollment report for the 1st Semester of AY 2023-2024 per campus
2. Summary of Enrolment by identified priority undergraduate programs, and all other programs per campus
3. CHED-identified priority programs listed in CHED Memorandum Order (CMO) No. 5, s. 2019 and CMO No. 10, s. 2021
4. For programs considered priority outside those identified by CHED, submit certification, resolution from RDC or similar Government Councils, etc.</t>
  </si>
  <si>
    <t>2. Percentage of undergraduate programs with accreditation</t>
  </si>
  <si>
    <t>Ratio of undergraduate programs with valid accreditation (Level 1 - Level 4 as of December 31, 2023) to all accreditable programs</t>
  </si>
  <si>
    <r>
      <rPr>
        <b/>
        <sz val="11"/>
        <color rgb="FF000000"/>
        <rFont val="Arial"/>
        <family val="2"/>
      </rPr>
      <t xml:space="preserve">Numerator: </t>
    </r>
    <r>
      <rPr>
        <sz val="11"/>
        <color rgb="FF000000"/>
        <rFont val="Arial"/>
        <family val="2"/>
      </rPr>
      <t xml:space="preserve">Number of undergraduate programs with Level 1-Level 4 accreditation valid as of December 31, 2023
</t>
    </r>
    <r>
      <rPr>
        <b/>
        <sz val="11"/>
        <color rgb="FF000000"/>
        <rFont val="Arial"/>
        <family val="2"/>
      </rPr>
      <t xml:space="preserve">Denominator: </t>
    </r>
    <r>
      <rPr>
        <sz val="11"/>
        <color rgb="FF000000"/>
        <rFont val="Arial"/>
        <family val="2"/>
      </rPr>
      <t>Total number of accreditable undergraduate programs as of December 31, 2023</t>
    </r>
  </si>
  <si>
    <t>Accreditation includes those issued by local and international bodies recognized by CHED; CMO No. 1, s. 2005; AACCUP (Level 1 - Level 4)</t>
  </si>
  <si>
    <t>1. Accreditation Certificates
2. List of all undergraduate programs per campus with accreditation (include date of validity) or without accreditation (include reasons for non-accreditation), and indicate year of initial operation of each of the programs being offered</t>
  </si>
  <si>
    <t>ADVANCED EDUCATION PROGRAM</t>
  </si>
  <si>
    <t>1. Percentage of graduate school faculty engaged in research work applied in any of the following:
a) pursuing advanced research degree programs (doctorate degree) or
b) actively pursuing within the last three (3) years (investigative research, basic and applied scientific research, policy research, social science research) or
c) producing technologies for commercialization or livelihood improvement or
d) whose research work resulted in an extension program</t>
  </si>
  <si>
    <t>Ratio of graduate school faculty engaged in research work to the total number of graduate school faculty.</t>
  </si>
  <si>
    <r>
      <rPr>
        <b/>
        <sz val="11"/>
        <color theme="1"/>
        <rFont val="Arial"/>
        <family val="2"/>
      </rPr>
      <t xml:space="preserve">Numerator: </t>
    </r>
    <r>
      <rPr>
        <sz val="11"/>
        <color theme="1"/>
        <rFont val="Arial"/>
        <family val="2"/>
      </rPr>
      <t xml:space="preserve">Total number of graduate school faculty with plantilla positions engaged in research work (in any of the enumerated  engagements) as of December 31, 2023
</t>
    </r>
    <r>
      <rPr>
        <b/>
        <sz val="11"/>
        <color theme="1"/>
        <rFont val="Arial"/>
        <family val="2"/>
      </rPr>
      <t xml:space="preserve">Denominator: </t>
    </r>
    <r>
      <rPr>
        <sz val="11"/>
        <color theme="1"/>
        <rFont val="Arial"/>
        <family val="2"/>
      </rPr>
      <t>Total number of graduate school faculty with plantilla positions as of December 31, 2023</t>
    </r>
  </si>
  <si>
    <r>
      <rPr>
        <b/>
        <i/>
        <sz val="11"/>
        <color rgb="FF000000"/>
        <rFont val="Arial"/>
        <family val="2"/>
      </rPr>
      <t xml:space="preserve">Graduate school faculty:
</t>
    </r>
    <r>
      <rPr>
        <i/>
        <sz val="11"/>
        <color rgb="FF000000"/>
        <rFont val="Arial"/>
        <family val="2"/>
      </rPr>
      <t>1. List of graduate school faculty (full time or part time), with academic plantilla positions 
2. Personnel Services index of plantilla positions (PSIPOP), with the name of  graduate  faculty listed in the PSIPOP as proof that faculty memeber can be considered in this indicator</t>
    </r>
  </si>
  <si>
    <t>1. Research work assignment, designations of the graduate school faculty 
2. Any proof of involvement in (b) and/or (c)
3. Proof of registration/enrolment in an advance research degree for first year AY 2023-2024
4.List of graduate school faculty with plantilla engaged in research vs all graduate school faculty with plantilla position
5. Notarized MOA with partner community/ies and abstract or research work</t>
  </si>
  <si>
    <r>
      <rPr>
        <b/>
        <i/>
        <u/>
        <sz val="11"/>
        <color rgb="FF000000"/>
        <rFont val="Arial"/>
        <family val="2"/>
      </rPr>
      <t>For State Universities:</t>
    </r>
    <r>
      <rPr>
        <sz val="11"/>
        <color rgb="FF000000"/>
        <rFont val="Arial"/>
        <family val="2"/>
      </rPr>
      <t xml:space="preserve">
Percentage of graduate students enrolled in research degree programs</t>
    </r>
  </si>
  <si>
    <t>Ratio of graduate student enollment (1st Sem AY 2022-2023) in research degree programs to total graduate school enrolment (1st sem AY 2022-2023)
Research degree program refers to graduate programs with THESIS or DISSERTATION</t>
  </si>
  <si>
    <r>
      <rPr>
        <b/>
        <sz val="11"/>
        <color rgb="FF000000"/>
        <rFont val="Arial"/>
        <family val="2"/>
      </rPr>
      <t xml:space="preserve">Numerator: </t>
    </r>
    <r>
      <rPr>
        <sz val="11"/>
        <color rgb="FF000000"/>
        <rFont val="Arial"/>
        <family val="2"/>
      </rPr>
      <t xml:space="preserve">Number of graduate students enrolled in research degree programs (1st Sem of AY 2023-2024)
</t>
    </r>
    <r>
      <rPr>
        <b/>
        <sz val="11"/>
        <color rgb="FF000000"/>
        <rFont val="Arial"/>
        <family val="2"/>
      </rPr>
      <t xml:space="preserve">Denominator: </t>
    </r>
    <r>
      <rPr>
        <sz val="11"/>
        <color rgb="FF000000"/>
        <rFont val="Arial"/>
        <family val="2"/>
      </rPr>
      <t>Total number of graduate students enrollment in all graduate programs (1st Sem of AY 2023-2024)</t>
    </r>
  </si>
  <si>
    <t>CMO No. 15, s. 2019</t>
  </si>
  <si>
    <t>1. Duly certified enrollment report
2. Summary of Enrolment by research and non-research degree program
3. Curriculum/Course Syllabi</t>
  </si>
  <si>
    <r>
      <rPr>
        <b/>
        <i/>
        <u/>
        <sz val="11"/>
        <color rgb="FF000000"/>
        <rFont val="Arial"/>
        <family val="2"/>
      </rPr>
      <t>For State Colleges and Professional Institutes:</t>
    </r>
    <r>
      <rPr>
        <sz val="11"/>
        <color rgb="FF000000"/>
        <rFont val="Arial"/>
        <family val="2"/>
      </rPr>
      <t xml:space="preserve">
Percentage of graduate students enrolled in CHED-identified or RDC-identified priority programs</t>
    </r>
  </si>
  <si>
    <t>Ratio of graduate student enollment (1st Sem AY 2022-2023) in CHED identified and RDC-identified priority graduate programs to all other graduate programs</t>
  </si>
  <si>
    <r>
      <rPr>
        <b/>
        <sz val="11"/>
        <color rgb="FF000000"/>
        <rFont val="Arial"/>
        <family val="2"/>
      </rPr>
      <t>Numerator:</t>
    </r>
    <r>
      <rPr>
        <sz val="11"/>
        <color rgb="FF000000"/>
        <rFont val="Arial"/>
        <family val="2"/>
      </rPr>
      <t xml:space="preserve"> Graduate student enollment (1st Sem AY 2022-2023) in CHED identified and RDC-identified priority graduate programs
</t>
    </r>
    <r>
      <rPr>
        <b/>
        <sz val="11"/>
        <color rgb="FF000000"/>
        <rFont val="Arial"/>
        <family val="2"/>
      </rPr>
      <t xml:space="preserve">Denominator: </t>
    </r>
    <r>
      <rPr>
        <sz val="11"/>
        <color rgb="FF000000"/>
        <rFont val="Arial"/>
        <family val="2"/>
      </rPr>
      <t xml:space="preserve">Total graduate student enollment (1st Sem AY 2022-2023) </t>
    </r>
  </si>
  <si>
    <r>
      <rPr>
        <b/>
        <i/>
        <sz val="11"/>
        <color rgb="FF000000"/>
        <rFont val="Arial"/>
        <family val="2"/>
      </rPr>
      <t>References in determining the disciplines/programs identified as priority offerings:</t>
    </r>
    <r>
      <rPr>
        <i/>
        <sz val="11"/>
        <color rgb="FF000000"/>
        <rFont val="Arial"/>
        <family val="2"/>
      </rPr>
      <t xml:space="preserve">
a. CMO No. 5, s. 2019
b. CMO No. 10, s. 2021
c. CMO No. 7, s. 2023
d. RDC Resolutions</t>
    </r>
  </si>
  <si>
    <t>1. Duly certified enrollment report
2. Summary of Enrolment by identified priority graduate programs, and all other programs per campus
3. For programs considered priority outside those identified by the CHED, submit certification, resolution from RDC or similar Government Councils, etc.</t>
  </si>
  <si>
    <t>2. Percentage of accredited graduate programs</t>
  </si>
  <si>
    <t>Ratio of graduate programs with valid accreditation (Level 1 - Level 4 as of December 31, 2023) to all accreditable programs</t>
  </si>
  <si>
    <r>
      <rPr>
        <b/>
        <sz val="11"/>
        <color rgb="FF000000"/>
        <rFont val="Arial"/>
        <family val="2"/>
      </rPr>
      <t xml:space="preserve">Numerator: </t>
    </r>
    <r>
      <rPr>
        <sz val="11"/>
        <color rgb="FF000000"/>
        <rFont val="Arial"/>
        <family val="2"/>
      </rPr>
      <t xml:space="preserve">Number of graduate programs with Level 1-Level 4 accreditation valid as of December 31, 2023
</t>
    </r>
    <r>
      <rPr>
        <b/>
        <sz val="11"/>
        <color rgb="FF000000"/>
        <rFont val="Arial"/>
        <family val="2"/>
      </rPr>
      <t xml:space="preserve">Denominator: </t>
    </r>
    <r>
      <rPr>
        <sz val="11"/>
        <color rgb="FF000000"/>
        <rFont val="Arial"/>
        <family val="2"/>
      </rPr>
      <t>Total number of accreditable graduate programs as of December 31, 2023</t>
    </r>
  </si>
  <si>
    <t>Accreditation includes those issued by local and international bodies recognized by CHED; AACCUP (Level 1 - Level 4)</t>
  </si>
  <si>
    <t>1. Accreditation Certificates
2. List of all graduate programs per campus with or without accreditation (include reasons for non-accreditation), indicate year of initial operation</t>
  </si>
  <si>
    <t>RESEARCH PROGRAM</t>
  </si>
  <si>
    <t>Number of research outputs in the last three years (FY 2021-2023) utilized by the industry or by other beneficiaries</t>
  </si>
  <si>
    <t>Number of research outputs from FY 2021-2023 utliized by industry or by other beneficiaries</t>
  </si>
  <si>
    <t>Number of research outputs from FY 2021-2023 utilized by industry or by other beneficiaries in FY 2023</t>
  </si>
  <si>
    <t>Utilized by industry or other beneficiaries refers to the adopters/partners/communities, external to the institution</t>
  </si>
  <si>
    <t>1. Proof that the research output was utilized by identified stakeholders/beneficiaries
2. MOAs/MOUs
3. Reports with testimonies
4. Certification from industries/beneficiaries on the utilization of research outputs</t>
  </si>
  <si>
    <t>1. Number of research outputs completed within the year</t>
  </si>
  <si>
    <t>Refers to the total number of completed researches in FY 2023</t>
  </si>
  <si>
    <t>Number of completed researches in FY 2023</t>
  </si>
  <si>
    <r>
      <rPr>
        <b/>
        <i/>
        <sz val="11"/>
        <color rgb="FF000000"/>
        <rFont val="Arial"/>
        <family val="2"/>
      </rPr>
      <t>Research outputs may comprise any or all of the following:</t>
    </r>
    <r>
      <rPr>
        <sz val="11"/>
        <color rgb="FF000000"/>
        <rFont val="Arial"/>
        <family val="2"/>
      </rPr>
      <t xml:space="preserve">
</t>
    </r>
    <r>
      <rPr>
        <i/>
        <sz val="11"/>
        <color rgb="FF000000"/>
        <rFont val="Arial"/>
        <family val="2"/>
      </rPr>
      <t>1. Completed research-based papers; 
2. Research-based papers or articles published in journals or international refereed publications that are not in the Beall's List of Predatory Journals;
3. Research-based papers or articles presented in international, national, or regional fora or conferences;
4. Inventions or innovations, methods, composition, or processes as a result of research
5. Models/inventions duly patented and applied for commercial purposes or utilized/adopted for development/production/service provision</t>
    </r>
  </si>
  <si>
    <t>1. Abstracts of research outputs
2. Certificate of completion signed by the Research Director/Vice President for Research</t>
  </si>
  <si>
    <r>
      <rPr>
        <b/>
        <i/>
        <u/>
        <sz val="11"/>
        <color rgb="FF000000"/>
        <rFont val="Arial"/>
        <family val="2"/>
      </rPr>
      <t>For State Universities:</t>
    </r>
    <r>
      <rPr>
        <sz val="11"/>
        <color rgb="FF000000"/>
        <rFont val="Arial"/>
        <family val="2"/>
      </rPr>
      <t xml:space="preserve">
Percentage of researches published within the year (FY 2023) in internationally-refereed journal</t>
    </r>
  </si>
  <si>
    <t>Refers to the ratio of research outputs published in FY 2023 to the total number of completed research outputs from FY 2021 to FY 2023 (to exclude completed research outputs published in 2021 and 2022)</t>
  </si>
  <si>
    <r>
      <rPr>
        <b/>
        <sz val="11"/>
        <color rgb="FF000000"/>
        <rFont val="Arial"/>
        <family val="2"/>
      </rPr>
      <t xml:space="preserve">Numerator: </t>
    </r>
    <r>
      <rPr>
        <sz val="11"/>
        <color rgb="FF000000"/>
        <rFont val="Arial"/>
        <family val="2"/>
      </rPr>
      <t xml:space="preserve">Number of research outputs published within FY 2023 in internationally-refereed journal
</t>
    </r>
    <r>
      <rPr>
        <b/>
        <sz val="11"/>
        <color rgb="FF000000"/>
        <rFont val="Arial"/>
        <family val="2"/>
      </rPr>
      <t xml:space="preserve">Denominator: </t>
    </r>
    <r>
      <rPr>
        <sz val="11"/>
        <color rgb="FF000000"/>
        <rFont val="Arial"/>
        <family val="2"/>
      </rPr>
      <t>Total number of completed research outputs from FY 2021 to FY 2023 (to exclude completed research outputs published in the prior years, 2021 and 2022)</t>
    </r>
  </si>
  <si>
    <t>Beall's List of Predatory Journals
Documentation on the details of journals to qualify in internationally refereed journals</t>
  </si>
  <si>
    <t>1. Photocopy of the journal's title page, and 1st page of the article published</t>
  </si>
  <si>
    <r>
      <rPr>
        <b/>
        <i/>
        <u/>
        <sz val="11"/>
        <color rgb="FF000000"/>
        <rFont val="Arial"/>
        <family val="2"/>
      </rPr>
      <t>For State Colleges and Professional Institutes:</t>
    </r>
    <r>
      <rPr>
        <sz val="11"/>
        <color rgb="FF000000"/>
        <rFont val="Arial"/>
        <family val="2"/>
      </rPr>
      <t xml:space="preserve">
Percentage of researches presented within the year (FY 2023) in national, regional, and international fora</t>
    </r>
  </si>
  <si>
    <t>Refers to the ratio of research outputs presented in FY 2023 to the total number of completed research outputs from FY 2021 to 2023 (to exclude research outputs already presented in 2021 and 2022)</t>
  </si>
  <si>
    <r>
      <rPr>
        <b/>
        <sz val="11"/>
        <color rgb="FF000000"/>
        <rFont val="Arial"/>
        <family val="2"/>
      </rPr>
      <t xml:space="preserve">Numerator: </t>
    </r>
    <r>
      <rPr>
        <sz val="11"/>
        <color rgb="FF000000"/>
        <rFont val="Arial"/>
        <family val="2"/>
      </rPr>
      <t xml:space="preserve">Number of research outputs presented within FY 2023 in national, regional and international fora
</t>
    </r>
    <r>
      <rPr>
        <b/>
        <sz val="11"/>
        <color rgb="FF000000"/>
        <rFont val="Arial"/>
        <family val="2"/>
      </rPr>
      <t xml:space="preserve">Denominator: </t>
    </r>
    <r>
      <rPr>
        <sz val="11"/>
        <color rgb="FF000000"/>
        <rFont val="Arial"/>
        <family val="2"/>
      </rPr>
      <t xml:space="preserve">Total number of completed research outputs from FY 2021-2023 (to exclude research outputs already presented prior to 2023) </t>
    </r>
  </si>
  <si>
    <t>In-house review presentations are not included nor considered as presentations in qualified fora.</t>
  </si>
  <si>
    <t>1. Conference proceeding indicating research article presented
2. Program of activities and attendance to the conference
3. Certificate of participation / recognition for presenting the research output</t>
  </si>
  <si>
    <t>TECHNICAL ADVISORY EXTENSION PROGRAM</t>
  </si>
  <si>
    <t>1. Number of active partnerships with LGUs, industries, NGOs, NGAs, SMEs, and other stakeholders as a result of extension activities.</t>
  </si>
  <si>
    <t>Number partnerships established by the insitution with the industires, NGOs, NGAs, SMEs and other stakeholder group active as of December 31, 2023</t>
  </si>
  <si>
    <t>Number of partnerships established as a result of extension activities</t>
  </si>
  <si>
    <t>1. Proof of active partnerships
2. MOAs/MOUs
3. Reports with testimonies
4. Certifications</t>
  </si>
  <si>
    <t>1. Number of trainees weighted by the length of training</t>
  </si>
  <si>
    <t>Refers to the insitution's total number of participants trained in relation to the corresponding length or duration of training</t>
  </si>
  <si>
    <t>Target number of trainees weighted by the length of training for FY 2023</t>
  </si>
  <si>
    <r>
      <rPr>
        <b/>
        <i/>
        <sz val="11"/>
        <color rgb="FF000000"/>
        <rFont val="Arial"/>
        <family val="2"/>
      </rPr>
      <t>Training hours are weighted as follows:</t>
    </r>
    <r>
      <rPr>
        <i/>
        <sz val="11"/>
        <color rgb="FF000000"/>
        <rFont val="Arial"/>
        <family val="2"/>
      </rPr>
      <t xml:space="preserve">
&lt; 8 hrs                                             = 0.5
1 day (8 hours)                                = 1
2 days (16 hours)                            = 1.25
3-4 days (24-32 hours)                    = 1.5
5 days or more (40 hours or more)  = 2</t>
    </r>
  </si>
  <si>
    <t>1. Extension activity reports to include the attendance sheets, specifying the nature and duration of the training
2. Program of the Training Activity</t>
  </si>
  <si>
    <t>2. Number of extension programs organized and supported consistent with the SUC's mandated and priority programs</t>
  </si>
  <si>
    <t>Refers to the number of extension programs organized by the SUC</t>
  </si>
  <si>
    <t>Target number of Extension Programs organized in FY 2023</t>
  </si>
  <si>
    <t>Unit of analysis: Extension Programs         
Extension Program: (Reference: CMO 8 s.2010)
Extension refers to the act of communicating and transferring knowledge and technology to specific sectors and target clienteles (as distinguished from those enrolled in formal degree programs and course offerings) to enable them to effectively improve production,community and/or institutions, and quality of life at the same time enhance the HEIs academic and research programs
Integrated Extension Program SHALL include the following components:
1. Training programs
2. Technical assistance and advisory services
3. Communication/information services
4. Community outreach activities
5. Technology transfer and utilization</t>
  </si>
  <si>
    <t>1. List of extension programs approved per mandated and priority programs
2. Program Description</t>
  </si>
  <si>
    <t>3. Percentage of beneficiaries who rate the training course/s as satisfactory or higher in terms of quality and relevance</t>
  </si>
  <si>
    <t>Ratio of beneficiaries who rated the training course as satisfactory or higher than the total of number of beneficiaries</t>
  </si>
  <si>
    <r>
      <rPr>
        <b/>
        <sz val="11"/>
        <color rgb="FF000000"/>
        <rFont val="Arial"/>
        <family val="2"/>
      </rPr>
      <t xml:space="preserve">Numerator: </t>
    </r>
    <r>
      <rPr>
        <sz val="11"/>
        <color rgb="FF000000"/>
        <rFont val="Arial"/>
        <family val="2"/>
      </rPr>
      <t xml:space="preserve">Number of beneficiaries who rated the training course(s) as </t>
    </r>
    <r>
      <rPr>
        <b/>
        <i/>
        <sz val="11"/>
        <color rgb="FF000000"/>
        <rFont val="Arial"/>
        <family val="2"/>
      </rPr>
      <t>satisfactory or higher</t>
    </r>
    <r>
      <rPr>
        <sz val="11"/>
        <color rgb="FF000000"/>
        <rFont val="Arial"/>
        <family val="2"/>
      </rPr>
      <t xml:space="preserve">
</t>
    </r>
    <r>
      <rPr>
        <b/>
        <sz val="11"/>
        <color rgb="FF000000"/>
        <rFont val="Arial"/>
        <family val="2"/>
      </rPr>
      <t xml:space="preserve">Denominator: </t>
    </r>
    <r>
      <rPr>
        <sz val="11"/>
        <color rgb="FF000000"/>
        <rFont val="Arial"/>
        <family val="2"/>
      </rPr>
      <t>Total number of beneficiaries</t>
    </r>
  </si>
  <si>
    <t>Rating Scale:
1 (P) = Poor
2 (F) = Fair
3 (S) = Satisfactory
4 (VS) = Very Satisfactory
5 (E) = Excellent</t>
  </si>
  <si>
    <t>1. Survey questionnaire and samples of duly accomplished forms
2. Training program including attendance sheets
3. Summary of evaluation by beneficiaries</t>
  </si>
  <si>
    <t>CUSTODIAL CARE PROGRAM</t>
  </si>
  <si>
    <t>1. Percentage of CCP resident-graduates employed within a year after graduation</t>
  </si>
  <si>
    <t>Ratio of graduates gainfully employed as of FY 2023 to the total number of CCP residents who graduated in AY 2022-2023</t>
  </si>
  <si>
    <r>
      <rPr>
        <b/>
        <sz val="11"/>
        <color rgb="FF000000"/>
        <rFont val="Arial"/>
        <family val="2"/>
      </rPr>
      <t xml:space="preserve">Numerator: </t>
    </r>
    <r>
      <rPr>
        <sz val="11"/>
        <color rgb="FF000000"/>
        <rFont val="Arial"/>
        <family val="2"/>
      </rPr>
      <t xml:space="preserve">Total number of CCP resident-graduates employed as of FY 2023
</t>
    </r>
    <r>
      <rPr>
        <b/>
        <sz val="11"/>
        <color rgb="FF000000"/>
        <rFont val="Arial"/>
        <family val="2"/>
      </rPr>
      <t xml:space="preserve">Denominator: </t>
    </r>
    <r>
      <rPr>
        <sz val="11"/>
        <color rgb="FF000000"/>
        <rFont val="Arial"/>
        <family val="2"/>
      </rPr>
      <t>Total number of CCP resident-graduates in AY 2022-2023 for all programs</t>
    </r>
  </si>
  <si>
    <t>1. Graduate tracer study
2. List/summary of CCP graduates of AY 2022-2023</t>
  </si>
  <si>
    <t>1. Percentage of poor/disadvantaged students (CCP residents) served for non- academic needs</t>
  </si>
  <si>
    <t>Ratio of CCP students served for non-academic needs to the total number of students</t>
  </si>
  <si>
    <r>
      <rPr>
        <b/>
        <sz val="11"/>
        <color rgb="FF000000"/>
        <rFont val="Arial"/>
        <family val="2"/>
      </rPr>
      <t xml:space="preserve">Numerator: </t>
    </r>
    <r>
      <rPr>
        <sz val="11"/>
        <color rgb="FF000000"/>
        <rFont val="Arial"/>
        <family val="2"/>
      </rPr>
      <t xml:space="preserve">Total number CCP students served for non-academic needs for FY 2023
</t>
    </r>
    <r>
      <rPr>
        <b/>
        <sz val="11"/>
        <color rgb="FF000000"/>
        <rFont val="Arial"/>
        <family val="2"/>
      </rPr>
      <t xml:space="preserve">Denominator: </t>
    </r>
    <r>
      <rPr>
        <sz val="11"/>
        <color rgb="FF000000"/>
        <rFont val="Arial"/>
        <family val="2"/>
      </rPr>
      <t>Total number of undergraduate students' enrollment for FY 2023</t>
    </r>
  </si>
  <si>
    <t>1. List of CCP residents approved by management/board
2. Enrolment Report of CCP residents (1st Sem AY 2023-2024)
3. List/Summary of undergraduate enrollment (1st Sem AY 2023-2024)</t>
  </si>
  <si>
    <t>2. Percentage of students (CCP residents) who graduated within the prescribed period</t>
  </si>
  <si>
    <t>Ratio of CCP students who finished their respective baccalaureate programs within the prescribed timeframe (graduates of 2nd Semester of AY 2022-2023) to the total number of CCP students who are enrolled since AY 2019-2020</t>
  </si>
  <si>
    <r>
      <rPr>
        <b/>
        <sz val="11"/>
        <color rgb="FF000000"/>
        <rFont val="Arial"/>
        <family val="2"/>
      </rPr>
      <t xml:space="preserve">Numerator: </t>
    </r>
    <r>
      <rPr>
        <sz val="11"/>
        <color rgb="FF000000"/>
        <rFont val="Arial"/>
        <family val="2"/>
      </rPr>
      <t xml:space="preserve">Total number of CCP students who graduated in 2nd Semester of AY 2020-2021
</t>
    </r>
    <r>
      <rPr>
        <b/>
        <sz val="11"/>
        <color rgb="FF000000"/>
        <rFont val="Arial"/>
        <family val="2"/>
      </rPr>
      <t xml:space="preserve">Denominator: </t>
    </r>
    <r>
      <rPr>
        <sz val="11"/>
        <color rgb="FF000000"/>
        <rFont val="Arial"/>
        <family val="2"/>
      </rPr>
      <t>Total number CCP students' First Year enrolment in the 1st Semester AY 2019-2020</t>
    </r>
  </si>
  <si>
    <t>1. List of CCP residents enrolled in 1st year AY 2019-2020
2. List of CCP residents who graduated 2nd Sem of AY 2022-2023</t>
  </si>
  <si>
    <t>NAME OF INSTITUTION:</t>
  </si>
  <si>
    <t>(MARINDUQUE STATE COLLEGE)</t>
  </si>
  <si>
    <t>PROGRAM:</t>
  </si>
  <si>
    <t>INDICATOR/S:</t>
  </si>
  <si>
    <r>
      <rPr>
        <b/>
        <sz val="10"/>
        <color rgb="FF000000"/>
        <rFont val="Tahoma"/>
        <family val="2"/>
      </rPr>
      <t xml:space="preserve">Outcome Indicator 1: </t>
    </r>
    <r>
      <rPr>
        <sz val="10"/>
        <color rgb="FF000000"/>
        <rFont val="Tahoma"/>
        <family val="2"/>
      </rPr>
      <t>Percentage of first-time licensure exam takers that pass the licensure exams</t>
    </r>
  </si>
  <si>
    <t>INSTRUCTIONS:</t>
  </si>
  <si>
    <r>
      <rPr>
        <sz val="10"/>
        <color rgb="FF000000"/>
        <rFont val="Tahoma"/>
        <family val="2"/>
      </rPr>
      <t xml:space="preserve">Kindly fill out </t>
    </r>
    <r>
      <rPr>
        <b/>
        <sz val="10"/>
        <color rgb="FF000000"/>
        <rFont val="Tahoma"/>
        <family val="2"/>
      </rPr>
      <t xml:space="preserve">Column 1 </t>
    </r>
    <r>
      <rPr>
        <sz val="10"/>
        <color rgb="FF000000"/>
        <rFont val="Tahoma"/>
        <family val="2"/>
      </rPr>
      <t xml:space="preserve">by listing all undergraduate programs with licensure examination. Please do not abbreviate or shorten program names. 
In </t>
    </r>
    <r>
      <rPr>
        <b/>
        <sz val="10"/>
        <color rgb="FF000000"/>
        <rFont val="Tahoma"/>
        <family val="2"/>
      </rPr>
      <t>Column 2</t>
    </r>
    <r>
      <rPr>
        <sz val="10"/>
        <color rgb="FF000000"/>
        <rFont val="Tahoma"/>
        <family val="2"/>
      </rPr>
      <t xml:space="preserve">, list all examination dates for the corresponding programs and input in </t>
    </r>
    <r>
      <rPr>
        <b/>
        <sz val="10"/>
        <color rgb="FF000000"/>
        <rFont val="Tahoma"/>
        <family val="2"/>
      </rPr>
      <t>Column 3</t>
    </r>
    <r>
      <rPr>
        <sz val="10"/>
        <color rgb="FF000000"/>
        <rFont val="Tahoma"/>
        <family val="2"/>
      </rPr>
      <t xml:space="preserve"> and </t>
    </r>
    <r>
      <rPr>
        <b/>
        <sz val="10"/>
        <color rgb="FF000000"/>
        <rFont val="Tahoma"/>
        <family val="2"/>
      </rPr>
      <t>Column 4</t>
    </r>
    <r>
      <rPr>
        <sz val="10"/>
        <color rgb="FF000000"/>
        <rFont val="Tahoma"/>
        <family val="2"/>
      </rPr>
      <t xml:space="preserve"> the number of first time takers and first time passers respectively. 
In </t>
    </r>
    <r>
      <rPr>
        <b/>
        <sz val="10"/>
        <color rgb="FF000000"/>
        <rFont val="Tahoma"/>
        <family val="2"/>
      </rPr>
      <t>Column 5</t>
    </r>
    <r>
      <rPr>
        <sz val="10"/>
        <color rgb="FF000000"/>
        <rFont val="Tahoma"/>
        <family val="2"/>
      </rPr>
      <t xml:space="preserve">, provide the supporting documentation used in reference to the information in the previous columns. You may also provide links to the scanned copies for easier reference.
Computations in the summary bar below is automated. To create additional rows, kindly insert new rows </t>
    </r>
    <r>
      <rPr>
        <b/>
        <sz val="10"/>
        <color rgb="FF000000"/>
        <rFont val="Tahoma"/>
        <family val="2"/>
      </rPr>
      <t>after Row 31</t>
    </r>
    <r>
      <rPr>
        <sz val="10"/>
        <color rgb="FF000000"/>
        <rFont val="Tahoma"/>
        <family val="2"/>
      </rPr>
      <t>.</t>
    </r>
  </si>
  <si>
    <t>REFERENCES:</t>
  </si>
  <si>
    <t>MEANS OF VERIFICATION:</t>
  </si>
  <si>
    <t>LINK TO GOOGLE DRIVE FOLDER:</t>
  </si>
  <si>
    <t>(https://drive.google.com/drive/folders/1Zezs1rJYwXox2umra5r2TT9W34aBuL09?usp=drive_link)</t>
  </si>
  <si>
    <t>SAMPLE</t>
  </si>
  <si>
    <t>Undergraduate Program Offered</t>
  </si>
  <si>
    <r>
      <rPr>
        <b/>
        <sz val="10"/>
        <color rgb="FFFF0000"/>
        <rFont val="Tahoma"/>
        <family val="2"/>
      </rPr>
      <t xml:space="preserve">Exam Date
</t>
    </r>
    <r>
      <rPr>
        <i/>
        <sz val="10"/>
        <color rgb="FFFF0000"/>
        <rFont val="Tahoma"/>
        <family val="2"/>
      </rPr>
      <t>(MMM-YYYY)</t>
    </r>
  </si>
  <si>
    <t>Number of 1st Time Takers</t>
  </si>
  <si>
    <t>Number of 1st Time Passers</t>
  </si>
  <si>
    <t>Supporting Documentation</t>
  </si>
  <si>
    <t>Main Campus, Quezon City, Manila</t>
  </si>
  <si>
    <t>Bachelor in Secondary Education Major in English</t>
  </si>
  <si>
    <t>1. PRC Official Results</t>
  </si>
  <si>
    <t>Bachelor in Secondary Education Major in Mathematics</t>
  </si>
  <si>
    <t>Bachelor in Secondary Education Major in Science</t>
  </si>
  <si>
    <t>Bachelor of Science in Accountancy</t>
  </si>
  <si>
    <t>Bachelor of Science in Civil Engineering</t>
  </si>
  <si>
    <r>
      <rPr>
        <b/>
        <sz val="10"/>
        <color rgb="FF000000"/>
        <rFont val="Tahoma"/>
        <family val="2"/>
      </rPr>
      <t xml:space="preserve">Exam Date
</t>
    </r>
    <r>
      <rPr>
        <i/>
        <sz val="10"/>
        <color rgb="FF000000"/>
        <rFont val="Tahoma"/>
        <family val="2"/>
      </rPr>
      <t>(MMM-YYYY)</t>
    </r>
  </si>
  <si>
    <t>Main Campus ( BOAC CAMPUS-Tanza, Boac, Marinduque)</t>
  </si>
  <si>
    <t>Bachelor of Science in Nursing</t>
  </si>
  <si>
    <t>May &amp; November 2023</t>
  </si>
  <si>
    <t>Bachelor of Science in  Social Work</t>
  </si>
  <si>
    <t>September 2023</t>
  </si>
  <si>
    <t>Bacelor of Science in Electrical Engineering</t>
  </si>
  <si>
    <t>April &amp; September 2023</t>
  </si>
  <si>
    <t>Bachelor of Science in Electronics Engineering</t>
  </si>
  <si>
    <t>April &amp; October 2023</t>
  </si>
  <si>
    <t>April &amp; November 2023</t>
  </si>
  <si>
    <t>Bachelor of Science in Mechanical Engineering</t>
  </si>
  <si>
    <t>February &amp; August 2023</t>
  </si>
  <si>
    <t>Bachelor of Secondary Education</t>
  </si>
  <si>
    <t>March &amp; September 2023</t>
  </si>
  <si>
    <t>Bachelor of Elementary Education</t>
  </si>
  <si>
    <t>Campus 2 (GASAN CAMPUS-Banuyo, Gasan, Marinduque)</t>
  </si>
  <si>
    <t>Bachelor of Science in Fisheries</t>
  </si>
  <si>
    <t>October 2023</t>
  </si>
  <si>
    <t>Campus 4 (TORRIJOS CAMPUS-Poctoy, Torrijos, Marinduque)</t>
  </si>
  <si>
    <t>Bachelor of Science in Agriculture</t>
  </si>
  <si>
    <t>November 2023</t>
  </si>
  <si>
    <t>Total</t>
  </si>
  <si>
    <t>PERCENTAGE</t>
  </si>
  <si>
    <t>Prepared by:</t>
  </si>
  <si>
    <t>JANINE JOIE M. ROCHA</t>
  </si>
  <si>
    <t>AAII, Office of the President for Academic Affairs</t>
  </si>
  <si>
    <t>Date</t>
  </si>
  <si>
    <t xml:space="preserve">Approved: </t>
  </si>
  <si>
    <t>Prof. DIOSDADO P. ZULUETA, DPA</t>
  </si>
  <si>
    <t>SUC President III</t>
  </si>
  <si>
    <t>((MARINDUQUE STATE COLLEGE))</t>
  </si>
  <si>
    <r>
      <rPr>
        <b/>
        <sz val="10"/>
        <color rgb="FF000000"/>
        <rFont val="Tahoma"/>
        <family val="2"/>
      </rPr>
      <t>Outcome Indicator 2:</t>
    </r>
    <r>
      <rPr>
        <sz val="10"/>
        <color rgb="FF000000"/>
        <rFont val="Tahoma"/>
        <family val="2"/>
      </rPr>
      <t xml:space="preserve"> Percentage of graduates (2 years prior) that are employed</t>
    </r>
  </si>
  <si>
    <r>
      <rPr>
        <sz val="10"/>
        <color theme="1"/>
        <rFont val="Tahoma"/>
        <family val="2"/>
      </rPr>
      <t xml:space="preserve">In </t>
    </r>
    <r>
      <rPr>
        <b/>
        <sz val="10"/>
        <color theme="1"/>
        <rFont val="Tahoma"/>
        <family val="2"/>
      </rPr>
      <t>Column 1</t>
    </r>
    <r>
      <rPr>
        <sz val="10"/>
        <color theme="1"/>
        <rFont val="Tahoma"/>
        <family val="2"/>
      </rPr>
      <t xml:space="preserve">, in the campus header, input the name and address of each campus. List down the degree program for each graduate.
In </t>
    </r>
    <r>
      <rPr>
        <b/>
        <sz val="10"/>
        <color theme="1"/>
        <rFont val="Tahoma"/>
        <family val="2"/>
      </rPr>
      <t xml:space="preserve">Column 2 </t>
    </r>
    <r>
      <rPr>
        <sz val="10"/>
        <color theme="1"/>
        <rFont val="Tahoma"/>
        <family val="2"/>
      </rPr>
      <t xml:space="preserve">and </t>
    </r>
    <r>
      <rPr>
        <b/>
        <sz val="10"/>
        <color theme="1"/>
        <rFont val="Tahoma"/>
        <family val="2"/>
      </rPr>
      <t>Column 3</t>
    </r>
    <r>
      <rPr>
        <sz val="10"/>
        <color theme="1"/>
        <rFont val="Tahoma"/>
        <family val="2"/>
      </rPr>
      <t xml:space="preserve">, list down all the 1st semester FY 2021-2022 graduates per degree program and then provide the status for each graduate.
In </t>
    </r>
    <r>
      <rPr>
        <b/>
        <sz val="10"/>
        <color theme="1"/>
        <rFont val="Tahoma"/>
        <family val="2"/>
      </rPr>
      <t>Column 4</t>
    </r>
    <r>
      <rPr>
        <sz val="10"/>
        <color theme="1"/>
        <rFont val="Tahoma"/>
        <family val="2"/>
      </rPr>
      <t>, input the employment, business, or company of the graduate. For this purpose, Employment refers to any mode or form of employment regardless of status, including self-employment.</t>
    </r>
  </si>
  <si>
    <t>Program Name</t>
  </si>
  <si>
    <t>Name of Graduate</t>
  </si>
  <si>
    <r>
      <rPr>
        <b/>
        <sz val="10"/>
        <color rgb="FFFF0000"/>
        <rFont val="Tahoma,Arial"/>
      </rPr>
      <t xml:space="preserve">Graduate Tracer Status
</t>
    </r>
    <r>
      <rPr>
        <i/>
        <sz val="10"/>
        <color rgb="FFFF0000"/>
        <rFont val="Tahoma,Arial"/>
      </rPr>
      <t>(Employed, Unemployed, Not Tracked)</t>
    </r>
  </si>
  <si>
    <t>Name of Employment / Business / Company</t>
  </si>
  <si>
    <t>1. Graduate Tracer Study
2. Official list of FY 2021 Graduates</t>
  </si>
  <si>
    <t>Surname, First Name, MI.</t>
  </si>
  <si>
    <t>Employed</t>
  </si>
  <si>
    <t>Self-employed</t>
  </si>
  <si>
    <t>Unemployed</t>
  </si>
  <si>
    <t>Not Tracked</t>
  </si>
  <si>
    <t>ABC Corporation</t>
  </si>
  <si>
    <t>DEF &amp; Company</t>
  </si>
  <si>
    <t>TOTAL NUMBER OF STUDENTS 
Main Campus, Quezon City, Manila</t>
  </si>
  <si>
    <t>E</t>
  </si>
  <si>
    <t>UE</t>
  </si>
  <si>
    <t>NT</t>
  </si>
  <si>
    <r>
      <rPr>
        <b/>
        <sz val="10"/>
        <color rgb="FF000000"/>
        <rFont val="Tahoma"/>
        <family val="2"/>
      </rPr>
      <t xml:space="preserve">Graduate Tracer Status
</t>
    </r>
    <r>
      <rPr>
        <i/>
        <sz val="10"/>
        <color rgb="FF000000"/>
        <rFont val="Tahoma"/>
        <family val="2"/>
      </rPr>
      <t>(Employed, Unemployed, Not Tracked)</t>
    </r>
  </si>
  <si>
    <t>LAZARTE, Eduardson C.</t>
  </si>
  <si>
    <t>Sunwest Inc.</t>
  </si>
  <si>
    <t>LIAO, Cyrill James S.</t>
  </si>
  <si>
    <t>MADLA, Arvin Laurence</t>
  </si>
  <si>
    <t>Cogee International Devt. Inc, Parañaque</t>
  </si>
  <si>
    <t>MALING, John Robert S.</t>
  </si>
  <si>
    <t>Rwsi/ Roof and Wall Saver Inc. (Paranaque)</t>
  </si>
  <si>
    <t>MARANDA, John Kalvin M.</t>
  </si>
  <si>
    <t>OSINSAO, Mary Ann D.</t>
  </si>
  <si>
    <t>SADIWA, Jeric P.</t>
  </si>
  <si>
    <t>SERDEÑA, Marielle L.</t>
  </si>
  <si>
    <t>Three Year Assocciate in Civil Engineering</t>
  </si>
  <si>
    <t>SAGUID, Rex T.</t>
  </si>
  <si>
    <t>Two Year Computer Technician</t>
  </si>
  <si>
    <t>SAGUID, Errelyn F.</t>
  </si>
  <si>
    <t>Iqor / Dasmariñas Cavite</t>
  </si>
  <si>
    <t>MUHI, Justine Jay R.</t>
  </si>
  <si>
    <t>SARINO, Charles Henry M.</t>
  </si>
  <si>
    <t>BSED - Biological Sciences</t>
  </si>
  <si>
    <t>ALEMAN, Mark Allen B.</t>
  </si>
  <si>
    <t>EnfraUSA , Ortigas</t>
  </si>
  <si>
    <t>SOLIS, John Emerson O.</t>
  </si>
  <si>
    <t>BSED - Mathematics</t>
  </si>
  <si>
    <t>PIZARRA, Ervinjon L.</t>
  </si>
  <si>
    <t>St. Mary's College of Marinduque/ Isok Boac Marinduque</t>
  </si>
  <si>
    <t>REVILLA, Mark Neil A.</t>
  </si>
  <si>
    <t>BSED - Music Education</t>
  </si>
  <si>
    <t>LABOG, Ricabelle M.</t>
  </si>
  <si>
    <t xml:space="preserve">Department of Social Welfare and Development </t>
  </si>
  <si>
    <t>LABOG, Rina C.</t>
  </si>
  <si>
    <t>Marinduque Provincial Hospital/Santol, Boac, Marinduque</t>
  </si>
  <si>
    <t>LANCION, Anna Karenina SJ.</t>
  </si>
  <si>
    <t xml:space="preserve">Mary Help of Christians College - Salesian Sisters Inc.  </t>
  </si>
  <si>
    <t>MAMING, Erlainy R.</t>
  </si>
  <si>
    <t>MEDINA, JR., Joey M.</t>
  </si>
  <si>
    <t>QUITORIANO, Philip J.</t>
  </si>
  <si>
    <t>Marinduque State College</t>
  </si>
  <si>
    <t>BSED - Major in MAPEH</t>
  </si>
  <si>
    <t>DE CASTRO, Angelica R.</t>
  </si>
  <si>
    <t>DepEd</t>
  </si>
  <si>
    <t>JOGNO, Ella May J.</t>
  </si>
  <si>
    <t>Sisters of Mary Of Bannuex, Inc. / Biga II, Silang, Cavite</t>
  </si>
  <si>
    <t>ODIAS, Erika G.</t>
  </si>
  <si>
    <t>PERALTA, Gerald Z.</t>
  </si>
  <si>
    <t>Foundever - OJV Pasig City</t>
  </si>
  <si>
    <t>QUIJANO, Essa R.</t>
  </si>
  <si>
    <t>SANCHEZ, Arjay L.</t>
  </si>
  <si>
    <t xml:space="preserve">St. Mary's College of Marinduque </t>
  </si>
  <si>
    <t>TULIAO, Richard S.</t>
  </si>
  <si>
    <t>MSC BOAC MAIN CAMPUS</t>
  </si>
  <si>
    <t>BSED - Technology &amp; Livelihood Education</t>
  </si>
  <si>
    <t>AGUIRRE, Shyrose P.</t>
  </si>
  <si>
    <t>ARNEDO, Jonalyn M.</t>
  </si>
  <si>
    <t xml:space="preserve">Mercado, Boac, Marinduque </t>
  </si>
  <si>
    <t>CASTRO, Krystell Jean L.</t>
  </si>
  <si>
    <t>Rusi MARINDUQUE - Brgy Sumangga Mogpog Marinduque</t>
  </si>
  <si>
    <t>DUNGSO, Mary Grace Z.</t>
  </si>
  <si>
    <t>GALANZA, Emalyn P.</t>
  </si>
  <si>
    <t>DSWD MIMAROPA - 4Ps (Mogpog)</t>
  </si>
  <si>
    <t>HUERTA, Judy Ann K.</t>
  </si>
  <si>
    <t>PSA</t>
  </si>
  <si>
    <t>LATORENA, Eriza Mae M.</t>
  </si>
  <si>
    <t>LAYLAY, Ruth Joy</t>
  </si>
  <si>
    <t>MSC</t>
  </si>
  <si>
    <t>LUNAR, Jean M.</t>
  </si>
  <si>
    <t>LUNAR, Rishelle V.</t>
  </si>
  <si>
    <t>MANGUBAT, Cristine O.</t>
  </si>
  <si>
    <t>MANUBA, Jizelle M.</t>
  </si>
  <si>
    <t>2021-2022: Local Government Unit of Gasan</t>
  </si>
  <si>
    <t>MARILLANO, Mary Joy O.</t>
  </si>
  <si>
    <t>MOCORRO, Myzanea F.</t>
  </si>
  <si>
    <t xml:space="preserve">Ma'amZee Store </t>
  </si>
  <si>
    <t>NAZARENO, Ma. Caren M.</t>
  </si>
  <si>
    <t>DepEd ALS</t>
  </si>
  <si>
    <t>OLIVEROS, Irene Mae V.</t>
  </si>
  <si>
    <t>PALOMARES, Bernajane R.</t>
  </si>
  <si>
    <t>Technological Institute of the Philippines - Quezon City</t>
  </si>
  <si>
    <t>PERLAS, Maryjane L.</t>
  </si>
  <si>
    <t>PERLAS, Nichelle</t>
  </si>
  <si>
    <t>PIANO, Jeneses M.</t>
  </si>
  <si>
    <t>BUREAU OF JAIL MANAGEMENT AND PENOLOGY  BATANGAS CITY</t>
  </si>
  <si>
    <t>RODELAS, Aurora Malaya P.</t>
  </si>
  <si>
    <t>SAGUID, Aireen C.</t>
  </si>
  <si>
    <t xml:space="preserve">Makabata School Foundation - </t>
  </si>
  <si>
    <t>SAGUID, Krisel R.</t>
  </si>
  <si>
    <t>Acadsoc, Lucena city</t>
  </si>
  <si>
    <t>Bachelor of Public Administration</t>
  </si>
  <si>
    <t>ZOLETA, Rica S.</t>
  </si>
  <si>
    <t xml:space="preserve">Marinduque Technical and Vocational Institute </t>
  </si>
  <si>
    <t>GILBOY, Gerald C.</t>
  </si>
  <si>
    <t>Cook, Restaurant at Gasan Marinduque</t>
  </si>
  <si>
    <t>GUEVARA, Rochille E.</t>
  </si>
  <si>
    <t>Gil J. Puyat Ave., Makati 1200 Metro Manila</t>
  </si>
  <si>
    <t>SALAZAR, Rizza Mae P.</t>
  </si>
  <si>
    <t>Double-D Global Solutions, Inc. / No. 14 Sgt. Esguerra Avenue, Brgy. South Triangle, Quezon City</t>
  </si>
  <si>
    <t>SIGUE, Edmalyn L.</t>
  </si>
  <si>
    <t>BS - Law EnforcementAdministration</t>
  </si>
  <si>
    <t>TOLENTINO, Deziree S.</t>
  </si>
  <si>
    <t>CLAIMS PROCESSOR PHILIPPINES INC. - Gil Puyat Makati</t>
  </si>
  <si>
    <t>AGUIRRE, Sandrix P.</t>
  </si>
  <si>
    <t>CAPUCAO, Charwin S.</t>
  </si>
  <si>
    <t>Grocery Store Personnel ; Cavite</t>
  </si>
  <si>
    <t>ESPLANA, Mary Grace L.</t>
  </si>
  <si>
    <t>PENRO-MARINDUQUE (DENR) - Bangbangalon Boac, Marinduque</t>
  </si>
  <si>
    <t>LACDAO, John Warrey T.</t>
  </si>
  <si>
    <t>SONICOM SECURITY AGENCY CO. - #0507 Dagohoy St. Brgy. Poblacion, San jose Occidental Mindoro</t>
  </si>
  <si>
    <t>LADA, Ellaine R.</t>
  </si>
  <si>
    <t>LIMPIADO, Mark Angelo DG.</t>
  </si>
  <si>
    <t>LOTO, Rico L.</t>
  </si>
  <si>
    <t>MAGCULANG, Mc Nel A.</t>
  </si>
  <si>
    <t>ALFA Co.</t>
  </si>
  <si>
    <t>MALCO, Earl John Q.</t>
  </si>
  <si>
    <t>Aggreko Energy Rental Solution Inc.</t>
  </si>
  <si>
    <t>MANALO, Fernan F.</t>
  </si>
  <si>
    <t>MANDIA, John Laurence DLS.</t>
  </si>
  <si>
    <t>MARQUEZ, Francis L.</t>
  </si>
  <si>
    <t>MARTIZANA, Junan N.</t>
  </si>
  <si>
    <t xml:space="preserve">MASALAYSAY, Leo Mar L. </t>
  </si>
  <si>
    <t>Gasan MPS</t>
  </si>
  <si>
    <t>MASCARIÑAS, Arbin F.</t>
  </si>
  <si>
    <t>MATRE, Renier Sherwin M.</t>
  </si>
  <si>
    <t>MEJARITO, Jake Steven O.</t>
  </si>
  <si>
    <t>DJA Security Services INC. - Pasay City</t>
  </si>
  <si>
    <t>MELENDEREZ, Jeaza C.</t>
  </si>
  <si>
    <t>METIN, Renneil M.</t>
  </si>
  <si>
    <t xml:space="preserve">Sunwest Corporation </t>
  </si>
  <si>
    <t>MERENCILLO, Jestoni N.</t>
  </si>
  <si>
    <t>ORLANDA, Gerald Jake N.</t>
  </si>
  <si>
    <t>PANTOJA, Rodelyn M.</t>
  </si>
  <si>
    <t>RICAMARA, Majado D.</t>
  </si>
  <si>
    <t>Bachelor of Arts Major in English</t>
  </si>
  <si>
    <t>TIRADOR, Kimberly P.</t>
  </si>
  <si>
    <t>Bachelor of Arts in Communication</t>
  </si>
  <si>
    <t>GAMO, Maggie Mae R.</t>
  </si>
  <si>
    <t>Bachelor of Science in Information Systems</t>
  </si>
  <si>
    <t xml:space="preserve">HIZOLE, Amiel Thomas V. </t>
  </si>
  <si>
    <t>Concentrix CVG Philippines / U.P Techohub Building D. Diliman Quezon City</t>
  </si>
  <si>
    <t>EBERO, Glenneo L.</t>
  </si>
  <si>
    <t xml:space="preserve">Provincial Government of Marinduque </t>
  </si>
  <si>
    <t>BS - Automotive  Technology</t>
  </si>
  <si>
    <t>PERMEJO, Janeth J.</t>
  </si>
  <si>
    <t>BS - Electrical Technology</t>
  </si>
  <si>
    <t>JINANG, John Paul L.</t>
  </si>
  <si>
    <t>BS - Food Technology</t>
  </si>
  <si>
    <t xml:space="preserve">LOGMAO, Godfrey O. </t>
  </si>
  <si>
    <t>Doctor of Education</t>
  </si>
  <si>
    <t xml:space="preserve">MELECIA, Dharianne May J. </t>
  </si>
  <si>
    <t>Delicatesse Food Corp. - San martin de porres, Parañaque City</t>
  </si>
  <si>
    <t xml:space="preserve">Master of Arts in Education - Educational Management </t>
  </si>
  <si>
    <t xml:space="preserve">SAET, Ma . Shiela S. </t>
  </si>
  <si>
    <t>DepEd Marinduque - Malusak, Boac</t>
  </si>
  <si>
    <t>AGNO , Ma. Merla A.</t>
  </si>
  <si>
    <t>Nabangka Es - Guinayangan,Quezon</t>
  </si>
  <si>
    <t xml:space="preserve">DELOS SANTOS , Myreen C. </t>
  </si>
  <si>
    <t>DepEd Quezon, Quezon</t>
  </si>
  <si>
    <t>ENDIAFE, Hannah Kates A.</t>
  </si>
  <si>
    <t>DepEd San Narciso I - Brgy. Pagdadamayan San Narciso, Quezon</t>
  </si>
  <si>
    <t>FAELDO , Reychelle F.</t>
  </si>
  <si>
    <t>GARBO, Joan B.</t>
  </si>
  <si>
    <t xml:space="preserve">Kinagunan Elementary School - Padre Burgos District </t>
  </si>
  <si>
    <t>JALOS , Pauline C.</t>
  </si>
  <si>
    <t xml:space="preserve">Deped-Ilaya National High School ; Balimbing, Boac, Marinduque </t>
  </si>
  <si>
    <t>LARRACAS , Maryjoy M.</t>
  </si>
  <si>
    <t>Sawi Elementary School - Sawi, Boac, Marinduque</t>
  </si>
  <si>
    <t>LLAMAS , Patrick M.</t>
  </si>
  <si>
    <t xml:space="preserve">Matalaba National High School </t>
  </si>
  <si>
    <t>LOPEZ, Aillen A.</t>
  </si>
  <si>
    <t xml:space="preserve">Deped - Amontay National High School </t>
  </si>
  <si>
    <t>LOZANO , Catherine Ample S.</t>
  </si>
  <si>
    <t xml:space="preserve">DepEd Marinduque </t>
  </si>
  <si>
    <t>LUNA, Lanny N.</t>
  </si>
  <si>
    <t>DEPED Marinduque</t>
  </si>
  <si>
    <t>MAGCARANG , Joanne Abeguey D.</t>
  </si>
  <si>
    <t>MALIHAN , Edmond J.</t>
  </si>
  <si>
    <t>MAGPANTAY, Hazel Ann O.</t>
  </si>
  <si>
    <t>DepEd Guinayangan</t>
  </si>
  <si>
    <t>MASINAG, Zarah A.</t>
  </si>
  <si>
    <t xml:space="preserve">San Roque National High School - Catanauan, Quezon </t>
  </si>
  <si>
    <t>MEDINA, Shyndel W.</t>
  </si>
  <si>
    <t>Lupac-TABIGUE ES</t>
  </si>
  <si>
    <t>PADUA , Rose Ann M.</t>
  </si>
  <si>
    <t>PENASCOSAS, Jennifer R.</t>
  </si>
  <si>
    <t>Bagupaye National High School - Brgy. Bagupaye Mulanay Quezon</t>
  </si>
  <si>
    <t>PORTEZA , Monchito B.</t>
  </si>
  <si>
    <t>RANA , Danica May T.</t>
  </si>
  <si>
    <t>DepEd Lopez East</t>
  </si>
  <si>
    <t>REAL, Jezebel R.</t>
  </si>
  <si>
    <t>Lusok Elementary School - DepEd</t>
  </si>
  <si>
    <t>RECTO , Darlenne Marie P.</t>
  </si>
  <si>
    <t>Santa Cruz North Central School - Landy, Santa Cruz</t>
  </si>
  <si>
    <t>RIVANO, Ezra Mae D.</t>
  </si>
  <si>
    <t xml:space="preserve">DEPED San Narciso II Abuyon Elementary School </t>
  </si>
  <si>
    <t>SADIWA , Jennyrose Aisa A.</t>
  </si>
  <si>
    <t>DepEd-Marinduque (Malibago National High School - Malibago, Torrijos, Marinduque)</t>
  </si>
  <si>
    <t>SAGUID, Roslyn P.</t>
  </si>
  <si>
    <t>SALES, Elma D.</t>
  </si>
  <si>
    <t>DepEd ASSLES - Aurora Sevilla Sotto Libtangin Elementary School</t>
  </si>
  <si>
    <t>SAPUNGAN, Evangelyn S.</t>
  </si>
  <si>
    <t>DepEd-Buenavista District (Lipata Elementary School-Lipata, Buenavista, M'duque)</t>
  </si>
  <si>
    <t>Master of Arts in Education - Language Teaching</t>
  </si>
  <si>
    <t>VALENZUELA, Lusyl F.</t>
  </si>
  <si>
    <t>Poctoy Elementary School - Poctoy, Torrijos, Marinduque</t>
  </si>
  <si>
    <t>ADLING, Nikka Mae J.</t>
  </si>
  <si>
    <t>Master of Arts in Education - Mathematics Teaching</t>
  </si>
  <si>
    <t>FEDIVAL, Jenifer P.</t>
  </si>
  <si>
    <t>Kilo-Kilo NHS/KILO-kilo,Santa Cruz, Marinduque</t>
  </si>
  <si>
    <t>MORALES, Jamieca M.</t>
  </si>
  <si>
    <t>DepEd-Landy NHS - Santa Cruz, Marinduque</t>
  </si>
  <si>
    <t>Master of Arts in Education- Physics Teaching</t>
  </si>
  <si>
    <t>NAZARENO, Aldrin O.</t>
  </si>
  <si>
    <t>University of the Philippines - Diliman Quezon City</t>
  </si>
  <si>
    <t xml:space="preserve">NITE , Mark Anthony S. </t>
  </si>
  <si>
    <t>Master in Public Administration (MPA - Non Thesis)</t>
  </si>
  <si>
    <t>RODAS, May Ann Rose N.</t>
  </si>
  <si>
    <t>AGUILAR, Alma O.</t>
  </si>
  <si>
    <t>EPA, Aristotle M.</t>
  </si>
  <si>
    <t>FORTIFAES, Teresa P.</t>
  </si>
  <si>
    <t>GARIN, Susanne C.</t>
  </si>
  <si>
    <t>ILAGAN, Raniel P.</t>
  </si>
  <si>
    <t>LOCAL GOVERNMENT UNIT OF ATIMONAN, QUEZON</t>
  </si>
  <si>
    <t>IMPERIAL , Genoviva Lorilyn T.</t>
  </si>
  <si>
    <t>MERCADAL, Armida H.</t>
  </si>
  <si>
    <t>Philippine National Police</t>
  </si>
  <si>
    <t>REFORMA , Janice G.</t>
  </si>
  <si>
    <t>Department of Education - Hupi National High School</t>
  </si>
  <si>
    <t>REGIS, Maria Mercedes R.</t>
  </si>
  <si>
    <t>TOTAL NUMBER OF STUDENTS 
Campus 1 - Main Campus</t>
  </si>
  <si>
    <t>Bachelor of Agriculture</t>
  </si>
  <si>
    <t>RIOVEROS, Julie Ann DM.</t>
  </si>
  <si>
    <t>Diploma in Agricultural Technology</t>
  </si>
  <si>
    <t xml:space="preserve">BRIONES, Kesia Joy C. </t>
  </si>
  <si>
    <t>CALANOG, Camille P.</t>
  </si>
  <si>
    <t>CANDELARIA, Jennifer Z.</t>
  </si>
  <si>
    <t xml:space="preserve">COLOPANO, Jessa Par </t>
  </si>
  <si>
    <t>DELOS RIOS, Darell Jay M.</t>
  </si>
  <si>
    <t>ESTRELLA, Evangelist C.</t>
  </si>
  <si>
    <t>EUSEBIO, Joy Merille P.</t>
  </si>
  <si>
    <t xml:space="preserve">FERNANDEZ , Lovejean R. </t>
  </si>
  <si>
    <t>FERNANDEZ, Marinella R.</t>
  </si>
  <si>
    <t>FRIAS, Chenelyn S.</t>
  </si>
  <si>
    <t>FRIAS, John Cer C.</t>
  </si>
  <si>
    <t>TORRIJOS MUNICIIPAL AGRICULTURE</t>
  </si>
  <si>
    <t>GARCIA, David John B.</t>
  </si>
  <si>
    <t>BIOBEE, Sde Eliyahu</t>
  </si>
  <si>
    <t>HIRONDO, Julie Ann M.</t>
  </si>
  <si>
    <t>LARGA, Jhon Bengie</t>
  </si>
  <si>
    <t xml:space="preserve">LAURENTE, John Henry P. </t>
  </si>
  <si>
    <t>LAYAG, Ara Joy M.</t>
  </si>
  <si>
    <t>LUCI, Mary Anne R.</t>
  </si>
  <si>
    <t>MADERAZO, Rona M.</t>
  </si>
  <si>
    <t>MAGTURO, Dave Joshua S.</t>
  </si>
  <si>
    <t xml:space="preserve">MSC Torijos Free-range Layer and Broiler Chicken Multiplier Breeder Farm </t>
  </si>
  <si>
    <t>MALCO, Angelica M.</t>
  </si>
  <si>
    <t>MATAAC, Camelle R.</t>
  </si>
  <si>
    <t xml:space="preserve">MATRE, Donna Ann N. </t>
  </si>
  <si>
    <t>MENDEJA, Pamela H.</t>
  </si>
  <si>
    <t>NALING, Ann Leah L.</t>
  </si>
  <si>
    <t>ORACION, Ivy</t>
  </si>
  <si>
    <t>PASTORAL, Jennelyn O.</t>
  </si>
  <si>
    <t>PASTRANA, Boyet M.</t>
  </si>
  <si>
    <t>ALLEGRO MICROSYSTEM PHILIPPINES INC. - Parañaque City</t>
  </si>
  <si>
    <t>PILAR, Abegail M.</t>
  </si>
  <si>
    <t xml:space="preserve">REDOMA, Jemwell S. </t>
  </si>
  <si>
    <t>REJANO, Julie Ann P.</t>
  </si>
  <si>
    <t>REY, Ma. Ronnette R.</t>
  </si>
  <si>
    <t>ROGELIO, Gladys V.</t>
  </si>
  <si>
    <t>ROMASANTA, Lyka Marelie</t>
  </si>
  <si>
    <t xml:space="preserve">ROSAS, Antonio G. </t>
  </si>
  <si>
    <t>SALES, Adrian C.</t>
  </si>
  <si>
    <t>SERRANO, Jocelyn R.</t>
  </si>
  <si>
    <t>SERRANO, Lee Ann R.</t>
  </si>
  <si>
    <t>MSC Torrijos Campus</t>
  </si>
  <si>
    <t>TAMIN, Joy Khristian</t>
  </si>
  <si>
    <t>VISAGAS, Ariane</t>
  </si>
  <si>
    <t>Certificate of Agricultural Science</t>
  </si>
  <si>
    <t xml:space="preserve">BERSES, Maricris </t>
  </si>
  <si>
    <t>FIDELINO, Erickson R.</t>
  </si>
  <si>
    <t>MEJICO, Loradel V.</t>
  </si>
  <si>
    <t>NABING, Pauline Kaye L.</t>
  </si>
  <si>
    <t>PAMFILO, Katie Noelle B.</t>
  </si>
  <si>
    <t>PRIVADO, Nicka P.</t>
  </si>
  <si>
    <t>RAMIRO, Ladylyn R.</t>
  </si>
  <si>
    <t>REY, Princess Jeanette B.</t>
  </si>
  <si>
    <t>VELARDE, Ann Carol Jhane R.</t>
  </si>
  <si>
    <t>TOTAL NUMBER OF STUDENTS 
Campus 4</t>
  </si>
  <si>
    <t>GRAND TOTAL</t>
  </si>
  <si>
    <t>ROMULO H. MALVAR, Ph. D, FFCP, CESE, LPT</t>
  </si>
  <si>
    <t>Head, CJPSO</t>
  </si>
  <si>
    <t>Approved:</t>
  </si>
  <si>
    <r>
      <rPr>
        <b/>
        <sz val="10"/>
        <color rgb="FF000000"/>
        <rFont val="Tahoma"/>
        <family val="2"/>
      </rPr>
      <t xml:space="preserve">Output Indicator 1: </t>
    </r>
    <r>
      <rPr>
        <sz val="10"/>
        <color rgb="FF000000"/>
        <rFont val="Tahoma"/>
        <family val="2"/>
      </rPr>
      <t>Percentage of undergraduate students enrolled in CHED-identified and RDC-identified priority programs</t>
    </r>
  </si>
  <si>
    <r>
      <rPr>
        <sz val="10"/>
        <color rgb="FF000000"/>
        <rFont val="Tahoma"/>
        <family val="2"/>
      </rPr>
      <t xml:space="preserve">Kindly fill out </t>
    </r>
    <r>
      <rPr>
        <b/>
        <sz val="10"/>
        <color rgb="FF000000"/>
        <rFont val="Tahoma"/>
        <family val="2"/>
      </rPr>
      <t xml:space="preserve">Column 1 </t>
    </r>
    <r>
      <rPr>
        <sz val="10"/>
        <color rgb="FF000000"/>
        <rFont val="Tahoma"/>
        <family val="2"/>
      </rPr>
      <t xml:space="preserve">by listing all undergraduate programs offered in each campus. Please do not abbreviate or shorten program names. 
In </t>
    </r>
    <r>
      <rPr>
        <b/>
        <sz val="10"/>
        <color rgb="FF000000"/>
        <rFont val="Tahoma"/>
        <family val="2"/>
      </rPr>
      <t>Column 2</t>
    </r>
    <r>
      <rPr>
        <sz val="10"/>
        <color rgb="FF000000"/>
        <rFont val="Tahoma"/>
        <family val="2"/>
      </rPr>
      <t xml:space="preserve">, identify if the program offered is a priority program </t>
    </r>
    <r>
      <rPr>
        <b/>
        <sz val="10"/>
        <color rgb="FF000000"/>
        <rFont val="Tahoma"/>
        <family val="2"/>
      </rPr>
      <t>using the references listed below</t>
    </r>
    <r>
      <rPr>
        <sz val="10"/>
        <color rgb="FF000000"/>
        <rFont val="Tahoma"/>
        <family val="2"/>
      </rPr>
      <t xml:space="preserve">. Input the number of enrollees for each corresponding program. 
In </t>
    </r>
    <r>
      <rPr>
        <b/>
        <sz val="10"/>
        <color rgb="FF000000"/>
        <rFont val="Tahoma"/>
        <family val="2"/>
      </rPr>
      <t>Column 3</t>
    </r>
    <r>
      <rPr>
        <sz val="10"/>
        <color rgb="FF000000"/>
        <rFont val="Tahoma"/>
        <family val="2"/>
      </rPr>
      <t>, list down the documents submitted to verify the information provided in the previous columns. You may provide links to the electronic copies of supporting documents in this column.</t>
    </r>
  </si>
  <si>
    <t>No. of Enrollees for 1st Semester AY 2023-2024</t>
  </si>
  <si>
    <t>Priority Program</t>
  </si>
  <si>
    <t>Non-Priority Program</t>
  </si>
  <si>
    <t>1. Certified Enrollment Report for 1st Semester AY 2023-2024
2. CHED Memorandum Order No. 10, s. 2021</t>
  </si>
  <si>
    <t>Bachelor of Arts in Social Sciences</t>
  </si>
  <si>
    <t>Boac Main Campus-Tanza, Boac, Marinduque</t>
  </si>
  <si>
    <t>Bachelor of Science in Computer Engineering</t>
  </si>
  <si>
    <t>Bachelor of Science in Electrical Engineering</t>
  </si>
  <si>
    <t>Bachelor of Science in Industrial Technology</t>
  </si>
  <si>
    <t>Bachelor of Science in Information Technology</t>
  </si>
  <si>
    <t>Bachelor of Science in Information System</t>
  </si>
  <si>
    <t>Bachelor of Culture and Arts Education</t>
  </si>
  <si>
    <t>Bachelor of Technology and Livelihood Education</t>
  </si>
  <si>
    <t>Bachelor of Arts in English Language Studies</t>
  </si>
  <si>
    <t>Bachelor of Science in Social Works</t>
  </si>
  <si>
    <t>Bachelor of Science in Entrepreneurship-Entrepreneurial Management</t>
  </si>
  <si>
    <t>Bachelor of Science in Business Administration</t>
  </si>
  <si>
    <t>Bachelor of Science in Law Enforcement Administration</t>
  </si>
  <si>
    <t>Bachelor of Science in Public Administration</t>
  </si>
  <si>
    <t>Bachelor of Science in Environmental Science</t>
  </si>
  <si>
    <t>Bachelor of Science in Midwifery</t>
  </si>
  <si>
    <t>Diploma in Midwifery</t>
  </si>
  <si>
    <t>GASAN CAMPUS-Pinggan, Gasan, Marinduque</t>
  </si>
  <si>
    <t>STA. CRUZ CAMPUS-Matalaba, Sta. Cruz, Marinduque</t>
  </si>
  <si>
    <t>Bachelor of Arts in Political Science</t>
  </si>
  <si>
    <t>Bachelor of Science in Accounting Information System</t>
  </si>
  <si>
    <t>Bachelor of Science in Tourism Management</t>
  </si>
  <si>
    <t>TORRIJOS CAMPUS-Poctoy, Torrijos, Marinduque</t>
  </si>
  <si>
    <t>Bachelor in Agricultural Technology</t>
  </si>
  <si>
    <t>Bachelor of Science in Entrepreneurship-Agri-Business</t>
  </si>
  <si>
    <t>Certificate in Agricultural Science</t>
  </si>
  <si>
    <t>Sub Total</t>
  </si>
  <si>
    <t>Total Number of Enrollees</t>
  </si>
  <si>
    <t>GEMMA A. TIROL</t>
  </si>
  <si>
    <t>College Registrar</t>
  </si>
  <si>
    <r>
      <rPr>
        <b/>
        <sz val="10"/>
        <color rgb="FF000000"/>
        <rFont val="Tahoma"/>
        <family val="2"/>
      </rPr>
      <t xml:space="preserve">Output Indicator 2: </t>
    </r>
    <r>
      <rPr>
        <sz val="10"/>
        <color rgb="FF000000"/>
        <rFont val="Tahoma"/>
        <family val="2"/>
      </rPr>
      <t>Percentage of undergraduate programs with accreditation</t>
    </r>
  </si>
  <si>
    <r>
      <rPr>
        <sz val="10"/>
        <color rgb="FF000000"/>
        <rFont val="Tahoma"/>
        <family val="2"/>
      </rPr>
      <t xml:space="preserve">In Column 1, list down all undergraduate degree programs offered by the institution.
Input the Year of Initial Operation of each degree program in </t>
    </r>
    <r>
      <rPr>
        <b/>
        <sz val="10"/>
        <color rgb="FF000000"/>
        <rFont val="Tahoma"/>
        <family val="2"/>
      </rPr>
      <t>Column 2</t>
    </r>
    <r>
      <rPr>
        <sz val="10"/>
        <color rgb="FF000000"/>
        <rFont val="Tahoma"/>
        <family val="2"/>
      </rPr>
      <t xml:space="preserve">.
In </t>
    </r>
    <r>
      <rPr>
        <b/>
        <sz val="10"/>
        <color rgb="FF000000"/>
        <rFont val="Tahoma"/>
        <family val="2"/>
      </rPr>
      <t>Column 3</t>
    </r>
    <r>
      <rPr>
        <sz val="10"/>
        <color rgb="FF000000"/>
        <rFont val="Tahoma"/>
        <family val="2"/>
      </rPr>
      <t xml:space="preserve">, select the Program Accreditation Status of each program from the dropdown menu.
In </t>
    </r>
    <r>
      <rPr>
        <b/>
        <sz val="10"/>
        <color rgb="FF000000"/>
        <rFont val="Tahoma"/>
        <family val="2"/>
      </rPr>
      <t>Column 4</t>
    </r>
    <r>
      <rPr>
        <sz val="10"/>
        <color rgb="FF000000"/>
        <rFont val="Tahoma"/>
        <family val="2"/>
      </rPr>
      <t xml:space="preserve">, provide the Validity of Accreditation of each program. Refer to the issued accreditation certificate.
Provide descriptions and links to supporting documentation in </t>
    </r>
    <r>
      <rPr>
        <b/>
        <sz val="10"/>
        <color rgb="FF000000"/>
        <rFont val="Tahoma"/>
        <family val="2"/>
      </rPr>
      <t>Column 5</t>
    </r>
    <r>
      <rPr>
        <sz val="10"/>
        <color rgb="FF000000"/>
        <rFont val="Tahoma"/>
        <family val="2"/>
      </rPr>
      <t>.</t>
    </r>
  </si>
  <si>
    <t>Undergraduate Programs Offered</t>
  </si>
  <si>
    <t>Year of Initial Operation</t>
  </si>
  <si>
    <t>Program Accreditation Status</t>
  </si>
  <si>
    <r>
      <rPr>
        <b/>
        <sz val="10"/>
        <color rgb="FFFF0000"/>
        <rFont val="Tahoma"/>
        <family val="2"/>
      </rPr>
      <t xml:space="preserve">Validity of Accreditation
</t>
    </r>
    <r>
      <rPr>
        <i/>
        <sz val="10"/>
        <color rgb="FFFF0000"/>
        <rFont val="Tahoma"/>
        <family val="2"/>
      </rPr>
      <t>(Ref. Accreditation Certificate)</t>
    </r>
  </si>
  <si>
    <t>Supporting Documentation / Reason for Non-Accreditation</t>
  </si>
  <si>
    <r>
      <rPr>
        <b/>
        <sz val="10"/>
        <color rgb="FFFF0000"/>
        <rFont val="Tahoma"/>
        <family val="2"/>
      </rPr>
      <t xml:space="preserve">Start Date
</t>
    </r>
    <r>
      <rPr>
        <i/>
        <sz val="10"/>
        <color rgb="FFFF0000"/>
        <rFont val="Tahoma"/>
        <family val="2"/>
      </rPr>
      <t>(MMM-DD-YYYY)</t>
    </r>
  </si>
  <si>
    <r>
      <rPr>
        <b/>
        <sz val="10"/>
        <color rgb="FFFF0000"/>
        <rFont val="Tahoma"/>
        <family val="2"/>
      </rPr>
      <t xml:space="preserve">End Date
</t>
    </r>
    <r>
      <rPr>
        <i/>
        <sz val="10"/>
        <color rgb="FFFF0000"/>
        <rFont val="Tahoma"/>
        <family val="2"/>
      </rPr>
      <t>(MMM-DD-YYYY)</t>
    </r>
  </si>
  <si>
    <t>Candidate</t>
  </si>
  <si>
    <r>
      <rPr>
        <i/>
        <sz val="10"/>
        <color rgb="FFFF0000"/>
        <rFont val="Arial"/>
        <family val="2"/>
      </rPr>
      <t xml:space="preserve">Preliminary Survey conducted last November 20-23, 2023. Scanned copy of the report can be accessed here: </t>
    </r>
    <r>
      <rPr>
        <i/>
        <u/>
        <sz val="10"/>
        <color rgb="FF1155CC"/>
        <rFont val="Arial"/>
        <family val="2"/>
      </rPr>
      <t>tinyurl.com/SampleLink</t>
    </r>
  </si>
  <si>
    <t>Level 1</t>
  </si>
  <si>
    <r>
      <rPr>
        <i/>
        <sz val="10"/>
        <color rgb="FFFF0000"/>
        <rFont val="Arial"/>
        <family val="2"/>
      </rPr>
      <t xml:space="preserve">Accreditation certificate lapsed due to deficiency of requirements; scheduled for accreditation visit on February 12, 2024. Communication with AACCUP regarding the schedule is attached. Scanned copy of this file can be accessed here: </t>
    </r>
    <r>
      <rPr>
        <i/>
        <u/>
        <sz val="10"/>
        <color rgb="FF1155CC"/>
        <rFont val="Arial"/>
        <family val="2"/>
      </rPr>
      <t>tinyurl.com/SampleLink</t>
    </r>
  </si>
  <si>
    <t>Level 2</t>
  </si>
  <si>
    <t>AACCUP Accreditation Certificate</t>
  </si>
  <si>
    <t>Level 3</t>
  </si>
  <si>
    <t>Level 4</t>
  </si>
  <si>
    <t>Not Accreditable</t>
  </si>
  <si>
    <t>Program is being offered for less than five (5) years and has not yet reached the required batch of graduates.</t>
  </si>
  <si>
    <r>
      <rPr>
        <b/>
        <sz val="10"/>
        <color rgb="FF000000"/>
        <rFont val="Tahoma"/>
        <family val="2"/>
      </rPr>
      <t xml:space="preserve">Validity of Accreditation
</t>
    </r>
    <r>
      <rPr>
        <i/>
        <sz val="10"/>
        <color rgb="FF000000"/>
        <rFont val="Tahoma"/>
        <family val="2"/>
      </rPr>
      <t>(Ref. Accreditation Certificate)</t>
    </r>
  </si>
  <si>
    <r>
      <rPr>
        <b/>
        <sz val="10"/>
        <color rgb="FF000000"/>
        <rFont val="Tahoma"/>
        <family val="2"/>
      </rPr>
      <t xml:space="preserve">Start Date
</t>
    </r>
    <r>
      <rPr>
        <i/>
        <sz val="10"/>
        <color rgb="FF000000"/>
        <rFont val="Tahoma"/>
        <family val="2"/>
      </rPr>
      <t>(MMM-DD-YYYY)</t>
    </r>
  </si>
  <si>
    <r>
      <rPr>
        <b/>
        <sz val="10"/>
        <color rgb="FF000000"/>
        <rFont val="Tahoma"/>
        <family val="2"/>
      </rPr>
      <t xml:space="preserve">End Date
</t>
    </r>
    <r>
      <rPr>
        <i/>
        <sz val="10"/>
        <color rgb="FF000000"/>
        <rFont val="Tahoma"/>
        <family val="2"/>
      </rPr>
      <t>(MMM-DD-YYYY)</t>
    </r>
  </si>
  <si>
    <t>MSC Boac Main Campus (Tanza, Boac, Marinduque)</t>
  </si>
  <si>
    <t>1986-1987</t>
  </si>
  <si>
    <t>Level III Re- Accredited</t>
  </si>
  <si>
    <t>October 1, 2022</t>
  </si>
  <si>
    <t>BSED.pdf</t>
  </si>
  <si>
    <t>BS in Civil Engineering</t>
  </si>
  <si>
    <t>1998-1999</t>
  </si>
  <si>
    <t>May 16, 2021</t>
  </si>
  <si>
    <t>May 15, 2025</t>
  </si>
  <si>
    <t>https://drive.google.com/file/d/1RBZJ4kbt7M8Uw36U8kBNqZioFKRZFaTW/view?usp=drive_link</t>
  </si>
  <si>
    <t>BS in Electrical Engineering</t>
  </si>
  <si>
    <t>https://drive.google.com/file/d/1I7pFuxdlxG3_9VejHJooifR9q174QeKB/view?usp=drive_link</t>
  </si>
  <si>
    <t>BS in Computer Engineering</t>
  </si>
  <si>
    <t>2008-2009</t>
  </si>
  <si>
    <t>July 1, 2021</t>
  </si>
  <si>
    <t>June 30, 2025</t>
  </si>
  <si>
    <t>https://drive.google.com/file/d/1E2AoSD-jmdxJHuHAh1SOU7QVAde-1U5x/view?usp=drive_link</t>
  </si>
  <si>
    <t>BS in Electronics Engineering</t>
  </si>
  <si>
    <t>https://drive.google.com/file/d/1gPyRbIskD43gzfdEnNAKOTNsW56-9wRu/view?usp=sharing</t>
  </si>
  <si>
    <t>BS in Information Systems</t>
  </si>
  <si>
    <t>January 1, 2020</t>
  </si>
  <si>
    <t>December 31, 2023</t>
  </si>
  <si>
    <t>https://drive.google.com/file/d/1TjtAhJbaW98X-MEjpgqDIjyhjE-78xtQ/view?usp=drive_link</t>
  </si>
  <si>
    <t>BS in Information Technology</t>
  </si>
  <si>
    <t>https://drive.google.com/file/d/1BLZlFIoQdzvY57nA3F49Od6rovaLsN06/view?usp=drive_link</t>
  </si>
  <si>
    <t>BS in Industrial Technology maj in Automotive, Mechanical, Food, Electrical, Drafting, Refrigiration &amp; Air conditioning &amp; Welding and fabrication</t>
  </si>
  <si>
    <t>1989-1990</t>
  </si>
  <si>
    <t>https://drive.google.com/file/d/1AzxNReDjg1wh4i_8amlC-nwN_iC8_mZT/view?usp=sharing</t>
  </si>
  <si>
    <t>BA in Communication</t>
  </si>
  <si>
    <t>2010-2011</t>
  </si>
  <si>
    <t>October 16, 2021</t>
  </si>
  <si>
    <t>October 15, 2025</t>
  </si>
  <si>
    <t>https://drive.google.com/file/d/1KPFKZLaR3rj5BdHV0gPxyYZWTyWS9i3k/view?usp=sharing</t>
  </si>
  <si>
    <t>BA in English Language Studies</t>
  </si>
  <si>
    <t>2006-2007</t>
  </si>
  <si>
    <t>https://drive.google.com/file/d/1gBf2ddZ5SrF2zCfKzNz2tFrkgLSzSWO_/view?usp=sharing</t>
  </si>
  <si>
    <t>BS in Entrepreneurship</t>
  </si>
  <si>
    <t>https://drive.google.com/file/d/1ftqttYhNaFBFXdPCPrzIQTBZ3nynLzJC/view?usp=sharing</t>
  </si>
  <si>
    <t>BS in Nursing</t>
  </si>
  <si>
    <t>https://drive.google.com/file/d/1vYaVHLoxzRtf-6Zs3A4Qp1_02C-R7BEM/view?usp=sharing</t>
  </si>
  <si>
    <t>2012-2013</t>
  </si>
  <si>
    <t>Level II Re- Accredited</t>
  </si>
  <si>
    <t>July 1, 2022</t>
  </si>
  <si>
    <t>June 30, 2026</t>
  </si>
  <si>
    <t>https://drive.google.com/file/d/12luzk4O4EYlQGQppOay4M1JzdRBRpOjS/view?usp=sharing</t>
  </si>
  <si>
    <t>BS in Social Work</t>
  </si>
  <si>
    <t>2013-2014</t>
  </si>
  <si>
    <t>https://drive.google.com/file/d/1AfId4jHPtlSxHfrYODAOopKQzZJtMaC_/view?usp=sharing</t>
  </si>
  <si>
    <t>BS in Mechanical Engineering</t>
  </si>
  <si>
    <t>https://drive.google.com/file/d/1cjwRDzdSwX8-ehQiiDAOzobol6T5TeLm/view?usp=sharing</t>
  </si>
  <si>
    <t>BS in Accounting Information System</t>
  </si>
  <si>
    <t>https://drive.google.com/file/d/1sk18gW2C-pS2A-zFABK7aM0Le860clsA/view?usp=sharing</t>
  </si>
  <si>
    <t>BS in Law Enforcement Administration</t>
  </si>
  <si>
    <t>Accreditable</t>
  </si>
  <si>
    <t>N/A</t>
  </si>
  <si>
    <t>(For gradual Phase out per BOT No.23,s.2023)</t>
  </si>
  <si>
    <t>BS in Environmental Science</t>
  </si>
  <si>
    <t>(The program is on Candidate Status)</t>
  </si>
  <si>
    <t>Bachelor in Culture and Arts Education</t>
  </si>
  <si>
    <t>2018-2019</t>
  </si>
  <si>
    <t>(For Preliminary Survey Visit)</t>
  </si>
  <si>
    <t>Bachelor in Technology and Livelihood Education major in Home Economics</t>
  </si>
  <si>
    <t>BS in Accountancy</t>
  </si>
  <si>
    <t>BS in Business Administration</t>
  </si>
  <si>
    <t>MSC Sta.Cruz Campus</t>
  </si>
  <si>
    <t xml:space="preserve">Bachelor of Elementary Education major in   Pre-Elementary &amp; General Education  </t>
  </si>
  <si>
    <t>1992-1993</t>
  </si>
  <si>
    <t>December 16, 2020</t>
  </si>
  <si>
    <t>December 15, 2024</t>
  </si>
  <si>
    <t>https://drive.google.com/file/d/12nYQlPZZKFKkDkiXavMzmHAaXRjvTSz5/view?usp=sharing</t>
  </si>
  <si>
    <t>AB in Political Science</t>
  </si>
  <si>
    <t>BS in Information Systems (SC)</t>
  </si>
  <si>
    <t>BS in Tourism Management</t>
  </si>
  <si>
    <t>2007-2008</t>
  </si>
  <si>
    <t>https://drive.google.com/file/d/1v-lIyglsXtneDx1F3CU4e3Ewrj54in2u/view?usp=sharing</t>
  </si>
  <si>
    <t>BS in Agricultural Technology</t>
  </si>
  <si>
    <t>(For gradual Phase out as per BOT No.41,s.2023)</t>
  </si>
  <si>
    <t>BS Entrep major in Agri business</t>
  </si>
  <si>
    <t>November 1, 2018</t>
  </si>
  <si>
    <t>October 31, 2022</t>
  </si>
  <si>
    <t>https://drive.google.com/file/d/1aXRLHJN3elPSQkmOiXPkUbFl-oY-WhtB/view?usp=sharing</t>
  </si>
  <si>
    <t>BS in Agriculture</t>
  </si>
  <si>
    <t>https://drive.google.com/file/d/1AiV4R8TLzOf5zsgaMveI6edBgYHjm1Tg/view?usp=sharing</t>
  </si>
  <si>
    <t>MSC Gasan Campus</t>
  </si>
  <si>
    <t>BS in Fisheries</t>
  </si>
  <si>
    <t>1985-1986</t>
  </si>
  <si>
    <t>https://drive.google.com/file/d/1HUXVYh8nEoGoY3mkzF3uRxobfLRqVS6r/view?usp=sharing</t>
  </si>
  <si>
    <t>Number of Programs Offered:</t>
  </si>
  <si>
    <t>Number of Accredited Programs:</t>
  </si>
  <si>
    <t>Number of Accreditable Programs:</t>
  </si>
  <si>
    <t>MENANDRO M. MERLIN, DEM</t>
  </si>
  <si>
    <t>IQA Director</t>
  </si>
  <si>
    <r>
      <rPr>
        <b/>
        <sz val="10"/>
        <color rgb="FF000000"/>
        <rFont val="Tahoma"/>
        <family val="2"/>
      </rPr>
      <t xml:space="preserve">Outcome Indicator 1: </t>
    </r>
    <r>
      <rPr>
        <sz val="10"/>
        <color rgb="FF000000"/>
        <rFont val="Tahoma"/>
        <family val="2"/>
      </rPr>
      <t>Percentage of graduate school faculty engaged in research work applied in any of the following:
a) pursuing advanced research degree programs (doctorate degree) or
b) actively pursuing within the last three (3) years (investigative research, basic and applied scientific research, policy research, social science research) or
c) producing technologies for commercialization or livelihood improvement or
d) whose research work resulted in an extension program</t>
    </r>
  </si>
  <si>
    <r>
      <rPr>
        <sz val="10"/>
        <color rgb="FF000000"/>
        <rFont val="Tahoma"/>
        <family val="2"/>
      </rPr>
      <t xml:space="preserve">Kindly fill out </t>
    </r>
    <r>
      <rPr>
        <b/>
        <sz val="10"/>
        <color rgb="FF000000"/>
        <rFont val="Tahoma"/>
        <family val="2"/>
      </rPr>
      <t xml:space="preserve">Column 1 </t>
    </r>
    <r>
      <rPr>
        <sz val="10"/>
        <color rgb="FF000000"/>
        <rFont val="Tahoma"/>
        <family val="2"/>
      </rPr>
      <t xml:space="preserve">by listing all graduate school faculty members.
In </t>
    </r>
    <r>
      <rPr>
        <b/>
        <sz val="10"/>
        <color rgb="FF000000"/>
        <rFont val="Tahoma"/>
        <family val="2"/>
      </rPr>
      <t>Column 2</t>
    </r>
    <r>
      <rPr>
        <sz val="10"/>
        <color rgb="FF000000"/>
        <rFont val="Tahoma"/>
        <family val="2"/>
      </rPr>
      <t xml:space="preserve">, list the position or designation of the respective faculty members.
In </t>
    </r>
    <r>
      <rPr>
        <b/>
        <sz val="10"/>
        <color rgb="FF000000"/>
        <rFont val="Tahoma"/>
        <family val="2"/>
      </rPr>
      <t>Column 3</t>
    </r>
    <r>
      <rPr>
        <sz val="10"/>
        <color rgb="FF000000"/>
        <rFont val="Tahoma"/>
        <family val="2"/>
      </rPr>
      <t xml:space="preserve">, select the category of engagement of each listed faculty member. 
In </t>
    </r>
    <r>
      <rPr>
        <b/>
        <sz val="10"/>
        <color rgb="FF000000"/>
        <rFont val="Tahoma"/>
        <family val="2"/>
      </rPr>
      <t>Column 4</t>
    </r>
    <r>
      <rPr>
        <sz val="10"/>
        <color rgb="FF000000"/>
        <rFont val="Tahoma"/>
        <family val="2"/>
      </rPr>
      <t>, list down the documents submitted to verify the information provided in the previous columns. You may provide links to the electronic copies of supporting documents in this column.</t>
    </r>
  </si>
  <si>
    <t>Name of Faculty</t>
  </si>
  <si>
    <t>Position</t>
  </si>
  <si>
    <t>Category</t>
  </si>
  <si>
    <t>Supporting Documentation / Means of Verification</t>
  </si>
  <si>
    <t>Instructor I</t>
  </si>
  <si>
    <t>A: Pursuinng advance degree programs</t>
  </si>
  <si>
    <t>Scanned copy of enrollment form</t>
  </si>
  <si>
    <t>Cruz, Juana E.</t>
  </si>
  <si>
    <t>Associate Professor II</t>
  </si>
  <si>
    <t>B: Actively pursing research within the last three (3) years</t>
  </si>
  <si>
    <t>Scanned copy of latest research conducted</t>
  </si>
  <si>
    <t>Dela Cruz, Juan M.</t>
  </si>
  <si>
    <t>Associate Professor III</t>
  </si>
  <si>
    <t>C: Producing technologies for commercialization or livelihood improvement</t>
  </si>
  <si>
    <t>Documentation of utilized technlogy</t>
  </si>
  <si>
    <t>Flores, John D.</t>
  </si>
  <si>
    <t>University Professor V</t>
  </si>
  <si>
    <t>D: Whose research work resulted in an extension program</t>
  </si>
  <si>
    <t>Activity report of extension program</t>
  </si>
  <si>
    <t>Reyes, Jose G.</t>
  </si>
  <si>
    <t>Board Secretary</t>
  </si>
  <si>
    <t>E: Not applicable</t>
  </si>
  <si>
    <t>Santos, Joanna L.</t>
  </si>
  <si>
    <t>Associate Professor I</t>
  </si>
  <si>
    <t>Faculty Engagement</t>
  </si>
  <si>
    <t>Atienza, Cristina S.</t>
  </si>
  <si>
    <t>I1</t>
  </si>
  <si>
    <t>Benedicto, Wilbert P.</t>
  </si>
  <si>
    <t>Blase, Ma. Edelwina M.</t>
  </si>
  <si>
    <t>P4</t>
  </si>
  <si>
    <t xml:space="preserve">Documentation </t>
  </si>
  <si>
    <t>Capina, Verna Liza L.</t>
  </si>
  <si>
    <t>ASO5</t>
  </si>
  <si>
    <t>Cuevas, Abraham L.</t>
  </si>
  <si>
    <t>ASO2</t>
  </si>
  <si>
    <t>Go, Vili Dane M.</t>
  </si>
  <si>
    <t>Jalos, Leodegario Jr. M.</t>
  </si>
  <si>
    <t>Labatete, Anne Grace M.</t>
  </si>
  <si>
    <t>Malvar, Romulo H.</t>
  </si>
  <si>
    <t>CP</t>
  </si>
  <si>
    <t>Manoos, Liza Marie M.</t>
  </si>
  <si>
    <t>Montejo, Joy S.</t>
  </si>
  <si>
    <t>ASOI</t>
  </si>
  <si>
    <t>Nabos, Christine May L.</t>
  </si>
  <si>
    <t xml:space="preserve">Nabos, Julieta Q. </t>
  </si>
  <si>
    <t xml:space="preserve">Palomares, Noel R. </t>
  </si>
  <si>
    <t>ASI3</t>
  </si>
  <si>
    <t>Pineda, Susan B.</t>
  </si>
  <si>
    <t>Regalia, Marites R.</t>
  </si>
  <si>
    <t>Ricafrente, Jellian T.</t>
  </si>
  <si>
    <t xml:space="preserve">Zulueta, Diosdado P. </t>
  </si>
  <si>
    <t>A:</t>
  </si>
  <si>
    <t>B:</t>
  </si>
  <si>
    <t>C:</t>
  </si>
  <si>
    <t>D:</t>
  </si>
  <si>
    <t>E:</t>
  </si>
  <si>
    <t>TOTAL:</t>
  </si>
  <si>
    <t>JULIETA Q. NABOS, PhD</t>
  </si>
  <si>
    <t>Dean, Graduate School</t>
  </si>
  <si>
    <t xml:space="preserve">ADVANCED EDUCATION PROGRAM                            </t>
  </si>
  <si>
    <r>
      <rPr>
        <b/>
        <sz val="10"/>
        <color rgb="FF000000"/>
        <rFont val="Tahoma"/>
        <family val="2"/>
      </rPr>
      <t xml:space="preserve">Output Indicator 1 </t>
    </r>
    <r>
      <rPr>
        <b/>
        <u/>
        <sz val="10"/>
        <color rgb="FF000000"/>
        <rFont val="Tahoma"/>
        <family val="2"/>
      </rPr>
      <t>For State Colleges and Professional Institutes</t>
    </r>
    <r>
      <rPr>
        <b/>
        <sz val="10"/>
        <color rgb="FF000000"/>
        <rFont val="Tahoma"/>
        <family val="2"/>
      </rPr>
      <t xml:space="preserve">:
</t>
    </r>
    <r>
      <rPr>
        <sz val="10"/>
        <color rgb="FF000000"/>
        <rFont val="Tahoma"/>
        <family val="2"/>
      </rPr>
      <t>Percentage of graduate students enrolled in CHED-identified or RDC-identified priority programs</t>
    </r>
  </si>
  <si>
    <r>
      <rPr>
        <sz val="10"/>
        <color rgb="FF000000"/>
        <rFont val="Tahoma"/>
        <family val="2"/>
      </rPr>
      <t xml:space="preserve">Kindly fill out </t>
    </r>
    <r>
      <rPr>
        <b/>
        <sz val="10"/>
        <color rgb="FF000000"/>
        <rFont val="Tahoma"/>
        <family val="2"/>
      </rPr>
      <t xml:space="preserve">Column 1 </t>
    </r>
    <r>
      <rPr>
        <sz val="10"/>
        <color rgb="FF000000"/>
        <rFont val="Tahoma"/>
        <family val="2"/>
      </rPr>
      <t xml:space="preserve">by listing all graduate programs offered in each campus. Please do not abbreviate or shorten program names. 
In </t>
    </r>
    <r>
      <rPr>
        <b/>
        <sz val="10"/>
        <color rgb="FF000000"/>
        <rFont val="Tahoma"/>
        <family val="2"/>
      </rPr>
      <t>Column 2</t>
    </r>
    <r>
      <rPr>
        <sz val="10"/>
        <color rgb="FF000000"/>
        <rFont val="Tahoma"/>
        <family val="2"/>
      </rPr>
      <t xml:space="preserve">, identify if the program offered is a priority program </t>
    </r>
    <r>
      <rPr>
        <b/>
        <sz val="10"/>
        <color rgb="FF000000"/>
        <rFont val="Tahoma"/>
        <family val="2"/>
      </rPr>
      <t xml:space="preserve">using the references listed below.
</t>
    </r>
    <r>
      <rPr>
        <sz val="10"/>
        <color rgb="FF000000"/>
        <rFont val="Tahoma"/>
        <family val="2"/>
      </rPr>
      <t xml:space="preserve">In </t>
    </r>
    <r>
      <rPr>
        <b/>
        <sz val="10"/>
        <color rgb="FF000000"/>
        <rFont val="Tahoma"/>
        <family val="2"/>
      </rPr>
      <t>Column 3</t>
    </r>
    <r>
      <rPr>
        <sz val="10"/>
        <color rgb="FF000000"/>
        <rFont val="Tahoma"/>
        <family val="2"/>
      </rPr>
      <t xml:space="preserve">, input the number of enrollees for each corresponding program. 
In </t>
    </r>
    <r>
      <rPr>
        <b/>
        <sz val="10"/>
        <color rgb="FF000000"/>
        <rFont val="Tahoma"/>
        <family val="2"/>
      </rPr>
      <t>Column 4</t>
    </r>
    <r>
      <rPr>
        <sz val="10"/>
        <color rgb="FF000000"/>
        <rFont val="Tahoma"/>
        <family val="2"/>
      </rPr>
      <t>, list down the documents submitted to verify the information provided in the previous columns. You may provide links to the electronic copies of supporting documents in this column.</t>
    </r>
  </si>
  <si>
    <t>1. Certified Report for Graduate Students Enrolled in 1st Semester AY 2023-2024
2. CHED Memorandum Order No. 10, s. 2021
3. RDC Resolutions</t>
  </si>
  <si>
    <t>Doctor of Philosophy in Agriculture</t>
  </si>
  <si>
    <t>Doctor of Philosophy in Education</t>
  </si>
  <si>
    <t xml:space="preserve">Doctor of Public Administration </t>
  </si>
  <si>
    <t>Master in Information Technology</t>
  </si>
  <si>
    <t xml:space="preserve">Master in Public Administration </t>
  </si>
  <si>
    <t xml:space="preserve">Master in Business Administration </t>
  </si>
  <si>
    <t>Main Campus (Please identify the name of campus and location)</t>
  </si>
  <si>
    <t>Master Arts in Education</t>
  </si>
  <si>
    <t>Master of Public Administration</t>
  </si>
  <si>
    <r>
      <rPr>
        <b/>
        <sz val="10"/>
        <color rgb="FF000000"/>
        <rFont val="Tahoma"/>
        <family val="2"/>
      </rPr>
      <t xml:space="preserve">Output Indicator 2: </t>
    </r>
    <r>
      <rPr>
        <sz val="10"/>
        <color rgb="FF000000"/>
        <rFont val="Tahoma"/>
        <family val="2"/>
      </rPr>
      <t>Percentage of accredited graduate programs</t>
    </r>
  </si>
  <si>
    <r>
      <rPr>
        <sz val="10"/>
        <color rgb="FF000000"/>
        <rFont val="Tahoma"/>
        <family val="2"/>
      </rPr>
      <t xml:space="preserve">In Column 1, list down all graduate degree programs offered by the institution.
Input the Year of Initial Operation of each degree program in </t>
    </r>
    <r>
      <rPr>
        <b/>
        <sz val="10"/>
        <color rgb="FF000000"/>
        <rFont val="Tahoma"/>
        <family val="2"/>
      </rPr>
      <t>Column 2</t>
    </r>
    <r>
      <rPr>
        <sz val="10"/>
        <color rgb="FF000000"/>
        <rFont val="Tahoma"/>
        <family val="2"/>
      </rPr>
      <t xml:space="preserve">.
In </t>
    </r>
    <r>
      <rPr>
        <b/>
        <sz val="10"/>
        <color rgb="FF000000"/>
        <rFont val="Tahoma"/>
        <family val="2"/>
      </rPr>
      <t>Column 3</t>
    </r>
    <r>
      <rPr>
        <sz val="10"/>
        <color rgb="FF000000"/>
        <rFont val="Tahoma"/>
        <family val="2"/>
      </rPr>
      <t xml:space="preserve">, select the Program Accreditation Status of each program from the dropdown menu.
In </t>
    </r>
    <r>
      <rPr>
        <b/>
        <sz val="10"/>
        <color rgb="FF000000"/>
        <rFont val="Tahoma"/>
        <family val="2"/>
      </rPr>
      <t>Column 4</t>
    </r>
    <r>
      <rPr>
        <sz val="10"/>
        <color rgb="FF000000"/>
        <rFont val="Tahoma"/>
        <family val="2"/>
      </rPr>
      <t xml:space="preserve">, provide the Validity of Accreditation of each program. Refer to the issued accreditation certificate.
Provide descriptions and links to supporting documentation in </t>
    </r>
    <r>
      <rPr>
        <b/>
        <sz val="10"/>
        <color rgb="FF000000"/>
        <rFont val="Tahoma"/>
        <family val="2"/>
      </rPr>
      <t>Column 5</t>
    </r>
    <r>
      <rPr>
        <sz val="10"/>
        <color rgb="FF000000"/>
        <rFont val="Tahoma"/>
        <family val="2"/>
      </rPr>
      <t>.</t>
    </r>
  </si>
  <si>
    <r>
      <rPr>
        <b/>
        <sz val="10"/>
        <color rgb="FFFF0000"/>
        <rFont val="Tahoma"/>
        <family val="2"/>
      </rPr>
      <t xml:space="preserve">Validity of Accreditation
</t>
    </r>
    <r>
      <rPr>
        <i/>
        <sz val="10"/>
        <color rgb="FFFF0000"/>
        <rFont val="Tahoma"/>
        <family val="2"/>
      </rPr>
      <t>(Ref. Accreditation Certificate)</t>
    </r>
  </si>
  <si>
    <r>
      <rPr>
        <b/>
        <sz val="10"/>
        <color rgb="FFFF0000"/>
        <rFont val="Tahoma"/>
        <family val="2"/>
      </rPr>
      <t xml:space="preserve">Start Date
</t>
    </r>
    <r>
      <rPr>
        <i/>
        <sz val="10"/>
        <color rgb="FFFF0000"/>
        <rFont val="Tahoma"/>
        <family val="2"/>
      </rPr>
      <t>(MMM-DD-YYYY)</t>
    </r>
  </si>
  <si>
    <r>
      <rPr>
        <b/>
        <sz val="10"/>
        <color rgb="FFFF0000"/>
        <rFont val="Tahoma"/>
        <family val="2"/>
      </rPr>
      <t xml:space="preserve">End Date
</t>
    </r>
    <r>
      <rPr>
        <i/>
        <sz val="10"/>
        <color rgb="FFFF0000"/>
        <rFont val="Tahoma"/>
        <family val="2"/>
      </rPr>
      <t>(MMM-DD-YYYY)</t>
    </r>
  </si>
  <si>
    <r>
      <rPr>
        <i/>
        <sz val="10"/>
        <color rgb="FFFF0000"/>
        <rFont val="Arial"/>
        <family val="2"/>
      </rPr>
      <t xml:space="preserve">Preliminary Survey conducted last November 20-23, 2023. Scanned copy of the report can be accessed here: </t>
    </r>
    <r>
      <rPr>
        <i/>
        <u/>
        <sz val="10"/>
        <color rgb="FF1155CC"/>
        <rFont val="Arial"/>
        <family val="2"/>
      </rPr>
      <t>tinyurl.com/SampleLink</t>
    </r>
  </si>
  <si>
    <r>
      <rPr>
        <i/>
        <sz val="10"/>
        <color rgb="FFFF0000"/>
        <rFont val="Arial"/>
        <family val="2"/>
      </rPr>
      <t xml:space="preserve">Accreditation certificate lapsed due to deficiency of requirements; scheduled for accreditation visit on February 12, 2024. Communication with AACCUP regarding the schedule is attached. Scanned copy of this file can be accessed here: </t>
    </r>
    <r>
      <rPr>
        <i/>
        <u/>
        <sz val="10"/>
        <color rgb="FF1155CC"/>
        <rFont val="Arial"/>
        <family val="2"/>
      </rPr>
      <t>tinyurl.com/SampleLink</t>
    </r>
  </si>
  <si>
    <r>
      <rPr>
        <b/>
        <sz val="10"/>
        <color rgb="FF000000"/>
        <rFont val="Tahoma"/>
        <family val="2"/>
      </rPr>
      <t xml:space="preserve">Validity of Accreditation
</t>
    </r>
    <r>
      <rPr>
        <i/>
        <sz val="10"/>
        <color rgb="FF000000"/>
        <rFont val="Tahoma"/>
        <family val="2"/>
      </rPr>
      <t>(Ref. Accreditation Certificate)</t>
    </r>
  </si>
  <si>
    <r>
      <rPr>
        <b/>
        <sz val="10"/>
        <color rgb="FF000000"/>
        <rFont val="Tahoma"/>
        <family val="2"/>
      </rPr>
      <t xml:space="preserve">Start Date
</t>
    </r>
    <r>
      <rPr>
        <i/>
        <sz val="10"/>
        <color rgb="FF000000"/>
        <rFont val="Tahoma"/>
        <family val="2"/>
      </rPr>
      <t>(MMM-DD-YYYY)</t>
    </r>
  </si>
  <si>
    <r>
      <rPr>
        <b/>
        <sz val="10"/>
        <color rgb="FF000000"/>
        <rFont val="Tahoma"/>
        <family val="2"/>
      </rPr>
      <t xml:space="preserve">End Date
</t>
    </r>
    <r>
      <rPr>
        <i/>
        <sz val="10"/>
        <color rgb="FF000000"/>
        <rFont val="Tahoma"/>
        <family val="2"/>
      </rPr>
      <t>(MMM-DD-YYYY)</t>
    </r>
  </si>
  <si>
    <t>Master of Arts in Education major in Educational Management</t>
  </si>
  <si>
    <t>1987-1988</t>
  </si>
  <si>
    <t>October 1, 2023</t>
  </si>
  <si>
    <t>https://drive.google.com/file/d/1xsdZO-ctsqogSlVqtNkjDeEDdg3U1uYI/view?usp=sharing</t>
  </si>
  <si>
    <t>Master in Public Administration major in: Organizational Studies/ Local Government and Regional Administration</t>
  </si>
  <si>
    <t>1995-1996</t>
  </si>
  <si>
    <t xml:space="preserve">Doctor of Education major in Curriculum Development and Management </t>
  </si>
  <si>
    <t>https://drive.google.com/file/d/1-OJ0wAAgggVvXPwl9uBq4C0cgqvEVOXJ/view?usp=sharing</t>
  </si>
  <si>
    <r>
      <rPr>
        <b/>
        <sz val="10"/>
        <color rgb="FF000000"/>
        <rFont val="Tahoma"/>
        <family val="2"/>
      </rPr>
      <t xml:space="preserve">Outcome Indicator 1: </t>
    </r>
    <r>
      <rPr>
        <sz val="10"/>
        <color rgb="FF000000"/>
        <rFont val="Tahoma"/>
        <family val="2"/>
      </rPr>
      <t xml:space="preserve">Number of research outputs in the last three years (FY 2021-2023) utilized by the industry or by other beneficiaries
</t>
    </r>
    <r>
      <rPr>
        <b/>
        <sz val="10"/>
        <color rgb="FF000000"/>
        <rFont val="Tahoma"/>
        <family val="2"/>
      </rPr>
      <t xml:space="preserve">Output Indicator 1: </t>
    </r>
    <r>
      <rPr>
        <sz val="10"/>
        <color rgb="FF000000"/>
        <rFont val="Tahoma"/>
        <family val="2"/>
      </rPr>
      <t xml:space="preserve">Number of research outputs completed within the year
</t>
    </r>
    <r>
      <rPr>
        <b/>
        <sz val="10"/>
        <color rgb="FF000000"/>
        <rFont val="Tahoma"/>
        <family val="2"/>
      </rPr>
      <t xml:space="preserve">Output Indicator 2 (For State Universities): </t>
    </r>
    <r>
      <rPr>
        <sz val="10"/>
        <color rgb="FF000000"/>
        <rFont val="Tahoma"/>
        <family val="2"/>
      </rPr>
      <t xml:space="preserve">Percentage of researches published within the year (FY 2023) in internationally-refereed journal
</t>
    </r>
    <r>
      <rPr>
        <b/>
        <sz val="10"/>
        <color rgb="FF000000"/>
        <rFont val="Tahoma"/>
        <family val="2"/>
      </rPr>
      <t xml:space="preserve">Output Indicator 2 (For State Colleges and Professional Institutes): </t>
    </r>
    <r>
      <rPr>
        <sz val="10"/>
        <color rgb="FF000000"/>
        <rFont val="Tahoma"/>
        <family val="2"/>
      </rPr>
      <t>Percentage of researches presented within the year (FY 2023) in national, regional, and international fora</t>
    </r>
  </si>
  <si>
    <r>
      <rPr>
        <sz val="10"/>
        <color rgb="FF000000"/>
        <rFont val="Tahoma"/>
        <family val="2"/>
      </rPr>
      <t xml:space="preserve">In the columns under </t>
    </r>
    <r>
      <rPr>
        <b/>
        <i/>
        <sz val="10"/>
        <color rgb="FF000000"/>
        <rFont val="Tahoma"/>
        <family val="2"/>
      </rPr>
      <t>Details of Research Outputs</t>
    </r>
    <r>
      <rPr>
        <sz val="10"/>
        <color rgb="FF000000"/>
        <rFont val="Tahoma"/>
        <family val="2"/>
      </rPr>
      <t xml:space="preserve">, list all faculty research outputs completed </t>
    </r>
    <r>
      <rPr>
        <b/>
        <sz val="10"/>
        <color rgb="FF000000"/>
        <rFont val="Tahoma"/>
        <family val="2"/>
      </rPr>
      <t>within the past three years</t>
    </r>
    <r>
      <rPr>
        <sz val="10"/>
        <color rgb="FF000000"/>
        <rFont val="Tahoma"/>
        <family val="2"/>
      </rPr>
      <t xml:space="preserve">. Please include the year of completion for </t>
    </r>
    <r>
      <rPr>
        <b/>
        <sz val="10"/>
        <color rgb="FF000000"/>
        <rFont val="Tahoma"/>
        <family val="2"/>
      </rPr>
      <t>each</t>
    </r>
    <r>
      <rPr>
        <sz val="10"/>
        <color rgb="FF000000"/>
        <rFont val="Tahoma"/>
        <family val="2"/>
      </rPr>
      <t xml:space="preserve"> research output listed.
For each research output, fill in the corresponding information on its presentation, publication, and/or utilization. Kindly fill all fields. </t>
    </r>
    <r>
      <rPr>
        <b/>
        <u/>
        <sz val="10"/>
        <color rgb="FF000000"/>
        <rFont val="Tahoma"/>
        <family val="2"/>
      </rPr>
      <t>Please indicate N/A if the field is not applicable</t>
    </r>
    <r>
      <rPr>
        <sz val="10"/>
        <color rgb="FF000000"/>
        <rFont val="Tahoma"/>
        <family val="2"/>
      </rPr>
      <t xml:space="preserve"> for the research output.
For State Colleges, please fill in the requested information under the </t>
    </r>
    <r>
      <rPr>
        <b/>
        <i/>
        <sz val="10"/>
        <color rgb="FF000000"/>
        <rFont val="Tahoma"/>
        <family val="2"/>
      </rPr>
      <t>Details of Presentation</t>
    </r>
    <r>
      <rPr>
        <sz val="10"/>
        <color rgb="FF000000"/>
        <rFont val="Tahoma"/>
        <family val="2"/>
      </rPr>
      <t xml:space="preserve"> columns of corresponding research outputs completed in FY 2021, 2022, and 2023. Please note that in-house presentations/reviews will not be considered.
For State Universities, please fill in the requested information under </t>
    </r>
    <r>
      <rPr>
        <b/>
        <i/>
        <sz val="10"/>
        <color rgb="FF000000"/>
        <rFont val="Tahoma"/>
        <family val="2"/>
      </rPr>
      <t>Details of Publication</t>
    </r>
    <r>
      <rPr>
        <sz val="10"/>
        <color rgb="FF000000"/>
        <rFont val="Tahoma"/>
        <family val="2"/>
      </rPr>
      <t xml:space="preserve"> columns of corresponding research outputs completed in FY 2021, 2022, and 2023.
Please be reminded that incomplete entries in this form will be disregarded.</t>
    </r>
  </si>
  <si>
    <t>Details of Research Outputs</t>
  </si>
  <si>
    <t>Details of Presentation</t>
  </si>
  <si>
    <t>Details of Publication</t>
  </si>
  <si>
    <t>Details of Utilized Output</t>
  </si>
  <si>
    <t>Research Title</t>
  </si>
  <si>
    <t>Name of Faculty Researcher / Author</t>
  </si>
  <si>
    <t>Status of Research</t>
  </si>
  <si>
    <t>Duration of Research</t>
  </si>
  <si>
    <t>Title of Forum</t>
  </si>
  <si>
    <t>Venue</t>
  </si>
  <si>
    <t>Forum Type</t>
  </si>
  <si>
    <r>
      <rPr>
        <b/>
        <sz val="10"/>
        <color rgb="FFFF0000"/>
        <rFont val="Tahoma"/>
        <family val="2"/>
      </rPr>
      <t xml:space="preserve">Date of Presentation
</t>
    </r>
    <r>
      <rPr>
        <i/>
        <sz val="10"/>
        <color rgb="FFFF0000"/>
        <rFont val="Tahoma"/>
        <family val="2"/>
      </rPr>
      <t>(MMM-DD-YYYY)</t>
    </r>
  </si>
  <si>
    <t>Published Title</t>
  </si>
  <si>
    <r>
      <rPr>
        <b/>
        <sz val="10"/>
        <color rgb="FFFF0000"/>
        <rFont val="Tahoma"/>
        <family val="2"/>
      </rPr>
      <t xml:space="preserve">Date of Publication
</t>
    </r>
    <r>
      <rPr>
        <i/>
        <sz val="10"/>
        <color rgb="FFFF0000"/>
        <rFont val="Tahoma"/>
        <family val="2"/>
      </rPr>
      <t>(MMM-DD-YYYY)</t>
    </r>
  </si>
  <si>
    <t>Title of Journal / Publication</t>
  </si>
  <si>
    <t>Volume &amp; Issue</t>
  </si>
  <si>
    <t>ISSN / ISBN</t>
  </si>
  <si>
    <t>Index</t>
  </si>
  <si>
    <t>Product Name / Methods / Process / Technology</t>
  </si>
  <si>
    <t>Patent Number / Product Description</t>
  </si>
  <si>
    <t>Benefiting Industry / Community</t>
  </si>
  <si>
    <r>
      <rPr>
        <b/>
        <sz val="10"/>
        <color rgb="FFFF0000"/>
        <rFont val="Tahoma"/>
        <family val="2"/>
      </rPr>
      <t xml:space="preserve">Date Started
</t>
    </r>
    <r>
      <rPr>
        <i/>
        <sz val="10"/>
        <color rgb="FFFF0000"/>
        <rFont val="Tahoma"/>
        <family val="2"/>
      </rPr>
      <t>(MMM-DD-YYYY)</t>
    </r>
  </si>
  <si>
    <r>
      <rPr>
        <b/>
        <sz val="10"/>
        <color rgb="FFFF0000"/>
        <rFont val="Tahoma"/>
        <family val="2"/>
      </rPr>
      <t xml:space="preserve">Date of Completion
</t>
    </r>
    <r>
      <rPr>
        <i/>
        <sz val="10"/>
        <color rgb="FFFF0000"/>
        <rFont val="Tahoma"/>
        <family val="2"/>
      </rPr>
      <t>(MMM-DD-YYYY)</t>
    </r>
  </si>
  <si>
    <t>Sample Research Title 1</t>
  </si>
  <si>
    <t>Completed</t>
  </si>
  <si>
    <t>Journal of Environmental Science and Management</t>
  </si>
  <si>
    <t>Volume 26 No 1 (2023)</t>
  </si>
  <si>
    <t>SSN 0119-1144</t>
  </si>
  <si>
    <t>Science Citation Index Expanded</t>
  </si>
  <si>
    <t>Product of Sample Research 1</t>
  </si>
  <si>
    <t>This product represents the culmination of rigorous research, offering a comprehensive and cutting-edge approach to develop new products from recyclable materials which can be commercialized for profit of small and medium enterprises.</t>
  </si>
  <si>
    <t>Small and medium-sized enterprises (SMEs)</t>
  </si>
  <si>
    <t>Sample Research Title 2</t>
  </si>
  <si>
    <t>Knowledge Nexus: Exploring Frontiers in Research</t>
  </si>
  <si>
    <t>Philippine International Convention Center, PICC Complex, Pasay, Manila</t>
  </si>
  <si>
    <t>National</t>
  </si>
  <si>
    <t>Sample Research Title 3</t>
  </si>
  <si>
    <t>Regional Insight Summit: Unveiling Perspectives through Local Research Excellence</t>
  </si>
  <si>
    <t>SMX Convention Center, Clark, Pampanga</t>
  </si>
  <si>
    <t>Regional</t>
  </si>
  <si>
    <t>Sample Research Title 4</t>
  </si>
  <si>
    <t>Global Symposium on Advanced Research and Innovation 2023</t>
  </si>
  <si>
    <t>Renaissance Convention Center, Singapore</t>
  </si>
  <si>
    <t>International</t>
  </si>
  <si>
    <t>Sample Research Title 5</t>
  </si>
  <si>
    <t>On-going</t>
  </si>
  <si>
    <t>Date of Presentation</t>
  </si>
  <si>
    <t>Date of Publication</t>
  </si>
  <si>
    <r>
      <rPr>
        <b/>
        <sz val="10"/>
        <color theme="1"/>
        <rFont val="Tahoma"/>
        <family val="2"/>
      </rPr>
      <t xml:space="preserve">Date Started
</t>
    </r>
    <r>
      <rPr>
        <i/>
        <sz val="10"/>
        <color theme="1"/>
        <rFont val="Tahoma"/>
        <family val="2"/>
      </rPr>
      <t>(MMM-DD-YYYY)</t>
    </r>
  </si>
  <si>
    <r>
      <rPr>
        <b/>
        <sz val="10"/>
        <color theme="1"/>
        <rFont val="Tahoma"/>
        <family val="2"/>
      </rPr>
      <t xml:space="preserve">Date of Completion
</t>
    </r>
    <r>
      <rPr>
        <i/>
        <sz val="10"/>
        <color theme="1"/>
        <rFont val="Tahoma"/>
        <family val="2"/>
      </rPr>
      <t>(MMM-DD-YYYY)</t>
    </r>
  </si>
  <si>
    <t>Level of Satisfaction of the Residents of Brgy. Pili, Mogpog, Marinduque on Government Service Delivery</t>
  </si>
  <si>
    <t>Generoso E. Udanga
Abraham L. Cuevas</t>
  </si>
  <si>
    <t>PSU BIMP-EAGA International Research Conference</t>
  </si>
  <si>
    <t>City State Asturias Hotel, Puerto Princesa, Palawan</t>
  </si>
  <si>
    <t>E-salba for Disaster and Health Risk Reduction</t>
  </si>
  <si>
    <t>This activity is a result of the research collaboration with Mapua University about the development of health index: vulnerability to extreme environmental events for Marinduque Island with the e-Salba user application to be used for health and disaster risk reduction in the province of Marinduque.</t>
  </si>
  <si>
    <t>Local Government Units of Marinduque</t>
  </si>
  <si>
    <t>Lived Experiences of Selected MSMEs on Technological Assistance</t>
  </si>
  <si>
    <t>Michael V. Capiña</t>
  </si>
  <si>
    <t>2023 International Conference on Sustainable Agri-vironment Education, Entrepreneurship, and Community Development (ICSAVED)</t>
  </si>
  <si>
    <t>Mariano Marcos State Univeristy</t>
  </si>
  <si>
    <t>March 14-17, 2023</t>
  </si>
  <si>
    <t>Tracer Study of Diploma in Midwifery Graduates in the Marinduque State College from 2006-2022</t>
  </si>
  <si>
    <t>Abegail O. Magcamit</t>
  </si>
  <si>
    <t>35th APSOM Annual Convention – Association of Philippine Schools of Midwifery, Inc</t>
  </si>
  <si>
    <t>Century Park Hotel, Malate, Manila</t>
  </si>
  <si>
    <t>April 19-20, 2023</t>
  </si>
  <si>
    <t>Level of Satisfaction in Maternal and Child Health Care Services of the BEmONC Facility as perceived by parents in Ten Barangays of Buenavista, Marinduque, Philippines</t>
  </si>
  <si>
    <t>Divina R. Vitto</t>
  </si>
  <si>
    <t>Training Needs Assessment of Barangay Officials in the Municipalities of Torrijos and Buenavista, Marinduque</t>
  </si>
  <si>
    <t>Joy R. Profugo
Wilmer L. Imperio
Neil Ryan P. Rodil</t>
  </si>
  <si>
    <t>6th International Conference in Research, Education, Management, and the Social Sciences</t>
  </si>
  <si>
    <t>Crown Legacy Hotel, Baguio City</t>
  </si>
  <si>
    <t>April 15-17, 2023</t>
  </si>
  <si>
    <t>Rapid Assessment of Cave</t>
  </si>
  <si>
    <t>This is a product of the research on : Cave Bio-physical Characterization: GIS - Based Mapping in partnership with DENR-PENRO for the assessment and mapping of uncharted caves in the province of Marinduque</t>
  </si>
  <si>
    <t>DENR-PENRO</t>
  </si>
  <si>
    <t xml:space="preserve">Evaluating Resident Satisfaction with Tourism Promotion Program in Barangay Pili, Mogpog, Marinduque: Implications to Local Tourism Management  </t>
  </si>
  <si>
    <t>Generoso E. Udanga</t>
  </si>
  <si>
    <t>International Hospitality and Tourism Research  AMPAYAG: 1st International Conference Conference</t>
  </si>
  <si>
    <t>Laoag City, Ilocos Norte</t>
  </si>
  <si>
    <t>May 18-19, 2023</t>
  </si>
  <si>
    <t>Effective management of Marinduque Wildlife Sanctuary</t>
  </si>
  <si>
    <t>This initiative is part of the ongoing partnership with DENR-PENRO on the Biophysical, Socio-Economic and Vulnerability Assessments of the Marinduque Wildlife Sanctuary (MWS): A Basis for the Formulation of the Protected Area Management Plan for a resilient and effective management of MWS in Tumagabok, Marinduque</t>
  </si>
  <si>
    <t>LGU Boac
PAMB, PAMO, TSD Staff</t>
  </si>
  <si>
    <t xml:space="preserve">Kaligtasan 2050: Emerging  Trends and Futures in Marinduque Safety and Security Scenario </t>
  </si>
  <si>
    <t>Katrina E. De Mesa
Portia RZ. Hermosa</t>
  </si>
  <si>
    <t>11/20/2023</t>
  </si>
  <si>
    <t>4/20/2023</t>
  </si>
  <si>
    <t>DLSU D National Conference on Technology and Research for National Development and Sustainability (TReNDS)</t>
  </si>
  <si>
    <t>DLSU Dasmarinas</t>
  </si>
  <si>
    <t>May 24-26, 2023</t>
  </si>
  <si>
    <t>CFD-Based Surface Runoff Simulation Model as a Tool for a Flood Control System</t>
  </si>
  <si>
    <t>Rester JiNang</t>
  </si>
  <si>
    <t>11-15-2022</t>
  </si>
  <si>
    <t>4-15-2023</t>
  </si>
  <si>
    <t>2nd International Conference on Climate Change Adaptation (CCA) and Disaster Risk Reduction Management (DRRM)</t>
  </si>
  <si>
    <t>Amari Don Muang Airport Hotel, Bangkok, Thailand.</t>
  </si>
  <si>
    <t>May 29-June 2, 2023</t>
  </si>
  <si>
    <t xml:space="preserve">Capacity Building of Protected Area Management </t>
  </si>
  <si>
    <t>Marinduque Wildlife Sanctuary PAMB, TSD, PAMO</t>
  </si>
  <si>
    <t>Interpreting the Marinduque Provincial Government and Fisherfolks’ relation on development projects: Towards a policy of co-governance in public administration</t>
  </si>
  <si>
    <t>Hilaron R. Elegado</t>
  </si>
  <si>
    <t>1/15/2023</t>
  </si>
  <si>
    <t xml:space="preserve"> 2023 Political  Science Association International Conference</t>
  </si>
  <si>
    <t xml:space="preserve"> Western Visayas State University</t>
  </si>
  <si>
    <t>June 7-8, 2023</t>
  </si>
  <si>
    <t>The Perceived Impact of Legislative Actions taken by the Sangguniang Bayan of Sta. Cruz, Marinduque</t>
  </si>
  <si>
    <t>Anne Grace M. Labatete
Wilmer L. Imperio</t>
  </si>
  <si>
    <t>2/20/2023</t>
  </si>
  <si>
    <t>5/20/2023</t>
  </si>
  <si>
    <t xml:space="preserve"> 2023 Political  Science Association International Conference </t>
  </si>
  <si>
    <t>Capacitating Educators in Research and  Challenge Areas</t>
  </si>
  <si>
    <t>This is a result of the Training Needs Assessment for DepEd Schools: Basis for an   Extension Project of the Marinduque State College-School of Education in partnership with the Deped of Education Marinduque to capacitate the DepEd teachers in various areas of discipline.</t>
  </si>
  <si>
    <t>Deped Marinduque</t>
  </si>
  <si>
    <t>Wildlife Awareness Educational Simulation Game</t>
  </si>
  <si>
    <t>Doreena Joy C. Borja 
Darrel J. Nambio
Elgemar M. Natal
Jhon Rynel S. Tan</t>
  </si>
  <si>
    <t>05/31/2023</t>
  </si>
  <si>
    <t>2nd International Computing and Information Sciences Conference</t>
  </si>
  <si>
    <t>Caraga State University, Butuan City</t>
  </si>
  <si>
    <t>June 8-9, 2023</t>
  </si>
  <si>
    <t>Towards Achieving the Sustainable Development Goals: Identifying Economic and Investment Priorities in Barangay Pili, Mogpog</t>
  </si>
  <si>
    <t>12/15/2022</t>
  </si>
  <si>
    <t>4/15/2023</t>
  </si>
  <si>
    <t>6th International Multidisciplinary Research Conference</t>
  </si>
  <si>
    <t>Leyte Normal University, Tacloban City, Leyte</t>
  </si>
  <si>
    <t>June 27-29, 2023</t>
  </si>
  <si>
    <t>Revisiting the Socio-economic and health impacts of the Marcopper Mine Disaster, 20 years after</t>
  </si>
  <si>
    <t>Evangeline B. Mandia</t>
  </si>
  <si>
    <t>3rd International Conference on Indigenous Knowledge System and Practices (IKSP) amidst Growing Ecological Challenges: Transdisciplinary Perspectives from Global South</t>
  </si>
  <si>
    <t>Yogyakarta Universitas Ahmad, Dahlan, Indonesia</t>
  </si>
  <si>
    <t>July 5-7, 2023</t>
  </si>
  <si>
    <t>Socio-Economic, Political Orientations, and Literacy Development of People in Salomague Island in Marinduque, Philippines: A Phenomenological Study</t>
  </si>
  <si>
    <t>Hilarion R. Elegado
Annalyn J. Decena
Kevin Marasigan</t>
  </si>
  <si>
    <t>5/15/2022</t>
  </si>
  <si>
    <t>5/15/2023</t>
  </si>
  <si>
    <t>International Conference on Academic Research and Innovation (ICARI 2023)</t>
  </si>
  <si>
    <t>Thu Duc College of Technology, Ho Chi Minh, Vietnam – via Zoom</t>
  </si>
  <si>
    <t>July 6-8, 2023</t>
  </si>
  <si>
    <t>The Perceived Impact Of 1-3-5 Rating  Technique To The Language Proficiency And Confidence Of The Graduates Of Bachelor Of Elementary Education (Beed)</t>
  </si>
  <si>
    <t>Annalyn J. Decena</t>
  </si>
  <si>
    <t>Thu Duc College of Technology, Ho Chi Minh, Vietnam</t>
  </si>
  <si>
    <t>Ex-post aquatic Impact Assessment of Mined-out areas in Boac, Marinduque, Philippines: Two Decades after the Disaster</t>
  </si>
  <si>
    <t>17th National Symposium of Marine Science Philippine Association of Marine Sciences (PAMS)</t>
  </si>
  <si>
    <t>Batangas State University, Batangas City</t>
  </si>
  <si>
    <t>July 20-22, 2023.</t>
  </si>
  <si>
    <t>Status of Implementation of Katarungang Pambarangay in Ilaya I District, Municipality of Boac, Marinduque: Basis for Intervention Program</t>
  </si>
  <si>
    <t>John Kenneth F. Liguit
Leodegario M. Jalos, Jr.</t>
  </si>
  <si>
    <t>9th Regional Science and Technology Conference</t>
  </si>
  <si>
    <t>Marinduque State College, Tanza, Boac, Marinduque/Zoom</t>
  </si>
  <si>
    <t>August 30-31, 2023</t>
  </si>
  <si>
    <t>Narrative Inquiry of Teaching Reading Strategies to English Language Learners of Selected Public Elementary Teachers of Grade 6 in Boac North District: Basis for the Proposed Framework</t>
  </si>
  <si>
    <t>Jean Grace M. Solina-Nazareno
Alissa Pamela G. Hernandez</t>
  </si>
  <si>
    <t>1/20/2023</t>
  </si>
  <si>
    <t>Profiling of Marinduque State College-Bachelor of Secondary Education Graduates’ Achievements</t>
  </si>
  <si>
    <t>Dexter M. Go 
Liza Marie M. Manoos-Pacia</t>
  </si>
  <si>
    <t>Students’ Perceptions Towards Learning Mathematics and their Academic Performances</t>
  </si>
  <si>
    <t>Gliza N. Almonte
Liza Marie M. Manoos-Pacia</t>
  </si>
  <si>
    <t>The Use Of Six-Questions Cognitive Model In Developing The Mathematical Skills Of Grade 6 Learners</t>
  </si>
  <si>
    <t>John Cris P. Andrade  
Noel R. Palomares</t>
  </si>
  <si>
    <t>Level of Satisfaction of Bachelor of Secondary Education (Bsed) Students On The Auxiliary Services,  Marinduque State College</t>
  </si>
  <si>
    <t>Noelle Anne S. Pelaez
Liza Marie M. Manoos-Pacia</t>
  </si>
  <si>
    <t>Myers-Briggs Type Indicator and the Academic Performance of the Bachelor of Secondary Education Major in Mathematics</t>
  </si>
  <si>
    <t>Gianne Patricia M. Togonon
Liza Marie M. Manoos-Pacia</t>
  </si>
  <si>
    <t xml:space="preserve">Sentiment Analysis of Customer Reviews in E-Commerce  </t>
  </si>
  <si>
    <t>Pollux Rey
Ronjie Mar Malinao</t>
  </si>
  <si>
    <t>3/20/2023</t>
  </si>
  <si>
    <t>Comprehensive Corn Leaf Disease Detection and Classification through Convolutional Neural Networks: A U-Net Based Approach for Semantic Segmentation and Performance Evaluation</t>
  </si>
  <si>
    <t>Jerald B. Mabuti</t>
  </si>
  <si>
    <t>1/25/2023</t>
  </si>
  <si>
    <t>6/25/2023</t>
  </si>
  <si>
    <t>Predictive Modeling for Carabao Milk Quality: Unraveling Key Influencers using Machine Learning Techniques</t>
  </si>
  <si>
    <t>Wilmer M. Pascual</t>
  </si>
  <si>
    <t>3/25/2023</t>
  </si>
  <si>
    <t>7/25/2023</t>
  </si>
  <si>
    <t>Butterfly Taxonomy Mapping through Convolutional Neural Network Using Resnet50 as Base Model</t>
  </si>
  <si>
    <t>Paulo Jose H. Marquez</t>
  </si>
  <si>
    <t>Utilizing Learning Style Theory in Tertiary Education: Towards Adaptive Learning</t>
  </si>
  <si>
    <t>Ryan Clifford L. Perez</t>
  </si>
  <si>
    <t>7/15/2023</t>
  </si>
  <si>
    <t>Towards An Adaptive Learning for Tertiary Education: The Potential of Universal Design For Learning (UDL) Framework</t>
  </si>
  <si>
    <t>The Impact of Investment Fraud Victimization to the Well-being of Selected College Students: A Basis in Developing Interventions</t>
  </si>
  <si>
    <t>Ronalyn M. Motol</t>
  </si>
  <si>
    <t>APCORE-PIKSI 2023 Hybrid International Conference</t>
  </si>
  <si>
    <t xml:space="preserve">Grand Asrilia Hotel Bandung, West Java Indonesia </t>
  </si>
  <si>
    <t>August 29-31, 2023</t>
  </si>
  <si>
    <t>The Marinduque State College Research and Extension Experiences through the Years: College Universityhood Program Underpinning</t>
  </si>
  <si>
    <t>Diosdado P. Zulueta</t>
  </si>
  <si>
    <t>07/15/2023</t>
  </si>
  <si>
    <t>09/15/2023</t>
  </si>
  <si>
    <t xml:space="preserve">1st International Multidisciplinary Research and Extension Conference </t>
  </si>
  <si>
    <t>BSC Amphitheater, Batanes State College, Batanes</t>
  </si>
  <si>
    <t>September 19-22, 2023</t>
  </si>
  <si>
    <t xml:space="preserve">Flood monitoring and warning system </t>
  </si>
  <si>
    <t>Edgardo R. Laririt</t>
  </si>
  <si>
    <t xml:space="preserve">1st RAISE Summit Live Technology Pitching – 1st Regional Research and Innovation Week </t>
  </si>
  <si>
    <t>Dioscoro L. Umali Hall, University of the Philippines, Los Baños, Laguna</t>
  </si>
  <si>
    <t>Influence of Year and Parity on the Reproductive Performance of Markaduke Natie Pigs</t>
  </si>
  <si>
    <t>Joeauna L. Loto</t>
  </si>
  <si>
    <t>10/20/2023</t>
  </si>
  <si>
    <t>ISSAAS International Scientific Congress -</t>
  </si>
  <si>
    <t>Acacia Hotel Manila, Alabang, Muntinlupa</t>
  </si>
  <si>
    <t>November 8-10, 2023</t>
  </si>
  <si>
    <t>Unmasking the hidden dangers: Assessing the health risk of heavy metals in the soil of Mogpog, Marinduque, Philippines</t>
  </si>
  <si>
    <t>Ronnel C. Nolos</t>
  </si>
  <si>
    <t>MHRDC 12th Health Research Forum – MIMAROPA Health Research and Development Consortium</t>
  </si>
  <si>
    <t>Makati Palace Hotel, Manila</t>
  </si>
  <si>
    <t>November 14-15, 2023</t>
  </si>
  <si>
    <t xml:space="preserve">Lived Experiences of the Adults on the Causes, Sign and Symptoms, and Traditional Treatment for Balis in Selected Barangay in the Municipality of Torrijos </t>
  </si>
  <si>
    <t>Lovelie Ann Mataac
Mark Joseph M Ricafrente</t>
  </si>
  <si>
    <t>Level of Knowledge, Attitude and Preventive Practices of Farmers Regarding Leptospirosis at Sitio Mansabang, Buliasnin Boac, Marinduque”</t>
  </si>
  <si>
    <t>Mariel L. Lumalang Ghien Sylveria M. Lasic 
Keth Allen. M. Nambio 
Jeannelle. B. Prieto 
Ma. Rose M. Vitto</t>
  </si>
  <si>
    <t>Makati Palace Hotel, Manila – via Zoom</t>
  </si>
  <si>
    <t>The Effects of “Tutok Kainan” Dietary Supplementation Program Amongst Selected 6-23 Months Children of The Municipality of Boac, Marinduque.</t>
  </si>
  <si>
    <t>Rhaby L. De la Cruz, Marielle Ann G. Rosales &amp; Djoanna Izabelle L. Zoleta</t>
  </si>
  <si>
    <t>An Ethnobotanical Study on the Plants used by the Traditional Healers in the Selected Barangays of Gasan, Buenavista and Torrijos, Marinduque.</t>
  </si>
  <si>
    <t>Angela S. Canon,
Joy Ann L. Majaba &amp;
Genine Ritchel M. Sales</t>
  </si>
  <si>
    <t>“Dapat Ganito, Dapat Ganyan”: A Comparative Analysis of Social Expectations for Males and Females</t>
  </si>
  <si>
    <t>Rommuel B. Luto
May C. Fabrero
Joshua Aaron M. Pagulayan</t>
  </si>
  <si>
    <t xml:space="preserve">1st National GAD Research Conference  </t>
  </si>
  <si>
    <t>Via Zoom</t>
  </si>
  <si>
    <t>November 15-17, 2023</t>
  </si>
  <si>
    <t>My Son is Gay: Stories of Father as Parents to Homosexuals</t>
  </si>
  <si>
    <t>Mark John L. Rodelas
Marianne Rose D. Ferrera
Arnel M. Lantita</t>
  </si>
  <si>
    <t>10/15/2023</t>
  </si>
  <si>
    <t>Assessing Pre-Service Teachers’ People Skills: A Basis for Student Development Programs</t>
  </si>
  <si>
    <t>Willa Mae M. Paredes</t>
  </si>
  <si>
    <t>SINEsilip: Taking a look at the Marcos’ narrative in films through the years</t>
  </si>
  <si>
    <t>Jimely Jane Estoya</t>
  </si>
  <si>
    <t xml:space="preserve">Communication Research International Conference (CRIC) 2023 </t>
  </si>
  <si>
    <t>UP Diliman, Quezon City</t>
  </si>
  <si>
    <t>November 17-18, 2023</t>
  </si>
  <si>
    <t>Being Mama: An analysis on the representation of motherhood through mom influences in Facebook video</t>
  </si>
  <si>
    <t>Andrea Gayle Saet</t>
  </si>
  <si>
    <t>Student Acceptability &amp; Comparative Analysis of the Effectiveness of the 3Es Learning Model in Skills Oriented Program</t>
  </si>
  <si>
    <t xml:space="preserve">Liza Marie Manoos-Pacia </t>
  </si>
  <si>
    <t>2/15/2023</t>
  </si>
  <si>
    <t>6/15/2023</t>
  </si>
  <si>
    <t>2nd International on Education Studies</t>
  </si>
  <si>
    <t>Tarlac Agricultural University – via Zoom</t>
  </si>
  <si>
    <t>November 23-25, 2023</t>
  </si>
  <si>
    <t>Establishing the Rural Urban and Rurban Profile of the  Province of Marinduque towards creating a Transectoral Development Plan for the Province</t>
  </si>
  <si>
    <t>Anne Grace M. Labatete</t>
  </si>
  <si>
    <t>3/15/2023</t>
  </si>
  <si>
    <t>8/15/2023</t>
  </si>
  <si>
    <t xml:space="preserve">2023 Philippine Society for Public Administration (PSPA) </t>
  </si>
  <si>
    <t>Greenleaf Hotel, General Santos City</t>
  </si>
  <si>
    <t>November 24-26, 2023</t>
  </si>
  <si>
    <t>MSMEs Diagnostic Framework: Basis for Policy Development</t>
  </si>
  <si>
    <t xml:space="preserve">1st International Conference on Entrepreneurship and SME Development (ICESMED) 2023 </t>
  </si>
  <si>
    <t>Malcom Hall, College of Law and Institute for Small Scale Industries, UP Diliman, Quezon City</t>
  </si>
  <si>
    <t>November 28-29, 2023</t>
  </si>
  <si>
    <t xml:space="preserve">Distribution of Macroinvertebrate communities in seagrass and ecotones between adjacent habitats: Evidence of coastal habitats’ linkage </t>
  </si>
  <si>
    <t>Regie F. Mampusti</t>
  </si>
  <si>
    <t xml:space="preserve">3rd International Multidisciplinary Conference on Engineering and Technology, Education, Management and Development Studies (3rd IMCETEMDS) </t>
  </si>
  <si>
    <t xml:space="preserve">Camarines Sur Polytechnic Colleges </t>
  </si>
  <si>
    <t>Vulnerability to Climate Change of "Giant Squid" (Thysanoteuthis rhombus) Fishery in Marinduque, Philippines</t>
  </si>
  <si>
    <t>Paloma D. De Chavez</t>
  </si>
  <si>
    <t>Webinar Series on the National Consortium for the Small-Scale Fisheries Research and Development or Too-Big-To-Ignore (TBTI)</t>
  </si>
  <si>
    <t>Nurturing Hope and Growth: Empowering Women and Men through Nypa frutican cultivation amidst adversity in Marinduque Island Province in 2020`</t>
  </si>
  <si>
    <t>Doreen R. Mascareñas
Harvey A. Dulay*
Wilson R. Paez</t>
  </si>
  <si>
    <t>9/25/2023</t>
  </si>
  <si>
    <t>11/25/2023</t>
  </si>
  <si>
    <t xml:space="preserve">National Gender and Development Conference and Research Forum </t>
  </si>
  <si>
    <t>Manila Grand Opera Hotel, Doroteo Hotel, Manila</t>
  </si>
  <si>
    <t>December 4-6, 2023</t>
  </si>
  <si>
    <t>Larval Development of Scissor River Prawn Macrobrachium latidactylus (Thallwitz, 1891) in a small hatchery in Marinduque, Philippines</t>
  </si>
  <si>
    <t>Doreen R. Mascareñas</t>
  </si>
  <si>
    <t xml:space="preserve">55th FIFMS Annual Convention </t>
  </si>
  <si>
    <t>Tawi-Tawi College of Technology and Oceanography (MSU-TCTO), Tawi-Tawi</t>
  </si>
  <si>
    <t>December 6-8, 2023</t>
  </si>
  <si>
    <t>Seminar on the Conservation and Protection of Freshwater Prawns (Macrobrachium spp.)</t>
  </si>
  <si>
    <t>This activity is a result of the DOST-PCAARRD funded project on freshwater prawn hatchery which aims to capacitate the beneficiaries the necessary knowledge on how to properly culture, conserve and protect the freshwater prawns in Marinduque</t>
  </si>
  <si>
    <t>Samahan ng mga maghihipon sa Tabionan</t>
  </si>
  <si>
    <t xml:space="preserve">Level of Language and Communication Proficiency of the Barangay Secretaries of the Municipality of Mogpog: Basis for Creating an Enhanced Training Guide for Language and Communication  </t>
  </si>
  <si>
    <t>Jholey Rose L. Lancion 
Jerome Lingon</t>
  </si>
  <si>
    <t xml:space="preserve">Philippine Association for Language Teaching International Conference </t>
  </si>
  <si>
    <t>Teacher’s Camp, Baguio City</t>
  </si>
  <si>
    <t>December 7-9, 2023</t>
  </si>
  <si>
    <t>Curriculum-Based Instructional Material for Reading and Writing Skills</t>
  </si>
  <si>
    <t>Ma. Jessica L. Semilla</t>
  </si>
  <si>
    <t>Reading Comprehension Level in English Language of the Selected Alternative Learning System Learners</t>
  </si>
  <si>
    <t>Jean Grace M. Solina</t>
  </si>
  <si>
    <t>7/20/2023</t>
  </si>
  <si>
    <t xml:space="preserve">Performance characteristics of Sacol (Kappaphycus striatum) and Spinosum (Eucheuma denticulatum)  seaweed cultivars using coco coir as tying materials tested in open and cove areas in Mogpog, Marinduque </t>
  </si>
  <si>
    <t>Orlen M. Mallen</t>
  </si>
  <si>
    <t>Feb. 2023</t>
  </si>
  <si>
    <t>3rd International Conference on Agriculture, Biosystems, and Technology (3rd IConABT)</t>
  </si>
  <si>
    <t>December 11-12, 2023</t>
  </si>
  <si>
    <t>Efforts on selecting laboratory-reared seaweed cultivars and providing alternative livelihood through seaweed farming in Marinduque, Philippines</t>
  </si>
  <si>
    <t>Janury 2023</t>
  </si>
  <si>
    <t>Practices of the MSC ESL Teachers towards Online Assessment amidst the COVID-19 Pandemic</t>
  </si>
  <si>
    <t>Marieneth L. Malubag</t>
  </si>
  <si>
    <t>Linguistic Society of the Philippines International Conference 2022 &amp; 21st English in Southeast Asia: A Joint Conference 
LSPIC 2022 &amp; 21st ESEA</t>
  </si>
  <si>
    <t>University of Sto. Tomas – via Zoom</t>
  </si>
  <si>
    <t>March 10-12, 2022</t>
  </si>
  <si>
    <t>A Positioning Analysis on the Competing Roles of an ‘Academic’ ‘Mother’</t>
  </si>
  <si>
    <t>Jholey Rose L. Lancion</t>
  </si>
  <si>
    <t>The Position of Marinduque Tagalog in the Linguistic Landscape of the Heritage Town of Boac, Marinduque</t>
  </si>
  <si>
    <t>Cherie Ann M. Luna</t>
  </si>
  <si>
    <t xml:space="preserve">Meat Quality Markers Unveil the Markaduke Native Pig as Potential Source of Premium Pork Products </t>
  </si>
  <si>
    <t xml:space="preserve">Arnolfo M. Monleon </t>
  </si>
  <si>
    <t xml:space="preserve">89th General Membership Assembly of the National Research Council of the Philippines </t>
  </si>
  <si>
    <t>Manila</t>
  </si>
  <si>
    <t>March 15, 2022</t>
  </si>
  <si>
    <t>MSCCA Island and Archipelagic Studies: Transition from Studies Center to Creative Hub with CCP, KWF and NCCA</t>
  </si>
  <si>
    <t>Randy T. Nobleza</t>
  </si>
  <si>
    <t>10/15/2021</t>
  </si>
  <si>
    <t>4/15/2022</t>
  </si>
  <si>
    <t xml:space="preserve">4th SOSS Research Conference  </t>
  </si>
  <si>
    <t>Ateneo De Manila University</t>
  </si>
  <si>
    <t>April 18-20, 2022</t>
  </si>
  <si>
    <t>Utilizing Surveillance, Trust, and Democracy as an Online Pedagogy Amidst Pandemic 2021</t>
  </si>
  <si>
    <t>Lorimer L. Imperio</t>
  </si>
  <si>
    <t>11/20/2021</t>
  </si>
  <si>
    <t>3/20/2022</t>
  </si>
  <si>
    <t>18th International Conference on Technology, Knowledge, and Society</t>
  </si>
  <si>
    <t>National Changhua University of Education Taiwan, Province of China</t>
  </si>
  <si>
    <t>April 15-16-, 2022</t>
  </si>
  <si>
    <t>Phytoremediation of Potential Toxic Elements by Native Tree Species in Mined-spoiled soils in Matraszentimre, Hungary</t>
  </si>
  <si>
    <t>Jovito L. Opeña</t>
  </si>
  <si>
    <t>1/30/2022</t>
  </si>
  <si>
    <t>4/30/2022</t>
  </si>
  <si>
    <t xml:space="preserve">6th International Symposium on Biosphere and Environmental Safety </t>
  </si>
  <si>
    <t>Obuda University, Budapest, Hungary</t>
  </si>
  <si>
    <t>May 5-6, 2022</t>
  </si>
  <si>
    <t>Semen Characterization of Markaduke Boars Improve Litter size production</t>
  </si>
  <si>
    <t>Joeauna L. Loto
Giselle M. Perlas</t>
  </si>
  <si>
    <t>2nd International Research Conference in Sciences, Education, and Sports (IRCISES)</t>
  </si>
  <si>
    <t>via Zoom</t>
  </si>
  <si>
    <t>May 21-23, 2022</t>
  </si>
  <si>
    <t>Will Economic Capability and Technological Availability Affect Graduate Competencies: An Exploratory Study of BSIT/BSIS Programs this Pandemic</t>
  </si>
  <si>
    <t>Maria Nessa M. Solomon
Ivy Joy N. Aguiflor</t>
  </si>
  <si>
    <t>International Conference on Assessment in the New Normal (ICANN 2022)</t>
  </si>
  <si>
    <t>Jose Rizal Memorial State University</t>
  </si>
  <si>
    <t>May 25-27, 2022</t>
  </si>
  <si>
    <t>Carps? Ready to Face it? The Information System Students’ Readiness for F2F Classes</t>
  </si>
  <si>
    <t xml:space="preserve">Arben A. Ornedo </t>
  </si>
  <si>
    <t xml:space="preserve">Adequacy of BS LEAD Criminalistics Laboratory: The Significance to Learning Modality and Conversion to BS Criminology </t>
  </si>
  <si>
    <t>Jayceron L. Monteagudo
Vergel L. Mayo</t>
  </si>
  <si>
    <t>1/15/2022</t>
  </si>
  <si>
    <t>1st International Multidisciplinary Virtual Research Conference</t>
  </si>
  <si>
    <t>June 24-26, 2022</t>
  </si>
  <si>
    <t>Factors Involved In The Contemporary Authenticity Of Tourist Industry In Marinduque Province</t>
  </si>
  <si>
    <t>Merryrose Palma
Angielyn D. Marquez</t>
  </si>
  <si>
    <t>1st MSC Mogpog ESC Online Regional Research Conference (1st ESCORRC)</t>
  </si>
  <si>
    <t>Marinduque State College Audio-Visual Room via Zoom</t>
  </si>
  <si>
    <t>June 30, 2022</t>
  </si>
  <si>
    <t>Development, Validity And Evaluation Of Contextualized Strategic Intervention Materials (Csims) In Specific Competencies In Science 10</t>
  </si>
  <si>
    <t>Jimbert S. Cedeño</t>
  </si>
  <si>
    <t>Assessment Of The Environmental Impact Of Tourism On The Selected Natural Attractions Of Buenavista, Marinduque</t>
  </si>
  <si>
    <t>Merryrose Palma
Diane Babes L. Dela Cruz</t>
  </si>
  <si>
    <t>1/20/2022</t>
  </si>
  <si>
    <t>5/20/2022</t>
  </si>
  <si>
    <t>Assessment on E-Governance Implementation: Experience of the Municipality of Buenavista</t>
  </si>
  <si>
    <t>Socio-Cultural Impacts Of Tourism As Perceived By Host Community And Tourists In Torrijos Marinduque</t>
  </si>
  <si>
    <t>Merryrose Palma
Frecious R. Reataza</t>
  </si>
  <si>
    <t>The Multicultural Workplace: Preparing Hotel Employees In The Municipality Of Boac</t>
  </si>
  <si>
    <t>Merryrose Palma
Jelyn Mae S. Manahan</t>
  </si>
  <si>
    <t>6/20/2022</t>
  </si>
  <si>
    <t>Inventory Management Practices of Selected Cooperatives in Buenavista and Mogpog, Marinduque</t>
  </si>
  <si>
    <t>Mark Rey U. Tan
Maeflor M. Loto,
Margie P. Fatalla</t>
  </si>
  <si>
    <t>The Perception Of The Selected Penitentes In New Normal Of Moriones Lenten Rites In Boac</t>
  </si>
  <si>
    <t>Merryrose Palma
Joemel R. Ormacido</t>
  </si>
  <si>
    <t>Inventory Management Practices of Selected Business Establishments in Boac and Mogpog, Marinduque</t>
  </si>
  <si>
    <t>Mark Rey U. Tan
 Bernadette M. Magaling, 
John Lester M. Manuba,
 Hajji Rod M. Ola</t>
  </si>
  <si>
    <t>Impacts Of Local Traveling In Selected Destinations In The Municipality Of Mogpog, Marinduque During The "New Normal”</t>
  </si>
  <si>
    <t>Merryrose Palma 
Kayla Monic J. del Mundo</t>
  </si>
  <si>
    <t>Credit Risk Management Practices Of Selected Cooperatives In Marinduque</t>
  </si>
  <si>
    <t>Mark Glenn M. Mamugay, 
Elizabeth J. Bundalian, 
Alaiza M. Eclavea, 
Carrel Sadiwa, 
Aira A. Linga,
Michael Jaye P. Ribleza</t>
  </si>
  <si>
    <t>Impacts Of The Pandemic On The Livelihoods Of Beach Resort Tourism Workers In Boac, Marinduque</t>
  </si>
  <si>
    <t>Merryrose Palma
 Marife R. Laman</t>
  </si>
  <si>
    <t>Narratives About Cave Of Filipino Guerrillas In Pili, Mogpog, Marinduque</t>
  </si>
  <si>
    <t>Michael V. Capina</t>
  </si>
  <si>
    <t>1/25/2022</t>
  </si>
  <si>
    <t>5/25/2022</t>
  </si>
  <si>
    <t>Impact Of Folk Songs In Boac, Marinduque: Basis In Local Tourism Industry</t>
  </si>
  <si>
    <t>Merryrose Red Palma 
Rea Hanna L. Embing</t>
  </si>
  <si>
    <t>Life and Career of Former PNP Director General Santiago Rafael Alino of Marinduque: A Documentation</t>
  </si>
  <si>
    <t>Jayceron L. Monteagudo
John Alexis Lumagu</t>
  </si>
  <si>
    <t>Hibla Local Filipina Summer Arts Workshop: Book Nook Marinduque's contribution to MSC's 70th foundation</t>
  </si>
  <si>
    <t>Randy Nobleza</t>
  </si>
  <si>
    <t>An Analysis of Language Use and Behaviour of AB-English Students in E-Chatrooms at Marinduque State College</t>
  </si>
  <si>
    <t>Annie Joy A. Recaña</t>
  </si>
  <si>
    <t>Assessment On Financial Performance Of Multi-Purpose Cooperatives In Mogpog, Marinduque: Basis For Extension</t>
  </si>
  <si>
    <t>Aira Mariz M. Miranda</t>
  </si>
  <si>
    <t>Bookkeeping Practices of Selected Agriculture Cooperatives in Buenavista and Torrijos , Marinduque: Basis for Intervention</t>
  </si>
  <si>
    <t xml:space="preserve">Allynna Joy Ibañez , 
Anna Joy Talan,
 Gener Udanga </t>
  </si>
  <si>
    <t>Language in Media: An Analysis of Linguistic Features of Selected News Text from Various News Publishers Online</t>
  </si>
  <si>
    <t>Chinny P. Go</t>
  </si>
  <si>
    <t>Bookkeeping Practices of Selected Hog-raising Ventures in Buenavista and Gasan, Marinduque: Basis for Intervention</t>
  </si>
  <si>
    <t>Jhea Mae R. Malapote</t>
  </si>
  <si>
    <t>Cash Flow Management Practices of Selected Agribusiness in Marinduque</t>
  </si>
  <si>
    <t>Julie Ann B. Perlas,
 Jemma M. Ricamata</t>
  </si>
  <si>
    <t>Cash Flow Management Practices Of Selected Cooperatives In Mogpog And Santa Cruz, Marinduque: Basis For Intervention</t>
  </si>
  <si>
    <t>Lindly Lance M. Lecaros, Ramina M. Rey, 
Jenyza D. Rojo</t>
  </si>
  <si>
    <t>Noon At Ngayon: A Comparative Analysis Of Language Styles Of News Writers</t>
  </si>
  <si>
    <t>Lorevic DS. Quimora</t>
  </si>
  <si>
    <t>Language And Health Communication: A Morphological Analysis Of The Covid-19 Pandemic Neologisms</t>
  </si>
  <si>
    <t>Georgina Alexis Rey</t>
  </si>
  <si>
    <t>Adjacent mangroves and coral reef influence abundance and diversity of seagrass associated macroinvertebrates</t>
  </si>
  <si>
    <t>3/15/2022</t>
  </si>
  <si>
    <t>7/15/2022</t>
  </si>
  <si>
    <t>2nd International Conference on Agriculture, Biosystems and Technology (IConABT</t>
  </si>
  <si>
    <t>Tarlac Agricultural University (TAU)</t>
  </si>
  <si>
    <t>August 25-26, 2022</t>
  </si>
  <si>
    <t>Color and Image Analysis Approach in Determination of Soluble Copper in Water Using Tannic Reaction Analysis</t>
  </si>
  <si>
    <t>Jan Fern Historillo Marife Rosales Menandro Merlin Evangeline B. Mandia</t>
  </si>
  <si>
    <t>5th International Conference on Intelligent Computing &amp;  Optimization – Optimization Conferences Resources</t>
  </si>
  <si>
    <t>via videoconferencing</t>
  </si>
  <si>
    <t>October 27-28, 2022</t>
  </si>
  <si>
    <t>Anxiety Level of Students and Teachers in Marinduque State College on the Resumption of Face-to-face Classes in the New Normal</t>
  </si>
  <si>
    <t>Doreen R. Mascareñas
Emelita R. Rodelas
Marilyn A. Mayores
Desiree Anne Sto.Domingo</t>
  </si>
  <si>
    <t>6/15/2022</t>
  </si>
  <si>
    <t>10/15/2022</t>
  </si>
  <si>
    <t>11th MHRDC Health Research  Forum</t>
  </si>
  <si>
    <t xml:space="preserve"> via Zoom</t>
  </si>
  <si>
    <t>November 10-11, 2022</t>
  </si>
  <si>
    <t>An outlook of the demand for salt of the Fish processing industry in Marinduque</t>
  </si>
  <si>
    <t>Harvey A. Dulay, Doreen R. Mascareñas, John Paul R. Mataya, Reyalyn V. Malapad,
Cherry Rose Robles, Frederick Ciriaco, and Eulogio R. Medina, Jr.</t>
  </si>
  <si>
    <t xml:space="preserve">1st Philippine
Salt Congress 2022 </t>
  </si>
  <si>
    <t>Pangasinan State University</t>
  </si>
  <si>
    <t>November 26-27, 2022</t>
  </si>
  <si>
    <t>Solar Salt Production: The Marinduque State College Experience</t>
  </si>
  <si>
    <t>Eulogio R. Medina, Jr., Doreen R. Mascareñas, Harvey A. Dulay and Alexander M. Pascua</t>
  </si>
  <si>
    <t>06/15/2022</t>
  </si>
  <si>
    <t>Teaching Literature in the New Normal Landscape: Best Practices and Challenges</t>
  </si>
  <si>
    <t>Nikka Mae J. Adling</t>
  </si>
  <si>
    <t>8/15/2022</t>
  </si>
  <si>
    <t>11/15/2022</t>
  </si>
  <si>
    <t xml:space="preserve">4th International Conference on Interdisciplinary Research Innovations </t>
  </si>
  <si>
    <t xml:space="preserve">La Consolacion University – Bulacan </t>
  </si>
  <si>
    <t>December 2-4, 2022</t>
  </si>
  <si>
    <t>Composition structure of mangrove forest in Marinduque, Philippines</t>
  </si>
  <si>
    <t>Orlen F. Mores-Mallen</t>
  </si>
  <si>
    <t xml:space="preserve">2nd International Multidisciplinary Conference on Engineering, Technology, Education, Management and Development Studies </t>
  </si>
  <si>
    <t>December 9-10, 2022</t>
  </si>
  <si>
    <t xml:space="preserve">Water Quality parameters of abandoned lake </t>
  </si>
  <si>
    <t>Examination question classification based on revised Bloom’s Taxonomy using Naïve Bayes classifier</t>
  </si>
  <si>
    <t>Kierven A. Villaruel</t>
  </si>
  <si>
    <t xml:space="preserve">8th Regional Science and Technology Conference </t>
  </si>
  <si>
    <t xml:space="preserve">Marinduque State College Tanza, Boac, Marinduque via Zoom </t>
  </si>
  <si>
    <t>December 19-20, 2022</t>
  </si>
  <si>
    <t>QR Code Security: A Bitplane attack resistant multi-image stenography</t>
  </si>
  <si>
    <t>Ronjie Mar L. Malinao
Eunice G. de Luna-Malinao</t>
  </si>
  <si>
    <t>Marinduque State College Tanza, Boac, Marinduque via Zoom</t>
  </si>
  <si>
    <t>Future Energy: Analysis of weather data to  forecast photovoltaic solar energy harvest</t>
  </si>
  <si>
    <t>Eunice G. de Luna-Malinao
Ronjie Mar L. Malinao</t>
  </si>
  <si>
    <t>AI in Higher Education: Unveiling Faculty Perspective Towards AI through UTAUT Approach</t>
  </si>
  <si>
    <t>9/15/2022</t>
  </si>
  <si>
    <t xml:space="preserve">Flood simulation software through CFD Modelling </t>
  </si>
  <si>
    <t>Rester S. Jinang</t>
  </si>
  <si>
    <t>Digitalization of MSMEs through Development and Implementation of Sales and Inventory Management System (SIMS) Based on Production Monitoring</t>
  </si>
  <si>
    <t>Julieta Q. Nabos
Art Jervin L. Magcamit
Christine May L. Nabos
Doreena Joy Capistrano-Borja</t>
  </si>
  <si>
    <t>The Effect of Moringa Leaf Extract in the Growth and Yield Performance of Eggplant (Solanum melongena).</t>
  </si>
  <si>
    <t>Lorraine Joyce Tirao</t>
  </si>
  <si>
    <t>Growing Okra (Abelmoschus esculentus L.) in Coconut Based Planter Box Supplemented with Different Levels of Biochar, Cocopeat, and Garden Soil Under Drought Condition in Torrijos, Marinduque.</t>
  </si>
  <si>
    <t>Mariel R. Roldan</t>
  </si>
  <si>
    <t>Market Driven Upscale Productivity (MARKUP) of Markaduke</t>
  </si>
  <si>
    <t>Jeremie R. Robles</t>
  </si>
  <si>
    <t>Effect of Different Levels of Fermented Banana Pseudostem with Molasses as Foliar Fertilizer to the Growth and Yield Performance of Eggplant (Solanum melongena).</t>
  </si>
  <si>
    <t>Krisha M. Patiño</t>
  </si>
  <si>
    <t>Major Factors Affecting Carrot Production in Benguet and Negros Oriental.</t>
  </si>
  <si>
    <t>Genesi Mae B. Ballesteros and Kristine Joy R. Fidelino</t>
  </si>
  <si>
    <t>Joeauna O. Larga-Loto</t>
  </si>
  <si>
    <t>Survey of Native Pig Management Practices in Boac, Marinduque: Basis for Production Efficiency and Profitability</t>
  </si>
  <si>
    <t>Reyalyn V. Malapad</t>
  </si>
  <si>
    <t>2/15/2022</t>
  </si>
  <si>
    <t>Field Testing of Laboratory-reared Seaweed Cultivars from PSU-MSL Culture Facilities to MIMAROPA Region</t>
  </si>
  <si>
    <t>Floredel Dangan-Galon, Regie F. Mampusti,
Billy S. Saguimo, 
Roselle S. Sua</t>
  </si>
  <si>
    <t>Preliminary Characterization of Markaduke Boar Sperm Motion Kinematics</t>
  </si>
  <si>
    <t>Giselle M. Perlas
Jeremie R. Robles
Michelle L. Seño
Joeauna L. Loto</t>
  </si>
  <si>
    <t>Acceptability of Healthy Bread Flavored with Bitter Gourd (Momordica charantia)</t>
  </si>
  <si>
    <t>Pinky May R. Nicolas
Noelina DM. Ricafranca
Loverell Rejano
Kristine Joy R. Fidelino
Cherry Rose M. Robles</t>
  </si>
  <si>
    <t>Book Nook Marinduque through Hibla Local Filipina creative and talent output in selected Marinduque Districts: Basis for Island and Archipelagic Heritage Studies online course</t>
  </si>
  <si>
    <t>Impact of legislative actions enacted by the sangguning bayan of Sta. Cruz, Marinduque: 2016-2019</t>
  </si>
  <si>
    <t>Eran Jefferson P. Orejuila
Wilmer L. Imperio II
Anne Grace M. Labatete</t>
  </si>
  <si>
    <t>4/20/2022</t>
  </si>
  <si>
    <t>8/20/2022</t>
  </si>
  <si>
    <t>Assessment on the relevance of knowledge acquired by the Bachelor of Public Administration students as applied on their practicum: Basis for Curriculum Enhancement</t>
  </si>
  <si>
    <t>Evangeleen M. Prado
Anne Grace M. Labatete</t>
  </si>
  <si>
    <t>An English Language Learners Perspective: Implementation of Flexible Blended Learning in an ESL Learning Context</t>
  </si>
  <si>
    <t>Nikka Mae Adling</t>
  </si>
  <si>
    <t>3rd DLSAU International Multidisciplinary Research Conference</t>
  </si>
  <si>
    <t>De La Salle Araneta University via microsoft teams</t>
  </si>
  <si>
    <t>January 22-23, 2021</t>
  </si>
  <si>
    <t>Remote Flexible Blended Learning as an Instructional Modality for Physical Course amidst the COVID-19 Pandemic: A Phenomenological Study on the Experiences, Challenges Encountered and Suggestions of Students in a Public College</t>
  </si>
  <si>
    <t>Bernice Jacob V. Garcia</t>
  </si>
  <si>
    <t>Utilization of Kamansi Seeds</t>
  </si>
  <si>
    <t>Rudolph L. Malinao</t>
  </si>
  <si>
    <t>Learning Under Lockdown: ELS Students’ Experiences, Challenges, and Suggestions on Remote Learning  in the Rural Setting Amidst the COVID-19 Pandemic</t>
  </si>
  <si>
    <t>Giannina Elaine M. Labicane</t>
  </si>
  <si>
    <t>E-Skwela in the Age of Pandemic: Perception of BA Communication Students in the Use of Virtual Classrooms for the Online Classes</t>
  </si>
  <si>
    <t>Anna Roffel O. Lozada</t>
  </si>
  <si>
    <t xml:space="preserve">3rd International Congress in Multidisciplinary Research </t>
  </si>
  <si>
    <t>via zoom video conference</t>
  </si>
  <si>
    <t>February 12-14, 2021</t>
  </si>
  <si>
    <t>Response of Local Government Unit Towards Covid-19 Pandemic: A Study of Health Crisis Communication Management of Barangay Pili, Mogpog, Marinduque</t>
  </si>
  <si>
    <t>Jerome Lingon</t>
  </si>
  <si>
    <t>Success and Challenges of BSIT Students in Learning English in a Flexible Blended Learning Context</t>
  </si>
  <si>
    <t>Nikka Mae  Adling</t>
  </si>
  <si>
    <t xml:space="preserve">3rd Linguistic Society of the Philippines International Conference 2021 (LSPIC 2021) </t>
  </si>
  <si>
    <t xml:space="preserve">University of Sto. Tomas via Zoom </t>
  </si>
  <si>
    <t>March 11-13, 2021</t>
  </si>
  <si>
    <t>Transitivity Analysis of Public Forum Responses of Candidates for SUC President in Marinduque State College</t>
  </si>
  <si>
    <t>Tanawing Pangwika: Isang Pag-aaral sa Kasiglahan ng Wika sa Poblasyon ng Summer Capital ng  Marinduque</t>
  </si>
  <si>
    <t>Perception of ELS Students on the Use of Open Education Resources (OER) for Remote Learning</t>
  </si>
  <si>
    <t>Development and Validation of Technology-Enhanced Module for Teaching Oral Communication in Context</t>
  </si>
  <si>
    <t>Cristina S. Atienza</t>
  </si>
  <si>
    <t>Enhancement, Restoration, and Protection of Nipa Stands in Marinduque</t>
  </si>
  <si>
    <t xml:space="preserve">Doreen R. Mascareñas*
Wilson R. Paez
Reyalyn V. Malapad
Harvey A. Dulay
Desiree Anne Sto.Domingo </t>
  </si>
  <si>
    <t xml:space="preserve">    Ongoing</t>
  </si>
  <si>
    <t>2nd International Conference on Governance and Development (ICDG2)</t>
  </si>
  <si>
    <t>University of the Philippines Los Baños</t>
  </si>
  <si>
    <t>March 23-25, 2021</t>
  </si>
  <si>
    <t>Analysis of Difficulty Levels of Information Technology Tools During the Pandemic</t>
  </si>
  <si>
    <t xml:space="preserve">Lorimer Imperio </t>
  </si>
  <si>
    <t>17th International Conference on Technology, Knowledge, and Society</t>
  </si>
  <si>
    <t>University of Melbourne, Australia – Technology, Knowledge &amp; Society Research Network</t>
  </si>
  <si>
    <t>April 6-9, 2021</t>
  </si>
  <si>
    <t>Healing Practices used by Traditional Doctors: The Effectiveness in Medication</t>
  </si>
  <si>
    <t xml:space="preserve">International Virtual Multidisciplinary Research Conference
</t>
  </si>
  <si>
    <t>St. Dominic College of Asia</t>
  </si>
  <si>
    <t>April 26-27, 2021</t>
  </si>
  <si>
    <t>Phytochemical and Mineral Analysis of Trichantera Gigantea established in Markaduke Research and Development Center (MRDC) Marinduque, Philippines</t>
  </si>
  <si>
    <t xml:space="preserve">5th International Conference in Latest Trends of Education and Research (ICILTER) </t>
  </si>
  <si>
    <t>via Zoom - Global Researchers Association and Convergence for Excellence (GRACE) Inc.</t>
  </si>
  <si>
    <t>May 13-15, 2021</t>
  </si>
  <si>
    <t>Acid Drainage from Sulphidic Mine Wastes: Comparing Continental Climate Mainland and Tropical  Climate Sea Deposition Settings</t>
  </si>
  <si>
    <t>Roja L. Medianista
Erzsebet Harman-Toth 
Isma Irshad,
Tamas Gabor Weiszburg</t>
  </si>
  <si>
    <t xml:space="preserve">ACTA Mineralogica-Petrographica Department of Mineralogy, Geochemistry and Petrology </t>
  </si>
  <si>
    <t>University of Szeged, Szeged, Hungary</t>
  </si>
  <si>
    <t>May 13-14, 2021</t>
  </si>
  <si>
    <t>Inventory Management and Recordkeeping Practices of Paru-Paro Farms in the Province of Marinduque: Basis for Improved Financial Management Strategies</t>
  </si>
  <si>
    <t>Alfredo M. Ofrecio III</t>
  </si>
  <si>
    <t xml:space="preserve">Philippine Institute of Certified Public Accountants (PICPA Foundation, Inc.) National Association of Certified Public Accountants in Education </t>
  </si>
  <si>
    <t>via zoom</t>
  </si>
  <si>
    <t>May 14-15, 2021</t>
  </si>
  <si>
    <t xml:space="preserve">Flexible Blended Learning Experiences of Marinduque State College Students: Implications to the Development of English Language Learning Proficiency </t>
  </si>
  <si>
    <t xml:space="preserve">Nikka Mae J. Adling </t>
  </si>
  <si>
    <t>6th Regional Science and Technology Conference</t>
  </si>
  <si>
    <t>Marinduque State College via Zoom</t>
  </si>
  <si>
    <t>Na Dolores Na: Exploring the Awareness of Teenagers to their Barangay’s Origin</t>
  </si>
  <si>
    <t xml:space="preserve">Randy T. Nobleza*, Ronnie Mae P. Rullan and 
Queen Hyra Joy M. Naling </t>
  </si>
  <si>
    <t xml:space="preserve">Taza: Verity of the Myth and its Social Inferences to the Inhabitants of Barangay Tanza </t>
  </si>
  <si>
    <t>Randy T. Nobleza*, 
Gabrielle L. Ricafrente</t>
  </si>
  <si>
    <t>Validation and Acceptability of the Developed E-module in  Mathematics 9</t>
  </si>
  <si>
    <t>Jamieca M. Morales</t>
  </si>
  <si>
    <t xml:space="preserve">Spatial Variation of Macroinvertebrate Communities in Seagrass Habitats and Ecotones between Adjacent Habitats in Marinduque Island, Philippines </t>
  </si>
  <si>
    <t>Intensification of the Utilization of Coconut Husk in the Province of Marinduque</t>
  </si>
  <si>
    <t>Harvey A. Dulay,Doreen R. Mascareñas Shela May Morillo*, Rodel Manrique, Edmund Macapia, Ronamel Malco</t>
  </si>
  <si>
    <t>Holistic and Ecofriendly Actions with Locals towards Healthy Community (HEALTH Comm.) Programs in Philippines: An Impact Assessment</t>
  </si>
  <si>
    <t>Kane Carol T. Matibag</t>
  </si>
  <si>
    <t>Performance of the Barangay  Disaster Risk Reduction and  Management Committee in Island and Mainland Barangays in Marinduque</t>
  </si>
  <si>
    <t>Keam Eric L. Malabayabas</t>
  </si>
  <si>
    <t>Web-based Loan Management for Mogpog Multi-Purpose  Cooperative</t>
  </si>
  <si>
    <t>Eunice De luna- Malinao*, Jerome L. Alcala, John Cris E. Ortiz, Judith G. Montero, Riza G. Lacdao</t>
  </si>
  <si>
    <t>Parental Engagement in ICT Related subjects: A Case Study on the Role and Competencies of Parents in Children’s Learning amidst Pandemic</t>
  </si>
  <si>
    <t>Beneden Morong Logmao*, Arben A. Ornedo, Christine May L. Nabos, Ivy Joy N. Aguiflor</t>
  </si>
  <si>
    <t>National ICT Competency Standards (NICS) Basic Assessment on Selected Personnel in the Municipal Government of Boac, Marinduque</t>
  </si>
  <si>
    <t>Katrina Evangelista-De mesa</t>
  </si>
  <si>
    <t>Web-Based Monitoring and Controlling   System of Swine Feeding, Bathing, and Manure Cleaning for Marinduque Local Pig Farmers Using Arduino, Raspberry Pi and Internet of Things (IoT)</t>
  </si>
  <si>
    <t>Ana Fe N. Molato*, Bernard Allen Montalban, Danielle Magyaya,  
Angelica Montiano and Jonielyn Villaruel</t>
  </si>
  <si>
    <t>Doreen R. Mascareñas, Harvey A. Dulay, Jayson Loto, Ma. Edelwina M. Blasé, Gil Magdurulan, Desiree Anne M. Sto. Domingo*, Edmund Macapia, and  John Paul Mataya</t>
  </si>
  <si>
    <t xml:space="preserve">Subsistence of Arts and Cultural Heritage in the Island Province of Marinduque, Philippines: Education Challenges in the New Normal </t>
  </si>
  <si>
    <t>Rex Emmanuel L. Asuncion</t>
  </si>
  <si>
    <t xml:space="preserve">2nd International Research and Education  Summit (2nd IRES) </t>
  </si>
  <si>
    <t>July 24-26, 2021</t>
  </si>
  <si>
    <t>Mapping of Selected Social Practices as Intangible Cultural Heritage in Marinduque</t>
  </si>
  <si>
    <t>Bernadette N. Del Prado</t>
  </si>
  <si>
    <t>Exploring the Traditional Marindukanon Recreational Games as Input for Learning Module in  P.E. Based on the ASCP Whole Child Framework</t>
  </si>
  <si>
    <t>Genil S. Labaguis</t>
  </si>
  <si>
    <t>A Narrative Inquiry of Youth Engagement in Environmental Stewardship as Influenced by Social Actors</t>
  </si>
  <si>
    <t>Joshua Aaron M. Pagulayan</t>
  </si>
  <si>
    <t>Succession, Abundance, Severity of Damage, and Natural Enemies of Arthropod Pests Associated with Chrysanthemum (Dendranthema grandiflora Tzvelev)</t>
  </si>
  <si>
    <t>Adrian S. Mausig</t>
  </si>
  <si>
    <t>1st International Agriculture, Biosystems and Technology  Conference (1st IABT  Conference 2021)</t>
  </si>
  <si>
    <t>Tarlac  Agricultural University</t>
  </si>
  <si>
    <t>July 22-23, 2021</t>
  </si>
  <si>
    <t>Seagrass Gleaning Fisheries in Marinduque Island, Philippines: Socio-Ecological Approach</t>
  </si>
  <si>
    <t xml:space="preserve">International Multidisciplinary Research Colloquium (IMRC) </t>
  </si>
  <si>
    <t>President Ramon Magsaysay State University via online teleconferencing</t>
  </si>
  <si>
    <t>August 10-11, 2021</t>
  </si>
  <si>
    <t>Electro-Pneumatic Banana Slicing Machine</t>
  </si>
  <si>
    <t>Edgardo R. Laririt
Michael Angelo M. Dimaon
Jeffrey Lumagui</t>
  </si>
  <si>
    <t>Regional Invention Contest and Exhibits (RICE) –DOST-TAPI</t>
  </si>
  <si>
    <t>August 10-12, 2021</t>
  </si>
  <si>
    <t>Nipa Plantation and Bioethanol  Production Amidst the COVID-19 Pandemic: A Potential Sustainable Livelihood for the Local Community Partners</t>
  </si>
  <si>
    <t>Doreen R. Mascareñas
Harvey A. Dulay
Wilson Paez
Desiree Anne Sto.Domingo
Reyalyn V. Malapad</t>
  </si>
  <si>
    <t>2nd International Conference on Education, Environment and Agriculture (ICEEA2021)</t>
  </si>
  <si>
    <t>August 25-26, 2021</t>
  </si>
  <si>
    <t>Technological Capacity and Academic Compliance of Allied Health Students in Marinduque State College: Basis in the Crafting of Flexible Learning Guidelines</t>
  </si>
  <si>
    <t>Marvin P. Plata</t>
  </si>
  <si>
    <t xml:space="preserve">10th MHRDC Health Research Forum – MIMAROPA Health Research and Development Consortium </t>
  </si>
  <si>
    <t xml:space="preserve">via Zoom </t>
  </si>
  <si>
    <t>November 9-10, 2021</t>
  </si>
  <si>
    <t>Masid-Bakuna Kontra COVID-19: Vaccination Status among Students of Marinduque State College, Basis for Interventions</t>
  </si>
  <si>
    <t>Plata, Marvin P., 
M. C. Ocampo, 
J. R. Leaño, 
M. M. Manay-Reynoso,
 J. V. Malilay, 
M. D. Pardilla, 
Pajanustan, Gerald M</t>
  </si>
  <si>
    <t xml:space="preserve">Covid-19 Vaccination Hesitancy Survey in Marinduque Province </t>
  </si>
  <si>
    <t>Mascareñas, Harvey Dulay, Ryan Leaño, Diosdado P. Zulueta, Marilyn Mayores, Cherry Rose Mantala, Frederick Ciriaco, Julie Rodelas, Marvin Plata, Desiree Anne Sto. Domingo</t>
  </si>
  <si>
    <t>MSC produced alcohol-based hand sanitizer acceptability and perceived effectiveness of the product: A Frontliner’s perspective</t>
  </si>
  <si>
    <t>Doreen R. Mascareñas, Harvey A. Dulay, Shela May H. Morillo, Ronamel Malco, Karlo Reavin Manaois, John Christian Magcamit</t>
  </si>
  <si>
    <t>Financial Management Practices of Selected Agribusiness Enterprises in Marinduque</t>
  </si>
  <si>
    <t>3rd Global Agribusiness Management &amp; Entrepreneurship Conference  - UP Los Banos &amp; SEARCA</t>
  </si>
  <si>
    <t>November 18-19, 2021</t>
  </si>
  <si>
    <t>Technology Forum and Workshop on New Trends in  Agribusiness for Federation of Mogpog Association</t>
  </si>
  <si>
    <t>This activity is in partnership with DTI  -Negosyo Center for the Federation of Mogpog Association who are engaged in farming, livestock, coco candy production, coco jam, and bukayo production that aims to provide assistance to agripreneurs in Mogpog, Marinduque</t>
  </si>
  <si>
    <t>Federation of Mogpog Association, Civil Society Organization</t>
  </si>
  <si>
    <t>MSCCA Island and Archipelagic Studies/Island Studies, Living Heritage, Traditions,  and Archipelagic Network for Development (Island) Studies Center and Creative Hub</t>
  </si>
  <si>
    <t>Pambansang Kumperensya ng Pananaliksik sa Araling Pilipino</t>
  </si>
  <si>
    <t>Exploring Indigenous Commodities in the Locality: The Case of Arrowroot Industry of Marinduque</t>
  </si>
  <si>
    <t>5th International Research, Development and Extension (RDE) Management Congress and 30th Naitonal Philarm Convention</t>
  </si>
  <si>
    <t>December 9-10, 2021</t>
  </si>
  <si>
    <t>Entrepreneurial Mind Setting and Behavior Training</t>
  </si>
  <si>
    <t>This is a result of the research project about arrowroot in Marinduque in partnership with DA-BAR and was funded in 2022 by the DA-ACEF for the technology commercialization project having BAFA as the recipient</t>
  </si>
  <si>
    <t>Bahi Agriculture and Fisheries Association</t>
  </si>
  <si>
    <t>Arnolfo M. Monleon</t>
  </si>
  <si>
    <t xml:space="preserve">   Ongoing</t>
  </si>
  <si>
    <t>1st Bulacan Agricultural State College  (BASC) International Research Conference - Bulacan Agricultural State College</t>
  </si>
  <si>
    <t>Processing Production of Arrowroot Bagasse Pastries and Chewy Cookies</t>
  </si>
  <si>
    <t>Michelle L. Seño
Shecel Jann L. Lozano Jeremie R. Robles</t>
  </si>
  <si>
    <t xml:space="preserve">5th International Conference in Research, Education, Management,and the Social Sciences </t>
  </si>
  <si>
    <t>December 11-12, 2021</t>
  </si>
  <si>
    <t>Tracer Study of Bachelor of Science in Fisheries Graduates of Marinduque State College</t>
  </si>
  <si>
    <t>International Research Conference on Higher Education (IRCHE) – Polytechnic University of the Philippines</t>
  </si>
  <si>
    <t>December 13-16, 2021</t>
  </si>
  <si>
    <t>Business Diagnosis Framework: Basis for Designing Strategies for MSMEs</t>
  </si>
  <si>
    <t xml:space="preserve">Micro-enterprise Development Training </t>
  </si>
  <si>
    <t xml:space="preserve">This activity is part of the partnership with DSWD on Sustainable Livelihood Program in the province of Marinduque which aims to train beneficiaries under the leadership training and organizational component of the project. </t>
  </si>
  <si>
    <t>MSMEs in Buenavista, Marinduque</t>
  </si>
  <si>
    <t>Profiling The Rural, Urban And Rurban Characteristics Of The Province Of Marinduque</t>
  </si>
  <si>
    <t>7th Regional Science and Technology Conference</t>
  </si>
  <si>
    <t xml:space="preserve">December 15-16, 2021 </t>
  </si>
  <si>
    <t>Capacity Building Training Start Up Success: Nurturing an Entrepreneurial Mindset and Embodying Core Values</t>
  </si>
  <si>
    <t>This activity is part of the partnership with DSWD on Sustainable Livelihood Program in the province of Marinduque which aims to train beneficiaries in managing finances and enhancement of micro-enterprise operations.</t>
  </si>
  <si>
    <t>DSWD SLP beneficiaries</t>
  </si>
  <si>
    <t>Effects On The Academic Performance Of Selected Entrepreneurship Students In Marinduque State College Before And During The Covid-19 Pandemic</t>
  </si>
  <si>
    <t>Donabel T. Magahis</t>
  </si>
  <si>
    <t>Perception Of E-Wallets As The Mode Of Payment For Online Enrolment In Msc</t>
  </si>
  <si>
    <t>Sda-Base Monte Carlo Simulation For Road Project Scheduling</t>
  </si>
  <si>
    <t>Utilization Of Geotextile From Butuhan (Musa Balbisiana) Pseudo-Stem Fibers</t>
  </si>
  <si>
    <t>Valerie N. Linga, Rubicar L. Victorio, John Patrick M. Mandalihan, Wilmar R. Montemar, Kaye Ann Mae M. Ramos</t>
  </si>
  <si>
    <t>Digital Analysis On The Matureness Of Coconut Fruit Through Acoustic Classification And Processing: Basis For The Development Of Coconut Husk Maturity Testing Device</t>
  </si>
  <si>
    <t>Teodoro M. Ricamara</t>
  </si>
  <si>
    <t>Heritage Tourism Potential Of The Former Mining Site In Marinduque Island, Philippines</t>
  </si>
  <si>
    <t>Lenni Grace Labay Sapungan</t>
  </si>
  <si>
    <t>Level Of Satisfaction Of Barangay Pili, Mogpog On The Programs And Services Delivered By The Local Government Unit</t>
  </si>
  <si>
    <t>Generoso E. Udanga
Ronalyn Motol
Keisha Udanga</t>
  </si>
  <si>
    <t>Physical Environment Quality Of The Roll On/Roll-Off Transport Boats Serving The Marinduque-Lucena Route For Tourism Industry</t>
  </si>
  <si>
    <t>Tourism Marketing Practices Of Selected Beaches In Santa Cruz Marinduque: Basis For Marketing Plan</t>
  </si>
  <si>
    <t>Grace Joy Pastrana, Ronnielle Par, Angelica Rey, Jeanie May P. Palatino</t>
  </si>
  <si>
    <t>Tourism Marketing Practices Of Luzon Datum In Mogpog, Marinduque: Basis For Marketing Plan</t>
  </si>
  <si>
    <t>Jeiszel M. Milambiling, Merryrose Red Palma</t>
  </si>
  <si>
    <t>Needs, Wants And Intentional Factors Affecting Tourists To Return In Marinduque: Basis For Crafting A Sustainable Tourism Industry</t>
  </si>
  <si>
    <t>Lynle N. Mendoza</t>
  </si>
  <si>
    <t>Hanap-Bahay App: A Rental House Management Application</t>
  </si>
  <si>
    <t>Kierven A. Villaruel,
Bellie Joe M. Jandusay
Jonazelle M. Nambio
Felix Lazarus N. Limpiada
Jiezelle M. Gasoc</t>
  </si>
  <si>
    <t>N</t>
  </si>
  <si>
    <t>D</t>
  </si>
  <si>
    <t>Completed Research Outputs in 2023:</t>
  </si>
  <si>
    <r>
      <rPr>
        <b/>
        <sz val="10"/>
        <color theme="1"/>
        <rFont val="Tahoma"/>
        <family val="2"/>
      </rPr>
      <t xml:space="preserve">Research Outputs </t>
    </r>
    <r>
      <rPr>
        <b/>
        <u/>
        <sz val="10"/>
        <color theme="1"/>
        <rFont val="Tahoma"/>
        <family val="2"/>
      </rPr>
      <t>Presented</t>
    </r>
    <r>
      <rPr>
        <b/>
        <sz val="10"/>
        <color theme="1"/>
        <rFont val="Tahoma"/>
        <family val="2"/>
      </rPr>
      <t xml:space="preserve"> in 2023:</t>
    </r>
  </si>
  <si>
    <r>
      <rPr>
        <b/>
        <sz val="10"/>
        <color theme="1"/>
        <rFont val="Tahoma"/>
        <family val="2"/>
      </rPr>
      <t xml:space="preserve">Total Completed Research Outputs in the </t>
    </r>
    <r>
      <rPr>
        <b/>
        <u/>
        <sz val="10"/>
        <color theme="1"/>
        <rFont val="Tahoma"/>
        <family val="2"/>
      </rPr>
      <t>Past Three (3) Years</t>
    </r>
    <r>
      <rPr>
        <b/>
        <sz val="10"/>
        <color theme="1"/>
        <rFont val="Tahoma"/>
        <family val="2"/>
      </rPr>
      <t>:</t>
    </r>
  </si>
  <si>
    <r>
      <rPr>
        <b/>
        <sz val="10"/>
        <color theme="1"/>
        <rFont val="Tahoma"/>
        <family val="2"/>
      </rPr>
      <t xml:space="preserve">Research Outputs </t>
    </r>
    <r>
      <rPr>
        <b/>
        <u/>
        <sz val="10"/>
        <color theme="1"/>
        <rFont val="Tahoma"/>
        <family val="2"/>
      </rPr>
      <t>Published</t>
    </r>
    <r>
      <rPr>
        <b/>
        <sz val="10"/>
        <color theme="1"/>
        <rFont val="Tahoma"/>
        <family val="2"/>
      </rPr>
      <t xml:space="preserve"> in 2023:</t>
    </r>
  </si>
  <si>
    <r>
      <rPr>
        <b/>
        <sz val="10"/>
        <color theme="1"/>
        <rFont val="Tahoma"/>
        <family val="2"/>
      </rPr>
      <t xml:space="preserve">Research Outputs </t>
    </r>
    <r>
      <rPr>
        <b/>
        <u/>
        <sz val="10"/>
        <color theme="1"/>
        <rFont val="Tahoma"/>
        <family val="2"/>
      </rPr>
      <t>Utilized</t>
    </r>
    <r>
      <rPr>
        <b/>
        <sz val="10"/>
        <color theme="1"/>
        <rFont val="Tahoma"/>
        <family val="2"/>
      </rPr>
      <t xml:space="preserve"> in 2023:</t>
    </r>
  </si>
  <si>
    <t>Dr. MA. EDELWINA M. BLASÉ</t>
  </si>
  <si>
    <t>Vice President for Research, Development, Extension and Training</t>
  </si>
  <si>
    <r>
      <rPr>
        <b/>
        <sz val="10"/>
        <color theme="1"/>
        <rFont val="Tahoma"/>
        <family val="2"/>
      </rPr>
      <t xml:space="preserve">Output Indicator 1: </t>
    </r>
    <r>
      <rPr>
        <sz val="10"/>
        <color theme="1"/>
        <rFont val="Tahoma"/>
        <family val="2"/>
      </rPr>
      <t xml:space="preserve">Number of trainees weighted by the length of training
</t>
    </r>
    <r>
      <rPr>
        <b/>
        <sz val="10"/>
        <color theme="1"/>
        <rFont val="Tahoma"/>
        <family val="2"/>
      </rPr>
      <t xml:space="preserve">
Output Indicator 3: </t>
    </r>
    <r>
      <rPr>
        <sz val="10"/>
        <color theme="1"/>
        <rFont val="Tahoma"/>
        <family val="2"/>
      </rPr>
      <t>Percentage of beneficiaries who rate the training course/s as satisfactory or higher in terms of quality and relevance</t>
    </r>
  </si>
  <si>
    <r>
      <rPr>
        <sz val="10"/>
        <color theme="1"/>
        <rFont val="Tahoma"/>
        <family val="2"/>
      </rPr>
      <t xml:space="preserve">In </t>
    </r>
    <r>
      <rPr>
        <b/>
        <sz val="10"/>
        <color theme="1"/>
        <rFont val="Tahoma"/>
        <family val="2"/>
      </rPr>
      <t>Column 1</t>
    </r>
    <r>
      <rPr>
        <sz val="10"/>
        <color theme="1"/>
        <rFont val="Tahoma"/>
        <family val="2"/>
      </rPr>
      <t xml:space="preserve">, list all training programs/activities of extension programs conducted within the year.
Indicate the inclusive dates for each training program in </t>
    </r>
    <r>
      <rPr>
        <b/>
        <sz val="10"/>
        <color theme="1"/>
        <rFont val="Tahoma"/>
        <family val="2"/>
      </rPr>
      <t>Column 2</t>
    </r>
    <r>
      <rPr>
        <sz val="10"/>
        <color theme="1"/>
        <rFont val="Tahoma"/>
        <family val="2"/>
      </rPr>
      <t xml:space="preserve">.
In </t>
    </r>
    <r>
      <rPr>
        <b/>
        <sz val="10"/>
        <color theme="1"/>
        <rFont val="Tahoma"/>
        <family val="2"/>
      </rPr>
      <t>Column 3</t>
    </r>
    <r>
      <rPr>
        <sz val="10"/>
        <color theme="1"/>
        <rFont val="Tahoma"/>
        <family val="2"/>
      </rPr>
      <t xml:space="preserve"> Input the duration of each training program in hours. The </t>
    </r>
    <r>
      <rPr>
        <b/>
        <i/>
        <sz val="10"/>
        <color theme="1"/>
        <rFont val="Tahoma"/>
        <family val="2"/>
      </rPr>
      <t>Weights per Duration</t>
    </r>
    <r>
      <rPr>
        <sz val="10"/>
        <color theme="1"/>
        <rFont val="Tahoma"/>
        <family val="2"/>
      </rPr>
      <t xml:space="preserve"> column is computed automatically. Please do not overwrite any cell in this column.
For each program, input the number of trainees who attended in </t>
    </r>
    <r>
      <rPr>
        <b/>
        <sz val="10"/>
        <color theme="1"/>
        <rFont val="Tahoma"/>
        <family val="2"/>
      </rPr>
      <t>Column 4</t>
    </r>
    <r>
      <rPr>
        <sz val="10"/>
        <color theme="1"/>
        <rFont val="Tahoma"/>
        <family val="2"/>
      </rPr>
      <t xml:space="preserve">.
</t>
    </r>
    <r>
      <rPr>
        <b/>
        <sz val="10"/>
        <color theme="1"/>
        <rFont val="Tahoma"/>
        <family val="2"/>
      </rPr>
      <t>Column 5</t>
    </r>
    <r>
      <rPr>
        <sz val="10"/>
        <color theme="1"/>
        <rFont val="Tahoma"/>
        <family val="2"/>
      </rPr>
      <t xml:space="preserve"> is computed automatically. Please do not overwrite any cell in this column.
In </t>
    </r>
    <r>
      <rPr>
        <b/>
        <sz val="10"/>
        <color theme="1"/>
        <rFont val="Tahoma"/>
        <family val="2"/>
      </rPr>
      <t>Column 6</t>
    </r>
    <r>
      <rPr>
        <sz val="10"/>
        <color theme="1"/>
        <rFont val="Tahoma"/>
        <family val="2"/>
      </rPr>
      <t xml:space="preserve"> and </t>
    </r>
    <r>
      <rPr>
        <b/>
        <sz val="10"/>
        <color theme="1"/>
        <rFont val="Tahoma"/>
        <family val="2"/>
      </rPr>
      <t>Column 7</t>
    </r>
    <r>
      <rPr>
        <sz val="10"/>
        <color theme="1"/>
        <rFont val="Tahoma"/>
        <family val="2"/>
      </rPr>
      <t>, encode the number of trainees surveyed towards the quality and relevance of the training program attended.</t>
    </r>
  </si>
  <si>
    <t xml:space="preserve">Output Indicator 1 : Number of trainees weighted by the length of training   Output Indicator 3 : Percentage of beneficiaries who rate the training course/s as satisfactory or higher in terms of quality and relevance 
</t>
  </si>
  <si>
    <t xml:space="preserve">1) Training program 2) Attendance sheets
3) Reports / other documentations
4) Sample of accomplished satisfaction survey
</t>
  </si>
  <si>
    <t>Title of Training</t>
  </si>
  <si>
    <t>Inclusive Dates</t>
  </si>
  <si>
    <t>Duration in Terms of Number of Hours</t>
  </si>
  <si>
    <t>Weight per Duration</t>
  </si>
  <si>
    <t>Number of Trainees</t>
  </si>
  <si>
    <t>Number of Trainees x Weight per Duration</t>
  </si>
  <si>
    <t>Number of Trainees Surveyed</t>
  </si>
  <si>
    <t>Quality and Relevance Rating</t>
  </si>
  <si>
    <r>
      <rPr>
        <b/>
        <sz val="10"/>
        <color rgb="FFFF0000"/>
        <rFont val="Tahoma"/>
        <family val="2"/>
      </rPr>
      <t xml:space="preserve">Start Date
</t>
    </r>
    <r>
      <rPr>
        <i/>
        <sz val="10"/>
        <color rgb="FFFF0000"/>
        <rFont val="Tahoma"/>
        <family val="2"/>
      </rPr>
      <t>(MMM-DD-YYYY)</t>
    </r>
  </si>
  <si>
    <r>
      <rPr>
        <b/>
        <sz val="10"/>
        <color rgb="FFFF0000"/>
        <rFont val="Tahoma"/>
        <family val="2"/>
      </rPr>
      <t xml:space="preserve">End Date
</t>
    </r>
    <r>
      <rPr>
        <i/>
        <sz val="10"/>
        <color rgb="FFFF0000"/>
        <rFont val="Tahoma"/>
        <family val="2"/>
      </rPr>
      <t>(MMM-DD-YYYY)</t>
    </r>
  </si>
  <si>
    <t>P</t>
  </si>
  <si>
    <t>F</t>
  </si>
  <si>
    <t>S</t>
  </si>
  <si>
    <t>VS</t>
  </si>
  <si>
    <t>Community and Training Needs Assessment</t>
  </si>
  <si>
    <t>Hands-on Training on Trichoderma Prodcution and Application</t>
  </si>
  <si>
    <t>Hands-on Training on Table Skirting and Paper Mache</t>
  </si>
  <si>
    <t>Training on Harvesting, Post-harvest handling, and Processing of Coffee</t>
  </si>
  <si>
    <t>Agri-Financial Management and Literacy Training</t>
  </si>
  <si>
    <r>
      <rPr>
        <b/>
        <sz val="10"/>
        <color theme="1"/>
        <rFont val="Tahoma"/>
        <family val="2"/>
      </rPr>
      <t xml:space="preserve">Start Date
</t>
    </r>
    <r>
      <rPr>
        <i/>
        <sz val="10"/>
        <color theme="1"/>
        <rFont val="Tahoma"/>
        <family val="2"/>
      </rPr>
      <t>(MMM-DD-YYYY)</t>
    </r>
  </si>
  <si>
    <r>
      <rPr>
        <b/>
        <sz val="10"/>
        <color theme="1"/>
        <rFont val="Tahoma"/>
        <family val="2"/>
      </rPr>
      <t xml:space="preserve">End Date
</t>
    </r>
    <r>
      <rPr>
        <i/>
        <sz val="10"/>
        <color theme="1"/>
        <rFont val="Tahoma"/>
        <family val="2"/>
      </rPr>
      <t>(MMM-DD-YYYY)</t>
    </r>
  </si>
  <si>
    <t>The eSalba for Disaster and Health Risks Reduction</t>
  </si>
  <si>
    <t>Asian Waterbird Census 2023</t>
  </si>
  <si>
    <t>Regular Protected Area Management Board (PAMB) of the Marinduque Wildlife Sactuary (MWS) Meeting</t>
  </si>
  <si>
    <t>Shing-A-ling Snack: Product Innovation &amp; Marketing  Strategies</t>
  </si>
  <si>
    <t>Distribution of Farm Materials to Seaweed Farmers</t>
  </si>
  <si>
    <t>Micro-Enterprise Development Training</t>
  </si>
  <si>
    <r>
      <rPr>
        <i/>
        <sz val="10"/>
        <color rgb="FF000000"/>
        <rFont val="Tahoma"/>
        <family val="2"/>
      </rPr>
      <t>Marinduque Bamboo Industry Development Council Reorganization and 1</t>
    </r>
    <r>
      <rPr>
        <i/>
        <vertAlign val="superscript"/>
        <sz val="10"/>
        <color rgb="FF000000"/>
        <rFont val="Tahoma"/>
        <family val="2"/>
      </rPr>
      <t>st</t>
    </r>
    <r>
      <rPr>
        <i/>
        <sz val="10"/>
        <color rgb="FF000000"/>
        <rFont val="Tahoma"/>
        <family val="2"/>
      </rPr>
      <t xml:space="preserve"> Quarter Meeting for 2023</t>
    </r>
  </si>
  <si>
    <t>Consultative Meeting on the Status of Bagumbungan Cave</t>
  </si>
  <si>
    <t>Technology Forum and Workshop on New Trends in Agribusiness for Federation of Mogpog Association</t>
  </si>
  <si>
    <r>
      <rPr>
        <i/>
        <sz val="10"/>
        <color rgb="FF000000"/>
        <rFont val="Tahoma"/>
        <family val="2"/>
      </rPr>
      <t>1</t>
    </r>
    <r>
      <rPr>
        <i/>
        <vertAlign val="superscript"/>
        <sz val="10"/>
        <color rgb="FF000000"/>
        <rFont val="Tahoma"/>
        <family val="2"/>
      </rPr>
      <t>ST</t>
    </r>
    <r>
      <rPr>
        <i/>
        <sz val="10"/>
        <color rgb="FF000000"/>
        <rFont val="Tahoma"/>
        <family val="2"/>
      </rPr>
      <t xml:space="preserve"> CY 2023 TWG on Resource Management Meeting cum Orientation on the Formation of  Watershed Management Council (WMC)</t>
    </r>
  </si>
  <si>
    <t>Roll-out of the River Basin Integrated Information System (RBIIMS)</t>
  </si>
  <si>
    <t>2nd Quarter Protected PAMB En Banc Meeting of Marinduque Wildlife Sanctuary - Protected Area Management Board (MWS-PAMB)</t>
  </si>
  <si>
    <t>Planning Workshop for the Proposed Agri-Ecotourism Farm</t>
  </si>
  <si>
    <t>Empowering Groups' Leadership Skills Training; Partner</t>
  </si>
  <si>
    <t>Capacity Enhancement Training on Fruit and Vegetable Drying using Electric Dehydrator Machine with Orientation and Workshop on Food Safety</t>
  </si>
  <si>
    <t>Marinduque Wildlife Sanctuary - Protected Area Management Board (MWS) -PAMB Special Meeting</t>
  </si>
  <si>
    <t>Masaganang Agrikultura, Maunlad na Ekonomiya</t>
  </si>
  <si>
    <t>Regional Monitoring and Validation of the Nipa Stands in Marinduque Under DENR-MSC ENGP</t>
  </si>
  <si>
    <t>Coastal Clean up and Tree Planting in Celebration of World Ocean Day and Coral Triangle Day</t>
  </si>
  <si>
    <t>Training on Free-Range Chicken Production and Management</t>
  </si>
  <si>
    <t>Meeting for the Sub-Agreement re. GMAP Marinduque</t>
  </si>
  <si>
    <t>Refresher Course for the Effective Management of Marinduque Wildlife Sanctuary for PAMB Members, PAMO and TSD Staff</t>
  </si>
  <si>
    <t xml:space="preserve">Special PCAT Meeting </t>
  </si>
  <si>
    <t xml:space="preserve">Training on Bamboo Propagation and Production </t>
  </si>
  <si>
    <t>Project Orientation and Strategic Planning (Arrowroot Project)</t>
  </si>
  <si>
    <t>Focus Group Discussion Biodiversity Monitoring System, Marinduque Wildlife Sanctuary</t>
  </si>
  <si>
    <t xml:space="preserve">Technology Training on Free Range Chicken Production and  Management </t>
  </si>
  <si>
    <t>Site/Land Preparation Activities</t>
  </si>
  <si>
    <t>Planting Activities</t>
  </si>
  <si>
    <t>Third  Protected Area Management Board (PAMB) of the Marinduque Wildlife Sanctuary  (MWS) Meeting</t>
  </si>
  <si>
    <t>Native Pig Program Terminal Review Meeting</t>
  </si>
  <si>
    <t>Report of Profiling</t>
  </si>
  <si>
    <t>8/14, 21, &amp; 22, 2023</t>
  </si>
  <si>
    <t>Community Outreach</t>
  </si>
  <si>
    <t>8/30-31/2023</t>
  </si>
  <si>
    <t>Training Workshop on Financial Literacy</t>
  </si>
  <si>
    <t>Capacity Building of the Protected Area Management Office- Marrinduque Wildlife Sanctuary (PAMO-MWS) PAMB Members, PAMO and TSD Staff/ Personnel</t>
  </si>
  <si>
    <t>Capacity-Building Training “Start-Up Success: Nurturing an Entrepreneurial Mindset and Embodying Core Values”</t>
  </si>
  <si>
    <t>Free range chicken production</t>
  </si>
  <si>
    <t>Capacitating Educators in Research Areas and Challenges</t>
  </si>
  <si>
    <t>Arrowroot Plantation and Management Training</t>
  </si>
  <si>
    <t>Processing Productin of Arrowroot Bagasse Pastries Chewy Cookies and Brownies</t>
  </si>
  <si>
    <t>OVERALL</t>
  </si>
  <si>
    <r>
      <rPr>
        <b/>
        <sz val="10"/>
        <color theme="1"/>
        <rFont val="Tahoma"/>
        <family val="2"/>
      </rPr>
      <t xml:space="preserve">Output Indicator 2: </t>
    </r>
    <r>
      <rPr>
        <sz val="10"/>
        <color theme="1"/>
        <rFont val="Tahoma"/>
        <family val="2"/>
      </rPr>
      <t>Number of extension programs organized and supported consistent with the SUC's mandated and priority programs</t>
    </r>
  </si>
  <si>
    <r>
      <rPr>
        <sz val="10"/>
        <color theme="1"/>
        <rFont val="Tahoma"/>
        <family val="2"/>
      </rPr>
      <t xml:space="preserve">In </t>
    </r>
    <r>
      <rPr>
        <b/>
        <sz val="10"/>
        <color theme="1"/>
        <rFont val="Tahoma"/>
        <family val="2"/>
      </rPr>
      <t>Column 1</t>
    </r>
    <r>
      <rPr>
        <sz val="10"/>
        <color theme="1"/>
        <rFont val="Tahoma"/>
        <family val="2"/>
      </rPr>
      <t xml:space="preserve">, list down the mandated/priority degree programs with extension programs.
In </t>
    </r>
    <r>
      <rPr>
        <b/>
        <sz val="10"/>
        <color theme="1"/>
        <rFont val="Tahoma"/>
        <family val="2"/>
      </rPr>
      <t>Column 2</t>
    </r>
    <r>
      <rPr>
        <sz val="10"/>
        <color theme="1"/>
        <rFont val="Tahoma"/>
        <family val="2"/>
      </rPr>
      <t xml:space="preserve">, indicate the title of active extension programs aligned with Column 1.
Provide the effective period of extension programs in </t>
    </r>
    <r>
      <rPr>
        <b/>
        <sz val="10"/>
        <color theme="1"/>
        <rFont val="Tahoma"/>
        <family val="2"/>
      </rPr>
      <t>Column 3</t>
    </r>
    <r>
      <rPr>
        <sz val="10"/>
        <color theme="1"/>
        <rFont val="Tahoma"/>
        <family val="2"/>
      </rPr>
      <t>.</t>
    </r>
  </si>
  <si>
    <t>Output Indicator 2 : Number of extension programs organized and supported consistent with the SUC's mandated and priority programs</t>
  </si>
  <si>
    <t xml:space="preserve">1) Extension reports describing the program framework and actual implementation  2) MOUs/MOAs
</t>
  </si>
  <si>
    <t>Mandated / Priority Program/s</t>
  </si>
  <si>
    <t>Extension Program</t>
  </si>
  <si>
    <r>
      <rPr>
        <b/>
        <sz val="10"/>
        <color rgb="FFFF0000"/>
        <rFont val="Tahoma"/>
        <family val="2"/>
      </rPr>
      <t xml:space="preserve">Start Date
</t>
    </r>
    <r>
      <rPr>
        <sz val="10"/>
        <color rgb="FFFF0000"/>
        <rFont val="Tahoma"/>
        <family val="2"/>
      </rPr>
      <t>(MMM-DD-YYYY)</t>
    </r>
  </si>
  <si>
    <r>
      <rPr>
        <b/>
        <sz val="10"/>
        <color rgb="FFFF0000"/>
        <rFont val="Tahoma"/>
        <family val="2"/>
      </rPr>
      <t xml:space="preserve">End Date
</t>
    </r>
    <r>
      <rPr>
        <sz val="10"/>
        <color rgb="FFFF0000"/>
        <rFont val="Tahoma"/>
        <family val="2"/>
      </rPr>
      <t>(MMM-DD-YYYY)</t>
    </r>
  </si>
  <si>
    <t>Bachelor of Science in Agriculture; Bachelor of Science in Agribusiness</t>
  </si>
  <si>
    <t>Processing of Coffee</t>
  </si>
  <si>
    <t>Bachelor of Science in Agribusiness</t>
  </si>
  <si>
    <t>Bachelor of Science in Industrial Technology; Bachelor of Science in Business Administration</t>
  </si>
  <si>
    <t>Utilization of Technology in Small Businesses</t>
  </si>
  <si>
    <t>Computer Literacy Campaign in Barangays</t>
  </si>
  <si>
    <t>Training Series for Local Entrepreneurs</t>
  </si>
  <si>
    <r>
      <rPr>
        <b/>
        <sz val="10"/>
        <color theme="1"/>
        <rFont val="Tahoma"/>
        <family val="2"/>
      </rPr>
      <t xml:space="preserve">Start Date
</t>
    </r>
    <r>
      <rPr>
        <i/>
        <sz val="10"/>
        <color theme="1"/>
        <rFont val="Tahoma"/>
        <family val="2"/>
      </rPr>
      <t>(MMM-DD-YYYY)</t>
    </r>
  </si>
  <si>
    <r>
      <rPr>
        <b/>
        <sz val="10"/>
        <color theme="1"/>
        <rFont val="Tahoma"/>
        <family val="2"/>
      </rPr>
      <t xml:space="preserve">End Date
</t>
    </r>
    <r>
      <rPr>
        <i/>
        <sz val="10"/>
        <color theme="1"/>
        <rFont val="Tahoma"/>
        <family val="2"/>
      </rPr>
      <t>(MMM-DD-YYYY)</t>
    </r>
  </si>
  <si>
    <t>Bachelor of Science in Food Technology</t>
  </si>
  <si>
    <t>MAED in Educational Management</t>
  </si>
  <si>
    <t xml:space="preserve">Bachelor of Science in Entrepreneurship </t>
  </si>
  <si>
    <t>Processing Production of Arrowroot Bagasse Pastries Chewy Cookies and Brownies</t>
  </si>
  <si>
    <t>Total Number of Extension Programs:</t>
  </si>
  <si>
    <r>
      <rPr>
        <b/>
        <sz val="10"/>
        <color theme="1"/>
        <rFont val="Tahoma"/>
        <family val="2"/>
      </rPr>
      <t xml:space="preserve">Outcome Indicator 1: </t>
    </r>
    <r>
      <rPr>
        <sz val="10"/>
        <color theme="1"/>
        <rFont val="Tahoma"/>
        <family val="2"/>
      </rPr>
      <t>Number of active partnerships with LGUs, industries, NGOs, NGAs, SMEs, and other stakeholders as a result of extension activities.</t>
    </r>
  </si>
  <si>
    <r>
      <rPr>
        <sz val="10"/>
        <color theme="1"/>
        <rFont val="Tahoma"/>
        <family val="2"/>
      </rPr>
      <t xml:space="preserve">In </t>
    </r>
    <r>
      <rPr>
        <b/>
        <sz val="10"/>
        <color theme="1"/>
        <rFont val="Tahoma"/>
        <family val="2"/>
      </rPr>
      <t>Column 1</t>
    </r>
    <r>
      <rPr>
        <sz val="10"/>
        <color theme="1"/>
        <rFont val="Tahoma"/>
        <family val="2"/>
      </rPr>
      <t xml:space="preserve">, list down agencies or industries engaged in active partnership with the institution.
Aligned with Column 1, provide the titles of active extension programs in </t>
    </r>
    <r>
      <rPr>
        <b/>
        <sz val="10"/>
        <color theme="1"/>
        <rFont val="Tahoma"/>
        <family val="2"/>
      </rPr>
      <t>Column 2</t>
    </r>
    <r>
      <rPr>
        <sz val="10"/>
        <color theme="1"/>
        <rFont val="Tahoma"/>
        <family val="2"/>
      </rPr>
      <t xml:space="preserve">.
In </t>
    </r>
    <r>
      <rPr>
        <b/>
        <sz val="10"/>
        <color theme="1"/>
        <rFont val="Tahoma"/>
        <family val="2"/>
      </rPr>
      <t>Column 3</t>
    </r>
    <r>
      <rPr>
        <sz val="10"/>
        <color theme="1"/>
        <rFont val="Tahoma"/>
        <family val="2"/>
      </rPr>
      <t>, input the inclusive dates of each extension program.</t>
    </r>
  </si>
  <si>
    <t>Outcome Indicator : Number of active partnerships with LGUs, industries, NGA, SMEs, and other stakeholders as a result of extension activities</t>
  </si>
  <si>
    <t xml:space="preserve">1) Extension reports 2) MOUs/MOAs 3) Certification from SME, NGA, industries, other stakeholders
</t>
  </si>
  <si>
    <t>Partner LGU /Community/ Industry / SMEs / Private or Public Agencies / NGOs</t>
  </si>
  <si>
    <t>Extension Program / Activities</t>
  </si>
  <si>
    <r>
      <rPr>
        <b/>
        <sz val="10"/>
        <color rgb="FFFF0000"/>
        <rFont val="Tahoma"/>
        <family val="2"/>
      </rPr>
      <t xml:space="preserve">Start Date
</t>
    </r>
    <r>
      <rPr>
        <sz val="10"/>
        <color rgb="FFFF0000"/>
        <rFont val="Tahoma"/>
        <family val="2"/>
      </rPr>
      <t>(MMM-DD-YYYY)</t>
    </r>
  </si>
  <si>
    <r>
      <rPr>
        <b/>
        <sz val="10"/>
        <color rgb="FFFF0000"/>
        <rFont val="Tahoma"/>
        <family val="2"/>
      </rPr>
      <t xml:space="preserve">End Date
</t>
    </r>
    <r>
      <rPr>
        <sz val="10"/>
        <color rgb="FFFF0000"/>
        <rFont val="Tahoma"/>
        <family val="2"/>
      </rPr>
      <t>(MMM-DD-YYYY)</t>
    </r>
  </si>
  <si>
    <t>Local Farmers of Barangay A</t>
  </si>
  <si>
    <t>Barangay Official and SK Federation of Barangay A</t>
  </si>
  <si>
    <t>Hands on Training on Table skirting and paper mache</t>
  </si>
  <si>
    <t>Landbank of the Philippines Foundation Incorporated; Local Farmers of Barangay B; Local Farmers of Barangay C; Local Government Unit of the Municipality of ABC</t>
  </si>
  <si>
    <t>Financial Literacy Outreach Program for Farmers</t>
  </si>
  <si>
    <r>
      <rPr>
        <b/>
        <sz val="10"/>
        <color theme="1"/>
        <rFont val="Tahoma"/>
        <family val="2"/>
      </rPr>
      <t xml:space="preserve">Start Date
</t>
    </r>
    <r>
      <rPr>
        <sz val="10"/>
        <color theme="1"/>
        <rFont val="Tahoma"/>
        <family val="2"/>
      </rPr>
      <t>(MMM-DD-YYYY)</t>
    </r>
  </si>
  <si>
    <r>
      <rPr>
        <b/>
        <sz val="10"/>
        <color theme="1"/>
        <rFont val="Tahoma"/>
        <family val="2"/>
      </rPr>
      <t xml:space="preserve">End Date
</t>
    </r>
    <r>
      <rPr>
        <sz val="10"/>
        <color theme="1"/>
        <rFont val="Tahoma"/>
        <family val="2"/>
      </rPr>
      <t>(MMM-DD-YYYY)</t>
    </r>
  </si>
  <si>
    <t>LGU Boac</t>
  </si>
  <si>
    <t>LGU Gasan</t>
  </si>
  <si>
    <t xml:space="preserve">LGU Mogpog, </t>
  </si>
  <si>
    <t>LGU Torrijos</t>
  </si>
  <si>
    <t>LGU Buenavista</t>
  </si>
  <si>
    <t>LGU  Sta. Cruz,</t>
  </si>
  <si>
    <t>MAPUA</t>
  </si>
  <si>
    <r>
      <rPr>
        <sz val="11"/>
        <color rgb="FF000000"/>
        <rFont val="Times New Roman"/>
        <family val="1"/>
      </rPr>
      <t>Farmer Association</t>
    </r>
  </si>
  <si>
    <r>
      <rPr>
        <sz val="9"/>
        <color rgb="FF0D0D0D"/>
        <rFont val="Times New Roman"/>
        <family val="1"/>
      </rPr>
      <t>Free range chicken production</t>
    </r>
  </si>
  <si>
    <r>
      <rPr>
        <sz val="9"/>
        <color rgb="FF0D0D0D"/>
        <rFont val="Times New Roman"/>
        <family val="1"/>
      </rPr>
      <t>Free range chicken production</t>
    </r>
  </si>
  <si>
    <t>DENR</t>
  </si>
  <si>
    <t>MAO</t>
  </si>
  <si>
    <t>Samahan ng Maliliit na Mangingisda ng Brgy. Gaspar Island</t>
  </si>
  <si>
    <t>Report Profiling</t>
  </si>
  <si>
    <t>Community Outreach of MSC Gasan</t>
  </si>
  <si>
    <t>Samahan ng Maliliit na Mangingisda Brgy. Yook</t>
  </si>
  <si>
    <t>Samahan ng Maliliit na Mangingisda Brgy.Daykitin</t>
  </si>
  <si>
    <t>Samahan ng Maliliit na Mangingisda Brgy. Caballero</t>
  </si>
  <si>
    <t>DSWD</t>
  </si>
  <si>
    <t>DTI</t>
  </si>
  <si>
    <r>
      <rPr>
        <sz val="9"/>
        <color rgb="FF000000"/>
        <rFont val="Times New Roman"/>
        <family val="1"/>
      </rPr>
      <t>Marinduque Bamboo Industry Development Council Reorganization and 1</t>
    </r>
    <r>
      <rPr>
        <vertAlign val="superscript"/>
        <sz val="9"/>
        <color rgb="FF000000"/>
        <rFont val="Times New Roman"/>
        <family val="1"/>
      </rPr>
      <t>st</t>
    </r>
    <r>
      <rPr>
        <sz val="9"/>
        <color rgb="FF000000"/>
        <rFont val="Times New Roman"/>
        <family val="1"/>
      </rPr>
      <t xml:space="preserve"> Quarter Meeting for 2023</t>
    </r>
  </si>
  <si>
    <t>PNP</t>
  </si>
  <si>
    <t>Samahan ng mga Maghihipon sa Tabionan</t>
  </si>
  <si>
    <t>DPWH</t>
  </si>
  <si>
    <t>Oragnization: Katiwala ng Malaking Inalang</t>
  </si>
  <si>
    <t>University of the Philippines</t>
  </si>
  <si>
    <t>TWG-WRM DENR IVB</t>
  </si>
  <si>
    <r>
      <rPr>
        <sz val="9"/>
        <color rgb="FF000000"/>
        <rFont val="Times New Roman"/>
        <family val="1"/>
      </rPr>
      <t>1</t>
    </r>
    <r>
      <rPr>
        <vertAlign val="superscript"/>
        <sz val="9"/>
        <color rgb="FF000000"/>
        <rFont val="Times New Roman"/>
        <family val="1"/>
      </rPr>
      <t>ST</t>
    </r>
    <r>
      <rPr>
        <sz val="9"/>
        <color rgb="FF000000"/>
        <rFont val="Times New Roman"/>
        <family val="1"/>
      </rPr>
      <t xml:space="preserve"> CY 2023 TWG on Resource Management Meeting cum Orientation on the Formation of  Watershed Management Council (WMC)</t>
    </r>
  </si>
  <si>
    <t xml:space="preserve">Roll-out of the River Basin Integrated Information System (RBIIMS) </t>
  </si>
  <si>
    <t>DOST</t>
  </si>
  <si>
    <t>BAFA</t>
  </si>
  <si>
    <t>Total Number of Active Partnerships: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</si>
</sst>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mmm&quot;-&quot;yyyy"/>
    <numFmt numFmtId="165" formatCode="mm/dd/yy"/>
    <numFmt numFmtId="166" formatCode="mmm&quot;-&quot;dd&quot;-&quot;yyyy"/>
    <numFmt numFmtId="167" formatCode="mmm\-d\-yyyy"/>
    <numFmt numFmtId="168" formatCode="mmm&quot;-&quot;dd&quot;-&quot;yy"/>
    <numFmt numFmtId="169" formatCode="m/d/yyyy"/>
  </numFmts>
  <fonts count="68">
    <font>
      <sz val="10"/>
      <color rgb="FF000000"/>
      <name val="Arial"/>
      <scheme val="minor"/>
    </font>
    <font>
      <b/>
      <sz val="11"/>
      <color theme="1"/>
      <name val="Arial"/>
      <family val="2"/>
    </font>
    <font>
      <sz val="10"/>
      <name val="Arial"/>
      <family val="2"/>
    </font>
    <font>
      <b/>
      <sz val="11"/>
      <color rgb="FFFFFFFF"/>
      <name val="Arial"/>
      <family val="2"/>
    </font>
    <font>
      <sz val="10"/>
      <color rgb="FFFFFFFF"/>
      <name val="Arial"/>
      <family val="2"/>
    </font>
    <font>
      <b/>
      <sz val="11"/>
      <color rgb="FF000000"/>
      <name val="Arial"/>
      <family val="2"/>
    </font>
    <font>
      <sz val="11"/>
      <color rgb="FF000000"/>
      <name val="Arial"/>
      <family val="2"/>
    </font>
    <font>
      <sz val="11"/>
      <color theme="1"/>
      <name val="Arial"/>
      <family val="2"/>
    </font>
    <font>
      <i/>
      <sz val="11"/>
      <color rgb="FF000000"/>
      <name val="Arial"/>
      <family val="2"/>
    </font>
    <font>
      <sz val="10"/>
      <color theme="1"/>
      <name val="Arial"/>
      <family val="2"/>
    </font>
    <font>
      <b/>
      <sz val="10"/>
      <color rgb="FF000000"/>
      <name val="Tahoma"/>
      <family val="2"/>
    </font>
    <font>
      <b/>
      <i/>
      <sz val="10"/>
      <color rgb="FF000000"/>
      <name val="Tahoma"/>
      <family val="2"/>
    </font>
    <font>
      <i/>
      <sz val="10"/>
      <color rgb="FF000000"/>
      <name val="Tahoma"/>
      <family val="2"/>
    </font>
    <font>
      <sz val="10"/>
      <color rgb="FF000000"/>
      <name val="Tahoma"/>
      <family val="2"/>
    </font>
    <font>
      <sz val="12"/>
      <color rgb="FF000000"/>
      <name val="Tahoma"/>
      <family val="2"/>
    </font>
    <font>
      <b/>
      <i/>
      <sz val="10"/>
      <color rgb="FFFF0000"/>
      <name val="Tahoma"/>
      <family val="2"/>
    </font>
    <font>
      <sz val="9"/>
      <color rgb="FFFF0000"/>
      <name val="Tahoma"/>
      <family val="2"/>
    </font>
    <font>
      <b/>
      <sz val="10"/>
      <color rgb="FFFF0000"/>
      <name val="Tahoma"/>
      <family val="2"/>
    </font>
    <font>
      <i/>
      <sz val="10"/>
      <color rgb="FFFF0000"/>
      <name val="Arial"/>
      <family val="2"/>
    </font>
    <font>
      <i/>
      <sz val="10"/>
      <color rgb="FFFF0000"/>
      <name val="Tahoma"/>
      <family val="2"/>
    </font>
    <font>
      <sz val="9"/>
      <color rgb="FF000000"/>
      <name val="Tahoma"/>
      <family val="2"/>
    </font>
    <font>
      <sz val="10"/>
      <color theme="1"/>
      <name val="Tahoma"/>
      <family val="2"/>
    </font>
    <font>
      <sz val="11"/>
      <color rgb="FF000000"/>
      <name val="Tahoma"/>
      <family val="2"/>
    </font>
    <font>
      <b/>
      <sz val="9"/>
      <color rgb="FF000000"/>
      <name val="Tahoma"/>
      <family val="2"/>
    </font>
    <font>
      <sz val="9"/>
      <color theme="1"/>
      <name val="Tahoma"/>
      <family val="2"/>
    </font>
    <font>
      <b/>
      <u/>
      <sz val="9"/>
      <color rgb="FF000000"/>
      <name val="Tahoma"/>
      <family val="2"/>
    </font>
    <font>
      <u/>
      <sz val="10"/>
      <color rgb="FF000000"/>
      <name val="Tahoma"/>
      <family val="2"/>
    </font>
    <font>
      <sz val="8"/>
      <color rgb="FF000000"/>
      <name val="Tahoma"/>
      <family val="2"/>
    </font>
    <font>
      <i/>
      <sz val="9"/>
      <color rgb="FF000000"/>
      <name val="Tahoma"/>
      <family val="2"/>
    </font>
    <font>
      <sz val="10"/>
      <color rgb="FFFF0000"/>
      <name val="Tahoma"/>
      <family val="2"/>
    </font>
    <font>
      <sz val="10"/>
      <color rgb="FFFF0000"/>
      <name val="Arial"/>
      <family val="2"/>
    </font>
    <font>
      <b/>
      <sz val="10"/>
      <color theme="1"/>
      <name val="Tahoma"/>
      <family val="2"/>
    </font>
    <font>
      <b/>
      <u/>
      <sz val="10"/>
      <color rgb="FF000000"/>
      <name val="Tahoma"/>
      <family val="2"/>
    </font>
    <font>
      <sz val="10"/>
      <color theme="1"/>
      <name val="Arial"/>
      <family val="2"/>
      <scheme val="minor"/>
    </font>
    <font>
      <i/>
      <u/>
      <sz val="10"/>
      <color rgb="FFFF0000"/>
      <name val="Arial"/>
      <family val="2"/>
    </font>
    <font>
      <i/>
      <u/>
      <sz val="10"/>
      <color rgb="FF0000FF"/>
      <name val="Arial"/>
      <family val="2"/>
    </font>
    <font>
      <u/>
      <sz val="10"/>
      <color rgb="FF0000FF"/>
      <name val="Arial"/>
      <family val="2"/>
    </font>
    <font>
      <u/>
      <sz val="10"/>
      <color theme="10"/>
      <name val="Arial"/>
      <family val="2"/>
    </font>
    <font>
      <u/>
      <sz val="10"/>
      <color theme="10"/>
      <name val="Arial"/>
      <family val="2"/>
    </font>
    <font>
      <u/>
      <sz val="10"/>
      <color theme="10"/>
      <name val="Arial"/>
      <family val="2"/>
    </font>
    <font>
      <u/>
      <sz val="10"/>
      <color rgb="FF0000FF"/>
      <name val="Arial"/>
      <family val="2"/>
    </font>
    <font>
      <u/>
      <sz val="10"/>
      <color theme="10"/>
      <name val="Arial"/>
      <family val="2"/>
    </font>
    <font>
      <u/>
      <sz val="10"/>
      <color rgb="FF0000FF"/>
      <name val="Arial"/>
      <family val="2"/>
    </font>
    <font>
      <i/>
      <u/>
      <sz val="10"/>
      <color rgb="FF0000FF"/>
      <name val="Arial"/>
      <family val="2"/>
    </font>
    <font>
      <i/>
      <u/>
      <sz val="10"/>
      <color rgb="FF0000FF"/>
      <name val="Arial"/>
      <family val="2"/>
    </font>
    <font>
      <i/>
      <u/>
      <sz val="10"/>
      <color rgb="FF0000FF"/>
      <name val="Arial"/>
      <family val="2"/>
    </font>
    <font>
      <i/>
      <u/>
      <sz val="10"/>
      <color rgb="FFFF0000"/>
      <name val="Arial"/>
      <family val="2"/>
    </font>
    <font>
      <u/>
      <sz val="10"/>
      <color theme="10"/>
      <name val="Arial"/>
      <family val="2"/>
    </font>
    <font>
      <sz val="8"/>
      <color theme="1"/>
      <name val="Tahoma"/>
      <family val="2"/>
    </font>
    <font>
      <b/>
      <i/>
      <sz val="10"/>
      <color theme="1"/>
      <name val="Tahoma"/>
      <family val="2"/>
    </font>
    <font>
      <b/>
      <sz val="10"/>
      <color rgb="FF000000"/>
      <name val="Tahoma"/>
      <family val="2"/>
    </font>
    <font>
      <i/>
      <sz val="10"/>
      <color rgb="FF0C0C0C"/>
      <name val="Tahoma"/>
      <family val="2"/>
    </font>
    <font>
      <sz val="10"/>
      <color rgb="FF000000"/>
      <name val="Arial"/>
      <family val="2"/>
    </font>
    <font>
      <sz val="9"/>
      <color rgb="FF000000"/>
      <name val="Times New Roman"/>
      <family val="1"/>
    </font>
    <font>
      <sz val="9"/>
      <color theme="1"/>
      <name val="Times New Roman"/>
      <family val="1"/>
    </font>
    <font>
      <sz val="10"/>
      <color rgb="FF000000"/>
      <name val="Times New Roman"/>
      <family val="1"/>
    </font>
    <font>
      <sz val="11"/>
      <color rgb="FF000000"/>
      <name val="Times New Roman"/>
      <family val="1"/>
    </font>
    <font>
      <sz val="9"/>
      <color rgb="FF0D0D0D"/>
      <name val="Times New Roman"/>
      <family val="1"/>
    </font>
    <font>
      <b/>
      <i/>
      <sz val="11"/>
      <color theme="1"/>
      <name val="Arial"/>
      <family val="2"/>
    </font>
    <font>
      <b/>
      <i/>
      <sz val="11"/>
      <color rgb="FF000000"/>
      <name val="Arial"/>
      <family val="2"/>
    </font>
    <font>
      <b/>
      <i/>
      <u/>
      <sz val="11"/>
      <color rgb="FF000000"/>
      <name val="Arial"/>
      <family val="2"/>
    </font>
    <font>
      <b/>
      <sz val="10"/>
      <color rgb="FFFF0000"/>
      <name val="Tahoma,Arial"/>
    </font>
    <font>
      <i/>
      <sz val="10"/>
      <color rgb="FFFF0000"/>
      <name val="Tahoma,Arial"/>
    </font>
    <font>
      <i/>
      <u/>
      <sz val="10"/>
      <color rgb="FF1155CC"/>
      <name val="Arial"/>
      <family val="2"/>
    </font>
    <font>
      <i/>
      <sz val="10"/>
      <color theme="1"/>
      <name val="Tahoma"/>
      <family val="2"/>
    </font>
    <font>
      <b/>
      <u/>
      <sz val="10"/>
      <color theme="1"/>
      <name val="Tahoma"/>
      <family val="2"/>
    </font>
    <font>
      <i/>
      <vertAlign val="superscript"/>
      <sz val="10"/>
      <color rgb="FF000000"/>
      <name val="Tahoma"/>
      <family val="2"/>
    </font>
    <font>
      <vertAlign val="superscript"/>
      <sz val="9"/>
      <color rgb="FF000000"/>
      <name val="Times New Roman"/>
      <family val="1"/>
    </font>
  </fonts>
  <fills count="17">
    <fill>
      <patternFill patternType="none"/>
    </fill>
    <fill>
      <patternFill patternType="gray125"/>
    </fill>
    <fill>
      <patternFill patternType="solid">
        <fgColor rgb="FF434343"/>
        <bgColor rgb="FF434343"/>
      </patternFill>
    </fill>
    <fill>
      <patternFill patternType="solid">
        <fgColor rgb="FFCCCCCC"/>
        <bgColor rgb="FFCCCCCC"/>
      </patternFill>
    </fill>
    <fill>
      <patternFill patternType="solid">
        <fgColor rgb="FFFFE599"/>
        <bgColor rgb="FFFFE599"/>
      </patternFill>
    </fill>
    <fill>
      <patternFill patternType="solid">
        <fgColor rgb="FFDBE5F1"/>
        <bgColor rgb="FFDBE5F1"/>
      </patternFill>
    </fill>
    <fill>
      <patternFill patternType="solid">
        <fgColor rgb="FFC6D9F0"/>
        <bgColor rgb="FFC6D9F0"/>
      </patternFill>
    </fill>
    <fill>
      <patternFill patternType="solid">
        <fgColor rgb="FF8DB3E2"/>
        <bgColor rgb="FF8DB3E2"/>
      </patternFill>
    </fill>
    <fill>
      <patternFill patternType="solid">
        <fgColor rgb="FFFFFF99"/>
        <bgColor rgb="FFFFFF99"/>
      </patternFill>
    </fill>
    <fill>
      <patternFill patternType="solid">
        <fgColor rgb="FF000000"/>
        <bgColor rgb="FF000000"/>
      </patternFill>
    </fill>
    <fill>
      <patternFill patternType="solid">
        <fgColor rgb="FFFFFFFF"/>
        <bgColor rgb="FFFFFFFF"/>
      </patternFill>
    </fill>
    <fill>
      <patternFill patternType="solid">
        <fgColor theme="1"/>
        <bgColor theme="1"/>
      </patternFill>
    </fill>
    <fill>
      <patternFill patternType="solid">
        <fgColor rgb="FF00FFFF"/>
        <bgColor rgb="FF00FFFF"/>
      </patternFill>
    </fill>
    <fill>
      <patternFill patternType="solid">
        <fgColor rgb="FFFFFF00"/>
        <bgColor rgb="FFFFFF00"/>
      </patternFill>
    </fill>
    <fill>
      <patternFill patternType="solid">
        <fgColor theme="0"/>
        <bgColor theme="0"/>
      </patternFill>
    </fill>
    <fill>
      <patternFill patternType="solid">
        <fgColor rgb="FF6F94C2"/>
        <bgColor rgb="FF6F94C2"/>
      </patternFill>
    </fill>
    <fill>
      <patternFill patternType="solid">
        <fgColor rgb="FFF6B3AE"/>
        <bgColor rgb="FFF6B3AE"/>
      </patternFill>
    </fill>
  </fills>
  <borders count="124">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right style="thin">
        <color rgb="FF000000"/>
      </right>
      <top/>
      <bottom style="medium">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medium">
        <color rgb="FF000000"/>
      </top>
      <bottom/>
      <diagonal/>
    </border>
    <border>
      <left style="thin">
        <color rgb="FF000000"/>
      </left>
      <right style="medium">
        <color rgb="FF000000"/>
      </right>
      <top/>
      <bottom/>
      <diagonal/>
    </border>
    <border>
      <left style="medium">
        <color rgb="FF000000"/>
      </left>
      <right/>
      <top style="thin">
        <color rgb="FF000000"/>
      </top>
      <bottom style="thin">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medium">
        <color rgb="FF000000"/>
      </bottom>
      <diagonal/>
    </border>
    <border>
      <left style="thin">
        <color rgb="FF000000"/>
      </left>
      <right/>
      <top style="medium">
        <color rgb="FF000000"/>
      </top>
      <bottom/>
      <diagonal/>
    </border>
    <border>
      <left style="medium">
        <color rgb="FF000000"/>
      </left>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style="medium">
        <color rgb="FF000000"/>
      </right>
      <top/>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thin">
        <color rgb="FF000000"/>
      </top>
      <bottom/>
      <diagonal/>
    </border>
    <border>
      <left style="thin">
        <color rgb="FF000000"/>
      </left>
      <right/>
      <top/>
      <bottom style="thin">
        <color rgb="FF000000"/>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diagonal/>
    </border>
    <border>
      <left/>
      <right/>
      <top style="medium">
        <color rgb="FF000000"/>
      </top>
      <bottom/>
      <diagonal/>
    </border>
    <border>
      <left/>
      <right/>
      <top/>
      <bottom/>
      <diagonal/>
    </border>
    <border>
      <left/>
      <right style="medium">
        <color rgb="FF000000"/>
      </right>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top style="medium">
        <color rgb="FF000000"/>
      </top>
      <bottom style="thin">
        <color rgb="FF000000"/>
      </bottom>
      <diagonal/>
    </border>
    <border>
      <left/>
      <right style="medium">
        <color rgb="FF000000"/>
      </right>
      <top style="thin">
        <color rgb="FF000000"/>
      </top>
      <bottom style="medium">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diagonal/>
    </border>
    <border>
      <left/>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bottom style="medium">
        <color rgb="FF000000"/>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1">
    <xf numFmtId="0" fontId="0" fillId="0" borderId="0"/>
  </cellStyleXfs>
  <cellXfs count="756">
    <xf numFmtId="0" fontId="0" fillId="0" borderId="0" xfId="0"/>
    <xf numFmtId="0" fontId="1" fillId="0" borderId="0" xfId="0" applyFont="1" applyAlignment="1">
      <alignment horizontal="center" wrapText="1"/>
    </xf>
    <xf numFmtId="0" fontId="3" fillId="2" borderId="7" xfId="0" applyFont="1" applyFill="1" applyBorder="1" applyAlignment="1">
      <alignment horizontal="center" wrapText="1"/>
    </xf>
    <xf numFmtId="0" fontId="4" fillId="0" borderId="0" xfId="0" applyFont="1"/>
    <xf numFmtId="0" fontId="6" fillId="0" borderId="7" xfId="0" applyFont="1" applyBorder="1" applyAlignment="1">
      <alignment vertical="top" wrapText="1"/>
    </xf>
    <xf numFmtId="0" fontId="7" fillId="0" borderId="7" xfId="0" applyFont="1" applyBorder="1" applyAlignment="1">
      <alignment vertical="top" wrapText="1"/>
    </xf>
    <xf numFmtId="0" fontId="8" fillId="0" borderId="7" xfId="0" applyFont="1" applyBorder="1" applyAlignment="1">
      <alignment vertical="top" wrapText="1"/>
    </xf>
    <xf numFmtId="0" fontId="7" fillId="0" borderId="11" xfId="0" applyFont="1" applyBorder="1" applyAlignment="1">
      <alignment vertical="top" wrapText="1"/>
    </xf>
    <xf numFmtId="0" fontId="7" fillId="0" borderId="10" xfId="0" applyFont="1" applyBorder="1" applyAlignment="1">
      <alignment vertical="top" wrapText="1"/>
    </xf>
    <xf numFmtId="0" fontId="9" fillId="0" borderId="0" xfId="0" applyFont="1" applyAlignment="1">
      <alignment wrapText="1"/>
    </xf>
    <xf numFmtId="0" fontId="10" fillId="4" borderId="12" xfId="0" applyFont="1" applyFill="1" applyBorder="1" applyAlignment="1">
      <alignment vertical="top"/>
    </xf>
    <xf numFmtId="0" fontId="11" fillId="4" borderId="13" xfId="0" applyFont="1" applyFill="1" applyBorder="1" applyAlignment="1">
      <alignment horizontal="right" vertical="top"/>
    </xf>
    <xf numFmtId="0" fontId="10" fillId="0" borderId="17" xfId="0" applyFont="1" applyBorder="1" applyAlignment="1">
      <alignment vertical="top"/>
    </xf>
    <xf numFmtId="0" fontId="10" fillId="0" borderId="0" xfId="0" applyFont="1" applyAlignment="1">
      <alignment horizontal="right" vertical="top"/>
    </xf>
    <xf numFmtId="0" fontId="10" fillId="0" borderId="17" xfId="0" applyFont="1" applyBorder="1" applyAlignment="1">
      <alignment horizontal="left" vertical="top" wrapText="1"/>
    </xf>
    <xf numFmtId="0" fontId="10" fillId="0" borderId="0" xfId="0" applyFont="1" applyAlignment="1">
      <alignment horizontal="right" vertical="top" wrapText="1"/>
    </xf>
    <xf numFmtId="0" fontId="13" fillId="0" borderId="0" xfId="0" applyFont="1" applyAlignment="1">
      <alignment horizontal="left" vertical="top" wrapText="1"/>
    </xf>
    <xf numFmtId="0" fontId="14" fillId="0" borderId="17" xfId="0" applyFont="1" applyBorder="1" applyAlignment="1">
      <alignment vertical="top"/>
    </xf>
    <xf numFmtId="0" fontId="10" fillId="4" borderId="19" xfId="0" applyFont="1" applyFill="1" applyBorder="1" applyAlignment="1">
      <alignment vertical="top"/>
    </xf>
    <xf numFmtId="0" fontId="11" fillId="4" borderId="20" xfId="0" applyFont="1" applyFill="1" applyBorder="1" applyAlignment="1">
      <alignment horizontal="right" vertical="top"/>
    </xf>
    <xf numFmtId="0" fontId="10" fillId="0" borderId="0" xfId="0" applyFont="1" applyAlignment="1">
      <alignment horizontal="center" vertical="top"/>
    </xf>
    <xf numFmtId="0" fontId="16" fillId="0" borderId="26" xfId="0" applyFont="1" applyBorder="1" applyAlignment="1">
      <alignment horizontal="center" vertical="top"/>
    </xf>
    <xf numFmtId="0" fontId="16" fillId="0" borderId="27" xfId="0" applyFont="1" applyBorder="1" applyAlignment="1">
      <alignment horizontal="center" vertical="top"/>
    </xf>
    <xf numFmtId="0" fontId="16" fillId="0" borderId="28" xfId="0" applyFont="1" applyBorder="1" applyAlignment="1">
      <alignment horizontal="center" vertical="top"/>
    </xf>
    <xf numFmtId="0" fontId="17" fillId="0" borderId="31" xfId="0" applyFont="1" applyBorder="1" applyAlignment="1">
      <alignment horizontal="center" wrapText="1"/>
    </xf>
    <xf numFmtId="0" fontId="17" fillId="0" borderId="32" xfId="0" applyFont="1" applyBorder="1" applyAlignment="1">
      <alignment horizontal="center" wrapText="1"/>
    </xf>
    <xf numFmtId="0" fontId="18" fillId="0" borderId="33" xfId="0" applyFont="1" applyBorder="1" applyAlignment="1">
      <alignment vertical="top" wrapText="1"/>
    </xf>
    <xf numFmtId="0" fontId="19" fillId="0" borderId="34" xfId="0" applyFont="1" applyBorder="1" applyAlignment="1">
      <alignment vertical="top"/>
    </xf>
    <xf numFmtId="0" fontId="19" fillId="0" borderId="7" xfId="0" applyFont="1" applyBorder="1" applyAlignment="1">
      <alignment vertical="top" wrapText="1"/>
    </xf>
    <xf numFmtId="164" fontId="19" fillId="0" borderId="7" xfId="0" applyNumberFormat="1" applyFont="1" applyBorder="1" applyAlignment="1">
      <alignment horizontal="left" vertical="top"/>
    </xf>
    <xf numFmtId="0" fontId="19" fillId="0" borderId="7" xfId="0" applyFont="1" applyBorder="1" applyAlignment="1">
      <alignment horizontal="center" vertical="top"/>
    </xf>
    <xf numFmtId="0" fontId="19" fillId="0" borderId="35" xfId="0" applyFont="1" applyBorder="1" applyAlignment="1">
      <alignment vertical="top"/>
    </xf>
    <xf numFmtId="0" fontId="19" fillId="0" borderId="11" xfId="0" applyFont="1" applyBorder="1" applyAlignment="1">
      <alignment vertical="top" wrapText="1"/>
    </xf>
    <xf numFmtId="0" fontId="19" fillId="0" borderId="36" xfId="0" applyFont="1" applyBorder="1" applyAlignment="1">
      <alignment vertical="top"/>
    </xf>
    <xf numFmtId="0" fontId="19" fillId="0" borderId="37" xfId="0" applyFont="1" applyBorder="1" applyAlignment="1">
      <alignment vertical="top" wrapText="1"/>
    </xf>
    <xf numFmtId="164" fontId="19" fillId="0" borderId="38" xfId="0" applyNumberFormat="1" applyFont="1" applyBorder="1" applyAlignment="1">
      <alignment horizontal="left" vertical="top" wrapText="1"/>
    </xf>
    <xf numFmtId="0" fontId="19" fillId="0" borderId="38" xfId="0" applyFont="1" applyBorder="1" applyAlignment="1">
      <alignment horizontal="center" vertical="top"/>
    </xf>
    <xf numFmtId="0" fontId="20" fillId="0" borderId="26" xfId="0" applyFont="1" applyBorder="1" applyAlignment="1">
      <alignment horizontal="center" vertical="top"/>
    </xf>
    <xf numFmtId="0" fontId="20" fillId="0" borderId="27" xfId="0" applyFont="1" applyBorder="1" applyAlignment="1">
      <alignment horizontal="center" vertical="top"/>
    </xf>
    <xf numFmtId="0" fontId="20" fillId="0" borderId="28" xfId="0" applyFont="1" applyBorder="1" applyAlignment="1">
      <alignment horizontal="center" vertical="top"/>
    </xf>
    <xf numFmtId="0" fontId="10" fillId="0" borderId="31" xfId="0" applyFont="1" applyBorder="1" applyAlignment="1">
      <alignment horizontal="center" wrapText="1"/>
    </xf>
    <xf numFmtId="0" fontId="10" fillId="0" borderId="32" xfId="0" applyFont="1" applyBorder="1" applyAlignment="1">
      <alignment horizontal="center" wrapText="1"/>
    </xf>
    <xf numFmtId="0" fontId="13" fillId="0" borderId="41" xfId="0" applyFont="1" applyBorder="1" applyAlignment="1">
      <alignment horizontal="left" vertical="top" wrapText="1"/>
    </xf>
    <xf numFmtId="0" fontId="13" fillId="0" borderId="7" xfId="0" applyFont="1" applyBorder="1" applyAlignment="1">
      <alignment vertical="top"/>
    </xf>
    <xf numFmtId="0" fontId="21" fillId="0" borderId="7" xfId="0" applyFont="1" applyBorder="1" applyAlignment="1">
      <alignment vertical="top" wrapText="1"/>
    </xf>
    <xf numFmtId="165" fontId="21" fillId="0" borderId="7" xfId="0" applyNumberFormat="1" applyFont="1" applyBorder="1" applyAlignment="1">
      <alignment horizontal="center" vertical="top" wrapText="1"/>
    </xf>
    <xf numFmtId="3" fontId="21" fillId="0" borderId="7" xfId="0" applyNumberFormat="1" applyFont="1" applyBorder="1" applyAlignment="1">
      <alignment horizontal="center" vertical="top"/>
    </xf>
    <xf numFmtId="0" fontId="13" fillId="0" borderId="42" xfId="0" applyFont="1" applyBorder="1" applyAlignment="1">
      <alignment horizontal="left" vertical="top" wrapText="1"/>
    </xf>
    <xf numFmtId="49" fontId="21" fillId="0" borderId="7" xfId="0" applyNumberFormat="1" applyFont="1" applyBorder="1" applyAlignment="1">
      <alignment horizontal="center" vertical="top" wrapText="1"/>
    </xf>
    <xf numFmtId="0" fontId="13" fillId="0" borderId="7" xfId="0" applyFont="1" applyBorder="1" applyAlignment="1">
      <alignment horizontal="right" vertical="top"/>
    </xf>
    <xf numFmtId="0" fontId="21" fillId="0" borderId="7" xfId="0" applyFont="1" applyBorder="1" applyAlignment="1">
      <alignment horizontal="left" vertical="top"/>
    </xf>
    <xf numFmtId="165" fontId="21" fillId="0" borderId="7" xfId="0" quotePrefix="1" applyNumberFormat="1" applyFont="1" applyBorder="1" applyAlignment="1">
      <alignment horizontal="center" vertical="top" wrapText="1"/>
    </xf>
    <xf numFmtId="0" fontId="21" fillId="0" borderId="7" xfId="0" applyFont="1" applyBorder="1" applyAlignment="1">
      <alignment vertical="top"/>
    </xf>
    <xf numFmtId="0" fontId="13" fillId="0" borderId="44" xfId="0" applyFont="1" applyBorder="1" applyAlignment="1">
      <alignment horizontal="left" vertical="top" wrapText="1"/>
    </xf>
    <xf numFmtId="0" fontId="13" fillId="0" borderId="45" xfId="0" applyFont="1" applyBorder="1" applyAlignment="1">
      <alignment vertical="top"/>
    </xf>
    <xf numFmtId="0" fontId="13" fillId="0" borderId="46" xfId="0" applyFont="1" applyBorder="1" applyAlignment="1">
      <alignment vertical="top" wrapText="1"/>
    </xf>
    <xf numFmtId="0" fontId="13" fillId="0" borderId="46" xfId="0" applyFont="1" applyBorder="1" applyAlignment="1">
      <alignment horizontal="center" vertical="top"/>
    </xf>
    <xf numFmtId="0" fontId="13" fillId="0" borderId="46" xfId="0" applyFont="1" applyBorder="1" applyAlignment="1">
      <alignment vertical="top"/>
    </xf>
    <xf numFmtId="0" fontId="10" fillId="7" borderId="12" xfId="0" applyFont="1" applyFill="1" applyBorder="1" applyAlignment="1">
      <alignment vertical="center"/>
    </xf>
    <xf numFmtId="0" fontId="10" fillId="7" borderId="13" xfId="0" applyFont="1" applyFill="1" applyBorder="1" applyAlignment="1">
      <alignment horizontal="right" vertical="center"/>
    </xf>
    <xf numFmtId="3" fontId="10" fillId="7" borderId="13" xfId="0" applyNumberFormat="1" applyFont="1" applyFill="1" applyBorder="1" applyAlignment="1">
      <alignment horizontal="center" vertical="center"/>
    </xf>
    <xf numFmtId="0" fontId="13" fillId="0" borderId="17" xfId="0" applyFont="1" applyBorder="1" applyAlignment="1">
      <alignment horizontal="left" vertical="top" wrapText="1"/>
    </xf>
    <xf numFmtId="0" fontId="10" fillId="7" borderId="19" xfId="0" applyFont="1" applyFill="1" applyBorder="1" applyAlignment="1">
      <alignment vertical="center"/>
    </xf>
    <xf numFmtId="0" fontId="10" fillId="7" borderId="20" xfId="0" applyFont="1" applyFill="1" applyBorder="1" applyAlignment="1">
      <alignment horizontal="right" vertical="center"/>
    </xf>
    <xf numFmtId="0" fontId="13" fillId="0" borderId="0" xfId="0" applyFont="1" applyAlignment="1">
      <alignment vertical="top"/>
    </xf>
    <xf numFmtId="0" fontId="13" fillId="0" borderId="0" xfId="0" applyFont="1"/>
    <xf numFmtId="0" fontId="22" fillId="0" borderId="0" xfId="0" applyFont="1"/>
    <xf numFmtId="0" fontId="20" fillId="0" borderId="0" xfId="0" applyFont="1"/>
    <xf numFmtId="0" fontId="23" fillId="0" borderId="0" xfId="0" applyFont="1" applyAlignment="1">
      <alignment horizontal="center"/>
    </xf>
    <xf numFmtId="0" fontId="13" fillId="0" borderId="0" xfId="0" applyFont="1" applyAlignment="1">
      <alignment horizontal="center" vertical="center"/>
    </xf>
    <xf numFmtId="0" fontId="24" fillId="0" borderId="0" xfId="0" applyFont="1"/>
    <xf numFmtId="0" fontId="25" fillId="0" borderId="0" xfId="0" applyFont="1" applyAlignment="1">
      <alignment horizontal="center"/>
    </xf>
    <xf numFmtId="15" fontId="26" fillId="0" borderId="0" xfId="0" applyNumberFormat="1" applyFont="1" applyAlignment="1">
      <alignment horizontal="center" vertical="center"/>
    </xf>
    <xf numFmtId="0" fontId="27" fillId="0" borderId="0" xfId="0" applyFont="1" applyAlignment="1">
      <alignment horizontal="center" vertical="top"/>
    </xf>
    <xf numFmtId="0" fontId="20" fillId="0" borderId="0" xfId="0" applyFont="1" applyAlignment="1">
      <alignment horizontal="center" vertical="top"/>
    </xf>
    <xf numFmtId="0" fontId="28" fillId="0" borderId="0" xfId="0" applyFont="1" applyAlignment="1">
      <alignment horizontal="center" vertical="top"/>
    </xf>
    <xf numFmtId="0" fontId="20" fillId="0" borderId="0" xfId="0" applyFont="1" applyAlignment="1">
      <alignment vertical="top"/>
    </xf>
    <xf numFmtId="0" fontId="13" fillId="0" borderId="0" xfId="0" applyFont="1" applyAlignment="1">
      <alignment horizontal="center" vertical="top"/>
    </xf>
    <xf numFmtId="0" fontId="11" fillId="4" borderId="12" xfId="0" applyFont="1" applyFill="1" applyBorder="1" applyAlignment="1">
      <alignment horizontal="right" vertical="top" wrapText="1"/>
    </xf>
    <xf numFmtId="0" fontId="10" fillId="0" borderId="17" xfId="0" applyFont="1" applyBorder="1" applyAlignment="1">
      <alignment horizontal="right" vertical="top" wrapText="1"/>
    </xf>
    <xf numFmtId="0" fontId="13" fillId="0" borderId="0" xfId="0" applyFont="1" applyAlignment="1">
      <alignment horizontal="left" vertical="top"/>
    </xf>
    <xf numFmtId="0" fontId="21" fillId="0" borderId="0" xfId="0" applyFont="1" applyAlignment="1">
      <alignment horizontal="left" vertical="top" wrapText="1"/>
    </xf>
    <xf numFmtId="0" fontId="29" fillId="0" borderId="7" xfId="0" applyFont="1" applyBorder="1" applyAlignment="1">
      <alignment horizontal="center" vertical="top"/>
    </xf>
    <xf numFmtId="0" fontId="29" fillId="0" borderId="47" xfId="0" applyFont="1" applyBorder="1" applyAlignment="1">
      <alignment horizontal="center" vertical="top"/>
    </xf>
    <xf numFmtId="0" fontId="17" fillId="0" borderId="48" xfId="0" applyFont="1" applyBorder="1" applyAlignment="1">
      <alignment horizontal="center" wrapText="1"/>
    </xf>
    <xf numFmtId="0" fontId="19" fillId="0" borderId="35" xfId="0" applyFont="1" applyBorder="1" applyAlignment="1">
      <alignment vertical="top" wrapText="1"/>
    </xf>
    <xf numFmtId="0" fontId="19" fillId="0" borderId="7" xfId="0" applyFont="1" applyBorder="1" applyAlignment="1">
      <alignment vertical="top"/>
    </xf>
    <xf numFmtId="0" fontId="19" fillId="0" borderId="7" xfId="0" applyFont="1" applyBorder="1"/>
    <xf numFmtId="0" fontId="18" fillId="0" borderId="7" xfId="0" applyFont="1" applyBorder="1" applyAlignment="1">
      <alignment vertical="top"/>
    </xf>
    <xf numFmtId="0" fontId="17" fillId="8" borderId="7" xfId="0" applyFont="1" applyFill="1" applyBorder="1" applyAlignment="1">
      <alignment horizontal="center" vertical="center"/>
    </xf>
    <xf numFmtId="0" fontId="17" fillId="8" borderId="55" xfId="0" applyFont="1" applyFill="1" applyBorder="1" applyAlignment="1">
      <alignment horizontal="center" vertical="center"/>
    </xf>
    <xf numFmtId="0" fontId="30" fillId="9" borderId="7" xfId="0" applyFont="1" applyFill="1" applyBorder="1" applyAlignment="1">
      <alignment vertical="top"/>
    </xf>
    <xf numFmtId="0" fontId="17" fillId="8" borderId="48" xfId="0" applyFont="1" applyFill="1" applyBorder="1" applyAlignment="1">
      <alignment horizontal="center" vertical="top"/>
    </xf>
    <xf numFmtId="0" fontId="30" fillId="9" borderId="48" xfId="0" applyFont="1" applyFill="1" applyBorder="1" applyAlignment="1">
      <alignment vertical="top"/>
    </xf>
    <xf numFmtId="0" fontId="13" fillId="0" borderId="57" xfId="0" applyFont="1" applyBorder="1" applyAlignment="1">
      <alignment horizontal="center" vertical="top"/>
    </xf>
    <xf numFmtId="0" fontId="13" fillId="0" borderId="27" xfId="0" applyFont="1" applyBorder="1" applyAlignment="1">
      <alignment horizontal="center" vertical="top"/>
    </xf>
    <xf numFmtId="0" fontId="13" fillId="0" borderId="28" xfId="0" applyFont="1" applyBorder="1" applyAlignment="1">
      <alignment horizontal="center" vertical="top"/>
    </xf>
    <xf numFmtId="0" fontId="10" fillId="0" borderId="48" xfId="0" applyFont="1" applyBorder="1" applyAlignment="1">
      <alignment horizontal="center" wrapText="1"/>
    </xf>
    <xf numFmtId="0" fontId="21" fillId="0" borderId="58" xfId="0" applyFont="1" applyBorder="1" applyAlignment="1">
      <alignment vertical="top" wrapText="1"/>
    </xf>
    <xf numFmtId="0" fontId="24" fillId="0" borderId="7" xfId="0" applyFont="1" applyBorder="1" applyAlignment="1">
      <alignment vertical="center" wrapText="1"/>
    </xf>
    <xf numFmtId="0" fontId="21" fillId="0" borderId="10" xfId="0" applyFont="1" applyBorder="1"/>
    <xf numFmtId="0" fontId="9" fillId="0" borderId="7" xfId="0" applyFont="1" applyBorder="1" applyAlignment="1">
      <alignment vertical="top"/>
    </xf>
    <xf numFmtId="0" fontId="9" fillId="0" borderId="7" xfId="0" applyFont="1" applyBorder="1" applyAlignment="1">
      <alignment vertical="top" wrapText="1"/>
    </xf>
    <xf numFmtId="0" fontId="21" fillId="0" borderId="30" xfId="0" applyFont="1" applyBorder="1"/>
    <xf numFmtId="0" fontId="13" fillId="0" borderId="10" xfId="0" applyFont="1" applyBorder="1" applyAlignment="1">
      <alignment horizontal="left" vertical="center"/>
    </xf>
    <xf numFmtId="0" fontId="13" fillId="0" borderId="10" xfId="0" applyFont="1" applyBorder="1" applyAlignment="1">
      <alignment horizontal="left" vertical="center" wrapText="1"/>
    </xf>
    <xf numFmtId="0" fontId="13" fillId="0" borderId="10" xfId="0" applyFont="1" applyBorder="1"/>
    <xf numFmtId="0" fontId="13" fillId="10" borderId="59" xfId="0" applyFont="1" applyFill="1" applyBorder="1" applyAlignment="1">
      <alignment wrapText="1"/>
    </xf>
    <xf numFmtId="0" fontId="13" fillId="10" borderId="59" xfId="0" applyFont="1" applyFill="1" applyBorder="1" applyAlignment="1">
      <alignment horizontal="left" vertical="center" wrapText="1"/>
    </xf>
    <xf numFmtId="0" fontId="13" fillId="0" borderId="60" xfId="0" applyFont="1" applyBorder="1" applyAlignment="1">
      <alignment horizontal="left" wrapText="1"/>
    </xf>
    <xf numFmtId="0" fontId="29" fillId="0" borderId="10" xfId="0" applyFont="1" applyBorder="1" applyAlignment="1">
      <alignment horizontal="left" vertical="center" wrapText="1"/>
    </xf>
    <xf numFmtId="0" fontId="20" fillId="0" borderId="7" xfId="0" applyFont="1" applyBorder="1" applyAlignment="1">
      <alignment vertical="center"/>
    </xf>
    <xf numFmtId="0" fontId="13" fillId="0" borderId="0" xfId="0" applyFont="1" applyAlignment="1">
      <alignment wrapText="1"/>
    </xf>
    <xf numFmtId="0" fontId="29" fillId="0" borderId="10" xfId="0" applyFont="1" applyBorder="1" applyAlignment="1">
      <alignment horizontal="left" wrapText="1"/>
    </xf>
    <xf numFmtId="0" fontId="13" fillId="0" borderId="30" xfId="0" applyFont="1" applyBorder="1" applyAlignment="1">
      <alignment horizontal="left" vertical="center" wrapText="1"/>
    </xf>
    <xf numFmtId="0" fontId="13" fillId="10" borderId="55" xfId="0" applyFont="1" applyFill="1" applyBorder="1" applyAlignment="1">
      <alignment horizontal="left" vertical="center" wrapText="1"/>
    </xf>
    <xf numFmtId="0" fontId="13" fillId="10" borderId="55" xfId="0" applyFont="1" applyFill="1" applyBorder="1" applyAlignment="1">
      <alignment wrapText="1"/>
    </xf>
    <xf numFmtId="0" fontId="13" fillId="0" borderId="10" xfId="0" applyFont="1" applyBorder="1" applyAlignment="1">
      <alignment wrapText="1"/>
    </xf>
    <xf numFmtId="0" fontId="21" fillId="0" borderId="10" xfId="0" applyFont="1" applyBorder="1" applyAlignment="1">
      <alignment horizontal="center" wrapText="1"/>
    </xf>
    <xf numFmtId="0" fontId="13" fillId="10" borderId="61" xfId="0" applyFont="1" applyFill="1" applyBorder="1" applyAlignment="1">
      <alignment horizontal="left" vertical="center" wrapText="1"/>
    </xf>
    <xf numFmtId="0" fontId="31" fillId="8" borderId="63" xfId="0" applyFont="1" applyFill="1" applyBorder="1" applyAlignment="1">
      <alignment horizontal="center" vertical="center"/>
    </xf>
    <xf numFmtId="0" fontId="31" fillId="8" borderId="61" xfId="0" applyFont="1" applyFill="1" applyBorder="1" applyAlignment="1">
      <alignment horizontal="center" vertical="center"/>
    </xf>
    <xf numFmtId="0" fontId="13" fillId="11" borderId="64" xfId="0" applyFont="1" applyFill="1" applyBorder="1" applyAlignment="1">
      <alignment vertical="top"/>
    </xf>
    <xf numFmtId="0" fontId="31" fillId="8" borderId="7" xfId="0" applyFont="1" applyFill="1" applyBorder="1" applyAlignment="1">
      <alignment horizontal="center" vertical="top"/>
    </xf>
    <xf numFmtId="0" fontId="13" fillId="11" borderId="67" xfId="0" applyFont="1" applyFill="1" applyBorder="1" applyAlignment="1">
      <alignment vertical="top"/>
    </xf>
    <xf numFmtId="0" fontId="13" fillId="0" borderId="7" xfId="0" applyFont="1" applyBorder="1" applyAlignment="1">
      <alignment horizontal="left" vertical="center" wrapText="1"/>
    </xf>
    <xf numFmtId="0" fontId="21" fillId="0" borderId="7" xfId="0" applyFont="1" applyBorder="1" applyAlignment="1">
      <alignment vertical="center" wrapText="1"/>
    </xf>
    <xf numFmtId="0" fontId="13" fillId="0" borderId="7" xfId="0" applyFont="1" applyBorder="1"/>
    <xf numFmtId="0" fontId="13" fillId="0" borderId="7" xfId="0" applyFont="1" applyBorder="1" applyAlignment="1">
      <alignment vertical="center"/>
    </xf>
    <xf numFmtId="0" fontId="13" fillId="0" borderId="7" xfId="0" applyFont="1" applyBorder="1" applyAlignment="1">
      <alignment horizontal="left" vertical="center"/>
    </xf>
    <xf numFmtId="0" fontId="13" fillId="0" borderId="7" xfId="0" applyFont="1" applyBorder="1" applyAlignment="1">
      <alignment wrapText="1"/>
    </xf>
    <xf numFmtId="0" fontId="13" fillId="10" borderId="7" xfId="0" applyFont="1" applyFill="1" applyBorder="1" applyAlignment="1">
      <alignment horizontal="left" vertical="center" wrapText="1"/>
    </xf>
    <xf numFmtId="0" fontId="13" fillId="10" borderId="7" xfId="0" applyFont="1" applyFill="1" applyBorder="1" applyAlignment="1">
      <alignment horizontal="left" wrapText="1"/>
    </xf>
    <xf numFmtId="0" fontId="13" fillId="10" borderId="7" xfId="0" applyFont="1" applyFill="1" applyBorder="1" applyAlignment="1">
      <alignment wrapText="1"/>
    </xf>
    <xf numFmtId="0" fontId="31" fillId="8" borderId="7" xfId="0" applyFont="1" applyFill="1" applyBorder="1" applyAlignment="1">
      <alignment horizontal="center" vertical="center"/>
    </xf>
    <xf numFmtId="0" fontId="31" fillId="8" borderId="55" xfId="0" applyFont="1" applyFill="1" applyBorder="1" applyAlignment="1">
      <alignment horizontal="center" vertical="center"/>
    </xf>
    <xf numFmtId="0" fontId="13" fillId="11" borderId="68" xfId="0" applyFont="1" applyFill="1" applyBorder="1" applyAlignment="1">
      <alignment horizontal="right" vertical="top"/>
    </xf>
    <xf numFmtId="0" fontId="10" fillId="7" borderId="72" xfId="0" applyFont="1" applyFill="1" applyBorder="1" applyAlignment="1">
      <alignment horizontal="center" vertical="top"/>
    </xf>
    <xf numFmtId="0" fontId="31" fillId="7" borderId="67" xfId="0" applyFont="1" applyFill="1" applyBorder="1" applyAlignment="1">
      <alignment horizontal="center" vertical="top"/>
    </xf>
    <xf numFmtId="0" fontId="31" fillId="7" borderId="20" xfId="0" applyFont="1" applyFill="1" applyBorder="1" applyAlignment="1">
      <alignment horizontal="center" vertical="top"/>
    </xf>
    <xf numFmtId="0" fontId="10" fillId="0" borderId="0" xfId="0" applyFont="1" applyAlignment="1">
      <alignment horizontal="center"/>
    </xf>
    <xf numFmtId="0" fontId="9" fillId="0" borderId="0" xfId="0" applyFont="1"/>
    <xf numFmtId="0" fontId="12" fillId="0" borderId="0" xfId="0" applyFont="1" applyAlignment="1">
      <alignment horizontal="center" vertical="top"/>
    </xf>
    <xf numFmtId="0" fontId="13" fillId="0" borderId="0" xfId="0" applyFont="1" applyAlignment="1">
      <alignment vertical="top" wrapText="1"/>
    </xf>
    <xf numFmtId="0" fontId="32" fillId="0" borderId="0" xfId="0" applyFont="1" applyAlignment="1">
      <alignment horizontal="center"/>
    </xf>
    <xf numFmtId="0" fontId="10" fillId="4" borderId="13" xfId="0" applyFont="1" applyFill="1" applyBorder="1" applyAlignment="1">
      <alignment horizontal="right" vertical="top"/>
    </xf>
    <xf numFmtId="0" fontId="17" fillId="0" borderId="7" xfId="0" applyFont="1" applyBorder="1" applyAlignment="1">
      <alignment horizontal="center" wrapText="1"/>
    </xf>
    <xf numFmtId="0" fontId="31" fillId="0" borderId="80" xfId="0" applyFont="1" applyBorder="1" applyAlignment="1">
      <alignment horizontal="center" wrapText="1"/>
    </xf>
    <xf numFmtId="0" fontId="31" fillId="0" borderId="30" xfId="0" applyFont="1" applyBorder="1" applyAlignment="1">
      <alignment horizontal="center" wrapText="1"/>
    </xf>
    <xf numFmtId="0" fontId="31" fillId="0" borderId="46" xfId="0" applyFont="1" applyBorder="1" applyAlignment="1">
      <alignment horizontal="center" wrapText="1"/>
    </xf>
    <xf numFmtId="0" fontId="13" fillId="0" borderId="34" xfId="0" applyFont="1" applyBorder="1" applyAlignment="1">
      <alignment vertical="top"/>
    </xf>
    <xf numFmtId="0" fontId="13" fillId="0" borderId="7" xfId="0" applyFont="1" applyBorder="1" applyAlignment="1">
      <alignment horizontal="center" vertical="top"/>
    </xf>
    <xf numFmtId="0" fontId="10" fillId="12" borderId="82" xfId="0" applyFont="1" applyFill="1" applyBorder="1" applyAlignment="1">
      <alignment vertical="center"/>
    </xf>
    <xf numFmtId="0" fontId="10" fillId="12" borderId="67" xfId="0" applyFont="1" applyFill="1" applyBorder="1" applyAlignment="1">
      <alignment horizontal="right" vertical="center"/>
    </xf>
    <xf numFmtId="0" fontId="10" fillId="12" borderId="67" xfId="0" applyFont="1" applyFill="1" applyBorder="1" applyAlignment="1">
      <alignment horizontal="center" vertical="center"/>
    </xf>
    <xf numFmtId="0" fontId="10" fillId="7" borderId="82" xfId="0" applyFont="1" applyFill="1" applyBorder="1" applyAlignment="1">
      <alignment vertical="center"/>
    </xf>
    <xf numFmtId="0" fontId="10" fillId="7" borderId="67" xfId="0" applyFont="1" applyFill="1" applyBorder="1" applyAlignment="1">
      <alignment horizontal="right" vertical="center"/>
    </xf>
    <xf numFmtId="0" fontId="33" fillId="0" borderId="0" xfId="0" applyFont="1" applyAlignment="1">
      <alignment horizontal="right"/>
    </xf>
    <xf numFmtId="0" fontId="17" fillId="0" borderId="0" xfId="0" applyFont="1" applyAlignment="1">
      <alignment horizontal="center" wrapText="1"/>
    </xf>
    <xf numFmtId="0" fontId="19" fillId="0" borderId="7" xfId="0" applyFont="1" applyBorder="1" applyAlignment="1">
      <alignment horizontal="left" vertical="top"/>
    </xf>
    <xf numFmtId="166" fontId="18" fillId="0" borderId="7" xfId="0" applyNumberFormat="1" applyFont="1" applyBorder="1" applyAlignment="1">
      <alignment vertical="top" wrapText="1"/>
    </xf>
    <xf numFmtId="0" fontId="34" fillId="0" borderId="47" xfId="0" applyFont="1" applyBorder="1" applyAlignment="1">
      <alignment vertical="top" wrapText="1"/>
    </xf>
    <xf numFmtId="167" fontId="18" fillId="0" borderId="7" xfId="0" applyNumberFormat="1" applyFont="1" applyBorder="1" applyAlignment="1">
      <alignment vertical="top" wrapText="1"/>
    </xf>
    <xf numFmtId="0" fontId="35" fillId="0" borderId="47" xfId="0" applyFont="1" applyBorder="1" applyAlignment="1">
      <alignment vertical="top" wrapText="1"/>
    </xf>
    <xf numFmtId="0" fontId="19" fillId="0" borderId="86" xfId="0" applyFont="1" applyBorder="1" applyAlignment="1">
      <alignment vertical="top"/>
    </xf>
    <xf numFmtId="0" fontId="19" fillId="0" borderId="48" xfId="0" applyFont="1" applyBorder="1" applyAlignment="1">
      <alignment horizontal="left" vertical="top"/>
    </xf>
    <xf numFmtId="0" fontId="19" fillId="0" borderId="48" xfId="0" applyFont="1" applyBorder="1" applyAlignment="1">
      <alignment horizontal="center" vertical="top"/>
    </xf>
    <xf numFmtId="166" fontId="18" fillId="0" borderId="48" xfId="0" applyNumberFormat="1" applyFont="1" applyBorder="1" applyAlignment="1">
      <alignment vertical="top" wrapText="1"/>
    </xf>
    <xf numFmtId="0" fontId="18" fillId="0" borderId="32" xfId="0" applyFont="1" applyBorder="1" applyAlignment="1">
      <alignment vertical="top" wrapText="1"/>
    </xf>
    <xf numFmtId="0" fontId="10" fillId="0" borderId="5" xfId="0" applyFont="1" applyBorder="1" applyAlignment="1">
      <alignment horizontal="center" wrapText="1"/>
    </xf>
    <xf numFmtId="0" fontId="13" fillId="0" borderId="35" xfId="0" applyFont="1" applyBorder="1" applyAlignment="1">
      <alignment vertical="center"/>
    </xf>
    <xf numFmtId="0" fontId="9" fillId="0" borderId="11" xfId="0" applyFont="1" applyBorder="1" applyAlignment="1">
      <alignment vertical="center"/>
    </xf>
    <xf numFmtId="0" fontId="9" fillId="0" borderId="11" xfId="0" applyFont="1" applyBorder="1" applyAlignment="1">
      <alignment horizontal="center" vertical="center" wrapText="1"/>
    </xf>
    <xf numFmtId="0" fontId="9" fillId="0" borderId="11" xfId="0" applyFont="1" applyBorder="1" applyAlignment="1">
      <alignment horizontal="left" vertical="center" wrapText="1"/>
    </xf>
    <xf numFmtId="17" fontId="9" fillId="0" borderId="11" xfId="0" applyNumberFormat="1" applyFont="1" applyBorder="1" applyAlignment="1">
      <alignment horizontal="left" vertical="center" wrapText="1"/>
    </xf>
    <xf numFmtId="0" fontId="36" fillId="0" borderId="7" xfId="0" applyFont="1" applyBorder="1" applyAlignment="1">
      <alignment horizontal="left" vertical="center" wrapText="1"/>
    </xf>
    <xf numFmtId="0" fontId="9" fillId="0" borderId="7" xfId="0" applyFont="1" applyBorder="1" applyAlignment="1">
      <alignment vertical="center"/>
    </xf>
    <xf numFmtId="0" fontId="9" fillId="0" borderId="7" xfId="0" applyFont="1" applyBorder="1" applyAlignment="1">
      <alignment horizontal="center" vertical="center" wrapText="1"/>
    </xf>
    <xf numFmtId="0" fontId="9" fillId="0" borderId="7" xfId="0" applyFont="1" applyBorder="1" applyAlignment="1">
      <alignment horizontal="left" vertical="center" wrapText="1"/>
    </xf>
    <xf numFmtId="0" fontId="9" fillId="0" borderId="46" xfId="0" applyFont="1" applyBorder="1" applyAlignment="1">
      <alignment vertical="center"/>
    </xf>
    <xf numFmtId="0" fontId="9" fillId="0" borderId="46" xfId="0" applyFont="1" applyBorder="1" applyAlignment="1">
      <alignment horizontal="center" vertical="center" wrapText="1"/>
    </xf>
    <xf numFmtId="0" fontId="37" fillId="0" borderId="46" xfId="0" applyFont="1" applyBorder="1" applyAlignment="1">
      <alignment horizontal="left" vertical="center" wrapText="1"/>
    </xf>
    <xf numFmtId="0" fontId="38" fillId="0" borderId="7" xfId="0" applyFont="1" applyBorder="1" applyAlignment="1">
      <alignment horizontal="left" vertical="center" wrapText="1"/>
    </xf>
    <xf numFmtId="0" fontId="9" fillId="0" borderId="7" xfId="0" applyFont="1" applyBorder="1" applyAlignment="1">
      <alignment vertical="center" wrapText="1"/>
    </xf>
    <xf numFmtId="0" fontId="9" fillId="0" borderId="7" xfId="0" applyFont="1" applyBorder="1"/>
    <xf numFmtId="0" fontId="13" fillId="0" borderId="35" xfId="0" applyFont="1" applyBorder="1" applyAlignment="1">
      <alignment vertical="top"/>
    </xf>
    <xf numFmtId="0" fontId="13" fillId="0" borderId="11" xfId="0" applyFont="1" applyBorder="1" applyAlignment="1">
      <alignment vertical="top"/>
    </xf>
    <xf numFmtId="0" fontId="13" fillId="0" borderId="11" xfId="0" applyFont="1" applyBorder="1" applyAlignment="1">
      <alignment horizontal="center" vertical="center" wrapText="1"/>
    </xf>
    <xf numFmtId="0" fontId="9" fillId="0" borderId="46" xfId="0" applyFont="1" applyBorder="1" applyAlignment="1">
      <alignment horizontal="left" vertical="center" wrapText="1"/>
    </xf>
    <xf numFmtId="166" fontId="9" fillId="0" borderId="7" xfId="0" applyNumberFormat="1" applyFont="1" applyBorder="1" applyAlignment="1">
      <alignment horizontal="left" vertical="center" wrapText="1"/>
    </xf>
    <xf numFmtId="166" fontId="9" fillId="0" borderId="65" xfId="0" applyNumberFormat="1" applyFont="1" applyBorder="1" applyAlignment="1">
      <alignment horizontal="left" vertical="center" wrapText="1"/>
    </xf>
    <xf numFmtId="0" fontId="39" fillId="0" borderId="87" xfId="0" applyFont="1" applyBorder="1" applyAlignment="1">
      <alignment horizontal="left" vertical="center" wrapText="1"/>
    </xf>
    <xf numFmtId="0" fontId="13" fillId="0" borderId="81" xfId="0" applyFont="1" applyBorder="1" applyAlignment="1">
      <alignment horizontal="center" vertical="center" wrapText="1"/>
    </xf>
    <xf numFmtId="0" fontId="13" fillId="0" borderId="29" xfId="0" applyFont="1" applyBorder="1" applyAlignment="1">
      <alignment vertical="top"/>
    </xf>
    <xf numFmtId="0" fontId="13" fillId="0" borderId="7" xfId="0" applyFont="1" applyBorder="1" applyAlignment="1">
      <alignment vertical="top" wrapText="1"/>
    </xf>
    <xf numFmtId="0" fontId="40" fillId="0" borderId="87" xfId="0" applyFont="1" applyBorder="1" applyAlignment="1">
      <alignment horizontal="left" vertical="center" wrapText="1"/>
    </xf>
    <xf numFmtId="0" fontId="13" fillId="0" borderId="7" xfId="0" applyFont="1" applyBorder="1" applyAlignment="1">
      <alignment vertical="center" wrapText="1"/>
    </xf>
    <xf numFmtId="0" fontId="13" fillId="0" borderId="7" xfId="0" applyFont="1" applyBorder="1" applyAlignment="1">
      <alignment horizontal="center" vertical="center" wrapText="1"/>
    </xf>
    <xf numFmtId="166" fontId="9" fillId="0" borderId="46" xfId="0" applyNumberFormat="1" applyFont="1" applyBorder="1" applyAlignment="1">
      <alignment horizontal="left" vertical="center" wrapText="1"/>
    </xf>
    <xf numFmtId="166" fontId="9" fillId="0" borderId="7" xfId="0" applyNumberFormat="1" applyFont="1" applyBorder="1" applyAlignment="1">
      <alignment vertical="center" wrapText="1"/>
    </xf>
    <xf numFmtId="0" fontId="13" fillId="0" borderId="85" xfId="0" applyFont="1" applyBorder="1" applyAlignment="1">
      <alignment horizontal="center" vertical="center" wrapText="1"/>
    </xf>
    <xf numFmtId="166" fontId="9" fillId="0" borderId="60" xfId="0" applyNumberFormat="1" applyFont="1" applyBorder="1" applyAlignment="1">
      <alignment horizontal="left" vertical="center" wrapText="1"/>
    </xf>
    <xf numFmtId="0" fontId="41" fillId="0" borderId="42" xfId="0" applyFont="1" applyBorder="1" applyAlignment="1">
      <alignment horizontal="left" vertical="center" wrapText="1"/>
    </xf>
    <xf numFmtId="0" fontId="21" fillId="0" borderId="7" xfId="0" applyFont="1" applyBorder="1" applyAlignment="1">
      <alignment horizontal="center" vertical="center" wrapText="1"/>
    </xf>
    <xf numFmtId="166" fontId="9" fillId="0" borderId="65" xfId="0" applyNumberFormat="1" applyFont="1" applyBorder="1" applyAlignment="1">
      <alignment vertical="center" wrapText="1"/>
    </xf>
    <xf numFmtId="0" fontId="42" fillId="0" borderId="47" xfId="0" applyFont="1" applyBorder="1" applyAlignment="1">
      <alignment horizontal="left" vertical="center" wrapText="1"/>
    </xf>
    <xf numFmtId="0" fontId="13" fillId="0" borderId="89" xfId="0" applyFont="1" applyBorder="1" applyAlignment="1">
      <alignment vertical="top"/>
    </xf>
    <xf numFmtId="0" fontId="13" fillId="0" borderId="31" xfId="0" applyFont="1" applyBorder="1" applyAlignment="1">
      <alignment vertical="top" wrapText="1"/>
    </xf>
    <xf numFmtId="0" fontId="13" fillId="0" borderId="31" xfId="0" applyFont="1" applyBorder="1" applyAlignment="1">
      <alignment horizontal="center" vertical="top"/>
    </xf>
    <xf numFmtId="0" fontId="13" fillId="0" borderId="31" xfId="0" applyFont="1" applyBorder="1" applyAlignment="1">
      <alignment vertical="top"/>
    </xf>
    <xf numFmtId="0" fontId="13" fillId="0" borderId="85" xfId="0" applyFont="1" applyBorder="1" applyAlignment="1">
      <alignment horizontal="left" vertical="top" wrapText="1"/>
    </xf>
    <xf numFmtId="0" fontId="13" fillId="7" borderId="12" xfId="0" applyFont="1" applyFill="1" applyBorder="1" applyAlignment="1">
      <alignment vertical="top"/>
    </xf>
    <xf numFmtId="0" fontId="13" fillId="7" borderId="72" xfId="0" applyFont="1" applyFill="1" applyBorder="1" applyAlignment="1">
      <alignment vertical="top"/>
    </xf>
    <xf numFmtId="0" fontId="13" fillId="0" borderId="2" xfId="0" applyFont="1" applyBorder="1" applyAlignment="1">
      <alignment vertical="top"/>
    </xf>
    <xf numFmtId="0" fontId="13" fillId="7" borderId="82" xfId="0" applyFont="1" applyFill="1" applyBorder="1" applyAlignment="1">
      <alignment vertical="top"/>
    </xf>
    <xf numFmtId="0" fontId="13" fillId="7" borderId="92" xfId="0" applyFont="1" applyFill="1" applyBorder="1" applyAlignment="1">
      <alignment vertical="top"/>
    </xf>
    <xf numFmtId="0" fontId="13" fillId="7" borderId="19" xfId="0" applyFont="1" applyFill="1" applyBorder="1" applyAlignment="1">
      <alignment vertical="top"/>
    </xf>
    <xf numFmtId="10" fontId="13" fillId="7" borderId="94" xfId="0" applyNumberFormat="1" applyFont="1" applyFill="1" applyBorder="1" applyAlignment="1">
      <alignment vertical="top"/>
    </xf>
    <xf numFmtId="0" fontId="17" fillId="0" borderId="37" xfId="0" applyFont="1" applyBorder="1" applyAlignment="1">
      <alignment horizontal="center" wrapText="1"/>
    </xf>
    <xf numFmtId="0" fontId="19" fillId="0" borderId="11" xfId="0" applyFont="1" applyBorder="1" applyAlignment="1">
      <alignment horizontal="left" vertical="top"/>
    </xf>
    <xf numFmtId="0" fontId="43" fillId="0" borderId="33" xfId="0" applyFont="1" applyBorder="1" applyAlignment="1">
      <alignment vertical="top" wrapText="1"/>
    </xf>
    <xf numFmtId="0" fontId="44" fillId="0" borderId="88" xfId="0" applyFont="1" applyBorder="1" applyAlignment="1">
      <alignment vertical="top" wrapText="1"/>
    </xf>
    <xf numFmtId="0" fontId="19" fillId="10" borderId="67" xfId="0" applyFont="1" applyFill="1" applyBorder="1" applyAlignment="1">
      <alignment horizontal="left"/>
    </xf>
    <xf numFmtId="0" fontId="18" fillId="0" borderId="88" xfId="0" applyFont="1" applyBorder="1" applyAlignment="1">
      <alignment vertical="top" wrapText="1"/>
    </xf>
    <xf numFmtId="0" fontId="19" fillId="0" borderId="38" xfId="0" applyFont="1" applyBorder="1" applyAlignment="1">
      <alignment horizontal="left" vertical="top"/>
    </xf>
    <xf numFmtId="0" fontId="45" fillId="0" borderId="6" xfId="0" applyFont="1" applyBorder="1" applyAlignment="1">
      <alignment vertical="top" wrapText="1"/>
    </xf>
    <xf numFmtId="0" fontId="10" fillId="0" borderId="37" xfId="0" applyFont="1" applyBorder="1" applyAlignment="1">
      <alignment horizontal="center" wrapText="1"/>
    </xf>
    <xf numFmtId="0" fontId="13" fillId="0" borderId="7" xfId="0" applyFont="1" applyBorder="1" applyAlignment="1">
      <alignment horizontal="left" vertical="top"/>
    </xf>
    <xf numFmtId="0" fontId="13" fillId="0" borderId="87" xfId="0" applyFont="1" applyBorder="1" applyAlignment="1">
      <alignment horizontal="left" vertical="top" wrapText="1"/>
    </xf>
    <xf numFmtId="0" fontId="13" fillId="0" borderId="47" xfId="0" applyFont="1" applyBorder="1" applyAlignment="1">
      <alignment horizontal="left" vertical="top" wrapText="1"/>
    </xf>
    <xf numFmtId="0" fontId="13" fillId="0" borderId="46" xfId="0" applyFont="1" applyBorder="1" applyAlignment="1">
      <alignment horizontal="left" vertical="top"/>
    </xf>
    <xf numFmtId="0" fontId="13" fillId="0" borderId="80" xfId="0" applyFont="1" applyBorder="1" applyAlignment="1">
      <alignment horizontal="left" vertical="top" wrapText="1"/>
    </xf>
    <xf numFmtId="0" fontId="13" fillId="0" borderId="32" xfId="0" applyFont="1" applyBorder="1" applyAlignment="1">
      <alignment horizontal="left" vertical="top" wrapText="1"/>
    </xf>
    <xf numFmtId="0" fontId="11" fillId="7" borderId="13" xfId="0" applyFont="1" applyFill="1" applyBorder="1" applyAlignment="1">
      <alignment horizontal="center" vertical="center"/>
    </xf>
    <xf numFmtId="0" fontId="10" fillId="7" borderId="72" xfId="0" applyFont="1" applyFill="1" applyBorder="1" applyAlignment="1">
      <alignment horizontal="center" vertical="center"/>
    </xf>
    <xf numFmtId="0" fontId="13" fillId="0" borderId="2" xfId="0" applyFont="1" applyBorder="1" applyAlignment="1">
      <alignment horizontal="left" vertical="top" wrapText="1"/>
    </xf>
    <xf numFmtId="0" fontId="10" fillId="7" borderId="67" xfId="0" applyFont="1" applyFill="1" applyBorder="1" applyAlignment="1">
      <alignment horizontal="center" vertical="center"/>
    </xf>
    <xf numFmtId="10" fontId="13" fillId="7" borderId="92" xfId="0" applyNumberFormat="1" applyFont="1" applyFill="1" applyBorder="1" applyAlignment="1">
      <alignment horizontal="center" vertical="center"/>
    </xf>
    <xf numFmtId="0" fontId="13" fillId="7" borderId="92" xfId="0" applyFont="1" applyFill="1" applyBorder="1" applyAlignment="1">
      <alignment horizontal="center" vertical="center"/>
    </xf>
    <xf numFmtId="0" fontId="10" fillId="7" borderId="20" xfId="0" applyFont="1" applyFill="1" applyBorder="1" applyAlignment="1">
      <alignment horizontal="right" vertical="top"/>
    </xf>
    <xf numFmtId="0" fontId="10" fillId="7" borderId="20" xfId="0" applyFont="1" applyFill="1" applyBorder="1" applyAlignment="1">
      <alignment horizontal="center" vertical="top"/>
    </xf>
    <xf numFmtId="10" fontId="10" fillId="7" borderId="94" xfId="0" applyNumberFormat="1" applyFont="1" applyFill="1" applyBorder="1" applyAlignment="1">
      <alignment horizontal="center" vertical="top"/>
    </xf>
    <xf numFmtId="0" fontId="46" fillId="0" borderId="32" xfId="0" applyFont="1" applyBorder="1" applyAlignment="1">
      <alignment vertical="top" wrapText="1"/>
    </xf>
    <xf numFmtId="166" fontId="9" fillId="0" borderId="65" xfId="0" applyNumberFormat="1" applyFont="1" applyBorder="1" applyAlignment="1">
      <alignment vertical="top" wrapText="1"/>
    </xf>
    <xf numFmtId="0" fontId="47" fillId="0" borderId="47" xfId="0" applyFont="1" applyBorder="1" applyAlignment="1">
      <alignment horizontal="left" vertical="top" wrapText="1"/>
    </xf>
    <xf numFmtId="0" fontId="48" fillId="4" borderId="12" xfId="0" applyFont="1" applyFill="1" applyBorder="1"/>
    <xf numFmtId="0" fontId="12" fillId="4" borderId="13" xfId="0" applyFont="1" applyFill="1" applyBorder="1" applyAlignment="1">
      <alignment horizontal="left" vertical="top" wrapText="1"/>
    </xf>
    <xf numFmtId="0" fontId="21" fillId="4" borderId="13" xfId="0" applyFont="1" applyFill="1" applyBorder="1"/>
    <xf numFmtId="0" fontId="12" fillId="4" borderId="72" xfId="0" applyFont="1" applyFill="1" applyBorder="1" applyAlignment="1">
      <alignment horizontal="left" vertical="top" wrapText="1"/>
    </xf>
    <xf numFmtId="0" fontId="21" fillId="0" borderId="0" xfId="0" applyFont="1"/>
    <xf numFmtId="0" fontId="21" fillId="0" borderId="17" xfId="0" applyFont="1" applyBorder="1"/>
    <xf numFmtId="0" fontId="21" fillId="4" borderId="19" xfId="0" applyFont="1" applyFill="1" applyBorder="1"/>
    <xf numFmtId="0" fontId="49" fillId="0" borderId="0" xfId="0" applyFont="1" applyAlignment="1">
      <alignment horizontal="right" vertical="top"/>
    </xf>
    <xf numFmtId="0" fontId="19" fillId="0" borderId="35" xfId="0" applyFont="1" applyBorder="1" applyAlignment="1">
      <alignment horizontal="right" wrapText="1"/>
    </xf>
    <xf numFmtId="0" fontId="19" fillId="0" borderId="65" xfId="0" applyFont="1" applyBorder="1" applyAlignment="1">
      <alignment wrapText="1"/>
    </xf>
    <xf numFmtId="166" fontId="19" fillId="0" borderId="65" xfId="0" applyNumberFormat="1" applyFont="1" applyBorder="1" applyAlignment="1">
      <alignment wrapText="1"/>
    </xf>
    <xf numFmtId="166" fontId="19" fillId="0" borderId="33" xfId="0" applyNumberFormat="1" applyFont="1" applyBorder="1" applyAlignment="1">
      <alignment wrapText="1"/>
    </xf>
    <xf numFmtId="0" fontId="19" fillId="0" borderId="35" xfId="0" applyFont="1" applyBorder="1" applyAlignment="1">
      <alignment wrapText="1"/>
    </xf>
    <xf numFmtId="0" fontId="19" fillId="0" borderId="33" xfId="0" applyFont="1" applyBorder="1" applyAlignment="1">
      <alignment wrapText="1"/>
    </xf>
    <xf numFmtId="166" fontId="19" fillId="0" borderId="10" xfId="0" applyNumberFormat="1" applyFont="1" applyBorder="1" applyAlignment="1">
      <alignment wrapText="1"/>
    </xf>
    <xf numFmtId="166" fontId="19" fillId="0" borderId="88" xfId="0" applyNumberFormat="1" applyFont="1" applyBorder="1" applyAlignment="1">
      <alignment wrapText="1"/>
    </xf>
    <xf numFmtId="0" fontId="19" fillId="0" borderId="34" xfId="0" applyFont="1" applyBorder="1" applyAlignment="1">
      <alignment wrapText="1"/>
    </xf>
    <xf numFmtId="0" fontId="19" fillId="0" borderId="10" xfId="0" applyFont="1" applyBorder="1" applyAlignment="1">
      <alignment wrapText="1"/>
    </xf>
    <xf numFmtId="166" fontId="19" fillId="0" borderId="34" xfId="0" applyNumberFormat="1" applyFont="1" applyBorder="1" applyAlignment="1">
      <alignment wrapText="1"/>
    </xf>
    <xf numFmtId="166" fontId="19" fillId="0" borderId="35" xfId="0" applyNumberFormat="1" applyFont="1" applyBorder="1" applyAlignment="1">
      <alignment wrapText="1"/>
    </xf>
    <xf numFmtId="0" fontId="19" fillId="0" borderId="86" xfId="0" applyFont="1" applyBorder="1" applyAlignment="1">
      <alignment wrapText="1"/>
    </xf>
    <xf numFmtId="0" fontId="19" fillId="0" borderId="40" xfId="0" applyFont="1" applyBorder="1" applyAlignment="1">
      <alignment wrapText="1"/>
    </xf>
    <xf numFmtId="166" fontId="19" fillId="0" borderId="40" xfId="0" applyNumberFormat="1" applyFont="1" applyBorder="1" applyAlignment="1">
      <alignment wrapText="1"/>
    </xf>
    <xf numFmtId="166" fontId="19" fillId="0" borderId="100" xfId="0" applyNumberFormat="1" applyFont="1" applyBorder="1" applyAlignment="1">
      <alignment wrapText="1"/>
    </xf>
    <xf numFmtId="168" fontId="19" fillId="0" borderId="40" xfId="0" applyNumberFormat="1" applyFont="1" applyBorder="1" applyAlignment="1">
      <alignment wrapText="1"/>
    </xf>
    <xf numFmtId="0" fontId="19" fillId="0" borderId="100" xfId="0" applyFont="1" applyBorder="1" applyAlignment="1">
      <alignment wrapText="1"/>
    </xf>
    <xf numFmtId="0" fontId="31" fillId="0" borderId="60" xfId="0" applyFont="1" applyBorder="1" applyAlignment="1">
      <alignment horizontal="center" wrapText="1"/>
    </xf>
    <xf numFmtId="0" fontId="31" fillId="0" borderId="18" xfId="0" applyFont="1" applyBorder="1" applyAlignment="1">
      <alignment horizontal="center" wrapText="1"/>
    </xf>
    <xf numFmtId="0" fontId="31" fillId="0" borderId="48" xfId="0" applyFont="1" applyBorder="1" applyAlignment="1">
      <alignment horizontal="center" wrapText="1"/>
    </xf>
    <xf numFmtId="0" fontId="31" fillId="0" borderId="32" xfId="0" applyFont="1" applyBorder="1" applyAlignment="1">
      <alignment horizontal="center" wrapText="1"/>
    </xf>
    <xf numFmtId="0" fontId="21" fillId="13" borderId="82" xfId="0" applyFont="1" applyFill="1" applyBorder="1"/>
    <xf numFmtId="0" fontId="31" fillId="13" borderId="59" xfId="0" applyFont="1" applyFill="1" applyBorder="1" applyAlignment="1">
      <alignment horizontal="center"/>
    </xf>
    <xf numFmtId="0" fontId="21" fillId="13" borderId="59" xfId="0" applyFont="1" applyFill="1" applyBorder="1"/>
    <xf numFmtId="0" fontId="31" fillId="13" borderId="102" xfId="0" applyFont="1" applyFill="1" applyBorder="1" applyAlignment="1">
      <alignment horizontal="center" wrapText="1"/>
    </xf>
    <xf numFmtId="0" fontId="31" fillId="13" borderId="103" xfId="0" applyFont="1" applyFill="1" applyBorder="1" applyAlignment="1">
      <alignment horizontal="center" wrapText="1"/>
    </xf>
    <xf numFmtId="0" fontId="21" fillId="13" borderId="67" xfId="0" applyFont="1" applyFill="1" applyBorder="1"/>
    <xf numFmtId="0" fontId="21" fillId="13" borderId="104" xfId="0" applyFont="1" applyFill="1" applyBorder="1"/>
    <xf numFmtId="0" fontId="21" fillId="13" borderId="92" xfId="0" applyFont="1" applyFill="1" applyBorder="1"/>
    <xf numFmtId="0" fontId="13" fillId="0" borderId="67" xfId="0" applyFont="1" applyBorder="1"/>
    <xf numFmtId="0" fontId="21" fillId="0" borderId="35" xfId="0" applyFont="1" applyBorder="1" applyAlignment="1">
      <alignment wrapText="1"/>
    </xf>
    <xf numFmtId="0" fontId="21" fillId="0" borderId="7" xfId="0" applyFont="1" applyBorder="1" applyAlignment="1">
      <alignment vertical="center"/>
    </xf>
    <xf numFmtId="168" fontId="21" fillId="0" borderId="7" xfId="0" applyNumberFormat="1" applyFont="1" applyBorder="1" applyAlignment="1">
      <alignment vertical="center"/>
    </xf>
    <xf numFmtId="168" fontId="21" fillId="0" borderId="47" xfId="0" applyNumberFormat="1" applyFont="1" applyBorder="1" applyAlignment="1">
      <alignment vertical="center"/>
    </xf>
    <xf numFmtId="0" fontId="21" fillId="0" borderId="10" xfId="0" applyFont="1" applyBorder="1" applyAlignment="1">
      <alignment vertical="center" wrapText="1"/>
    </xf>
    <xf numFmtId="168" fontId="21" fillId="0" borderId="8" xfId="0" applyNumberFormat="1" applyFont="1" applyBorder="1" applyAlignment="1">
      <alignment horizontal="left" vertical="center" wrapText="1"/>
    </xf>
    <xf numFmtId="166" fontId="21" fillId="0" borderId="11" xfId="0" applyNumberFormat="1" applyFont="1" applyBorder="1" applyAlignment="1">
      <alignment wrapText="1"/>
    </xf>
    <xf numFmtId="0" fontId="21" fillId="0" borderId="11" xfId="0" applyFont="1" applyBorder="1" applyAlignment="1">
      <alignment wrapText="1"/>
    </xf>
    <xf numFmtId="0" fontId="21" fillId="0" borderId="87" xfId="0" applyFont="1" applyBorder="1" applyAlignment="1">
      <alignment wrapText="1"/>
    </xf>
    <xf numFmtId="0" fontId="21" fillId="0" borderId="35" xfId="0" applyFont="1" applyBorder="1" applyAlignment="1">
      <alignment vertical="center" wrapText="1"/>
    </xf>
    <xf numFmtId="0" fontId="21" fillId="0" borderId="11" xfId="0" applyFont="1" applyBorder="1" applyAlignment="1">
      <alignment vertical="center" wrapText="1"/>
    </xf>
    <xf numFmtId="0" fontId="21" fillId="0" borderId="87" xfId="0" applyFont="1" applyBorder="1" applyAlignment="1">
      <alignment vertical="center" wrapText="1"/>
    </xf>
    <xf numFmtId="0" fontId="48" fillId="0" borderId="11" xfId="0" applyFont="1" applyBorder="1" applyAlignment="1">
      <alignment wrapText="1"/>
    </xf>
    <xf numFmtId="0" fontId="21" fillId="0" borderId="81" xfId="0" applyFont="1" applyBorder="1" applyAlignment="1">
      <alignment wrapText="1"/>
    </xf>
    <xf numFmtId="0" fontId="33" fillId="0" borderId="7" xfId="0" applyFont="1" applyBorder="1"/>
    <xf numFmtId="0" fontId="13" fillId="0" borderId="0" xfId="0" applyFont="1" applyAlignment="1">
      <alignment vertical="center" wrapText="1"/>
    </xf>
    <xf numFmtId="14" fontId="21" fillId="0" borderId="47" xfId="0" applyNumberFormat="1" applyFont="1" applyBorder="1" applyAlignment="1">
      <alignment vertical="center"/>
    </xf>
    <xf numFmtId="166" fontId="21" fillId="0" borderId="34" xfId="0" applyNumberFormat="1" applyFont="1" applyBorder="1" applyAlignment="1">
      <alignment vertical="center" wrapText="1"/>
    </xf>
    <xf numFmtId="166" fontId="21" fillId="0" borderId="7" xfId="0" applyNumberFormat="1" applyFont="1" applyBorder="1" applyAlignment="1">
      <alignment wrapText="1"/>
    </xf>
    <xf numFmtId="166" fontId="21" fillId="0" borderId="47" xfId="0" applyNumberFormat="1" applyFont="1" applyBorder="1" applyAlignment="1">
      <alignment vertical="center" wrapText="1"/>
    </xf>
    <xf numFmtId="0" fontId="21" fillId="0" borderId="34" xfId="0" applyFont="1" applyBorder="1" applyAlignment="1">
      <alignment wrapText="1"/>
    </xf>
    <xf numFmtId="14" fontId="21" fillId="0" borderId="7" xfId="0" applyNumberFormat="1" applyFont="1" applyBorder="1" applyAlignment="1">
      <alignment horizontal="right"/>
    </xf>
    <xf numFmtId="168" fontId="21" fillId="0" borderId="47" xfId="0" applyNumberFormat="1" applyFont="1" applyBorder="1" applyAlignment="1">
      <alignment horizontal="right"/>
    </xf>
    <xf numFmtId="166" fontId="21" fillId="0" borderId="34" xfId="0" applyNumberFormat="1" applyFont="1" applyBorder="1" applyAlignment="1">
      <alignment wrapText="1"/>
    </xf>
    <xf numFmtId="166" fontId="21" fillId="0" borderId="47" xfId="0" applyNumberFormat="1" applyFont="1" applyBorder="1" applyAlignment="1">
      <alignment wrapText="1"/>
    </xf>
    <xf numFmtId="168" fontId="21" fillId="0" borderId="7" xfId="0" applyNumberFormat="1" applyFont="1" applyBorder="1" applyAlignment="1">
      <alignment horizontal="right"/>
    </xf>
    <xf numFmtId="14" fontId="21" fillId="0" borderId="47" xfId="0" applyNumberFormat="1" applyFont="1" applyBorder="1" applyAlignment="1">
      <alignment horizontal="right"/>
    </xf>
    <xf numFmtId="14" fontId="21" fillId="0" borderId="7" xfId="0" applyNumberFormat="1" applyFont="1" applyBorder="1" applyAlignment="1">
      <alignment vertical="center"/>
    </xf>
    <xf numFmtId="0" fontId="21" fillId="0" borderId="7" xfId="0" applyFont="1" applyBorder="1" applyAlignment="1">
      <alignment wrapText="1"/>
    </xf>
    <xf numFmtId="0" fontId="21" fillId="0" borderId="47" xfId="0" applyFont="1" applyBorder="1" applyAlignment="1">
      <alignment wrapText="1"/>
    </xf>
    <xf numFmtId="17" fontId="22" fillId="0" borderId="7" xfId="0" applyNumberFormat="1" applyFont="1" applyBorder="1" applyAlignment="1">
      <alignment vertical="center"/>
    </xf>
    <xf numFmtId="168" fontId="21" fillId="0" borderId="7" xfId="0" applyNumberFormat="1" applyFont="1" applyBorder="1" applyAlignment="1">
      <alignment wrapText="1"/>
    </xf>
    <xf numFmtId="14" fontId="22" fillId="0" borderId="7" xfId="0" applyNumberFormat="1" applyFont="1" applyBorder="1" applyAlignment="1">
      <alignment vertical="center"/>
    </xf>
    <xf numFmtId="14" fontId="21" fillId="0" borderId="7" xfId="0" applyNumberFormat="1" applyFont="1" applyBorder="1" applyAlignment="1">
      <alignment horizontal="right" vertical="center"/>
    </xf>
    <xf numFmtId="14" fontId="21" fillId="0" borderId="47" xfId="0" applyNumberFormat="1" applyFont="1" applyBorder="1" applyAlignment="1">
      <alignment horizontal="right" vertical="center"/>
    </xf>
    <xf numFmtId="0" fontId="21" fillId="0" borderId="31" xfId="0" applyFont="1" applyBorder="1" applyAlignment="1">
      <alignment vertical="center" wrapText="1"/>
    </xf>
    <xf numFmtId="168" fontId="21" fillId="0" borderId="48" xfId="0" applyNumberFormat="1" applyFont="1" applyBorder="1" applyAlignment="1">
      <alignment vertical="center"/>
    </xf>
    <xf numFmtId="168" fontId="21" fillId="0" borderId="32" xfId="0" applyNumberFormat="1" applyFont="1" applyBorder="1" applyAlignment="1">
      <alignment vertical="center"/>
    </xf>
    <xf numFmtId="0" fontId="21" fillId="0" borderId="48" xfId="0" applyFont="1" applyBorder="1" applyAlignment="1">
      <alignment vertical="center" wrapText="1"/>
    </xf>
    <xf numFmtId="0" fontId="21" fillId="0" borderId="48" xfId="0" applyFont="1" applyBorder="1" applyAlignment="1">
      <alignment vertical="center"/>
    </xf>
    <xf numFmtId="0" fontId="21" fillId="0" borderId="46" xfId="0" applyFont="1" applyBorder="1" applyAlignment="1">
      <alignment vertical="center" wrapText="1"/>
    </xf>
    <xf numFmtId="0" fontId="21" fillId="0" borderId="46" xfId="0" applyFont="1" applyBorder="1" applyAlignment="1">
      <alignment vertical="center"/>
    </xf>
    <xf numFmtId="168" fontId="21" fillId="0" borderId="46" xfId="0" applyNumberFormat="1" applyFont="1" applyBorder="1" applyAlignment="1">
      <alignment vertical="center"/>
    </xf>
    <xf numFmtId="168" fontId="21" fillId="0" borderId="80" xfId="0" applyNumberFormat="1" applyFont="1" applyBorder="1" applyAlignment="1">
      <alignment vertical="center"/>
    </xf>
    <xf numFmtId="0" fontId="21" fillId="13" borderId="34" xfId="0" applyFont="1" applyFill="1" applyBorder="1" applyAlignment="1">
      <alignment wrapText="1"/>
    </xf>
    <xf numFmtId="0" fontId="31" fillId="13" borderId="7" xfId="0" applyFont="1" applyFill="1" applyBorder="1" applyAlignment="1">
      <alignment horizontal="center" wrapText="1"/>
    </xf>
    <xf numFmtId="0" fontId="21" fillId="13" borderId="7" xfId="0" applyFont="1" applyFill="1" applyBorder="1" applyAlignment="1">
      <alignment wrapText="1"/>
    </xf>
    <xf numFmtId="166" fontId="21" fillId="13" borderId="7" xfId="0" applyNumberFormat="1" applyFont="1" applyFill="1" applyBorder="1" applyAlignment="1">
      <alignment wrapText="1"/>
    </xf>
    <xf numFmtId="166" fontId="21" fillId="13" borderId="47" xfId="0" applyNumberFormat="1" applyFont="1" applyFill="1" applyBorder="1" applyAlignment="1">
      <alignment wrapText="1"/>
    </xf>
    <xf numFmtId="0" fontId="21" fillId="13" borderId="55" xfId="0" applyFont="1" applyFill="1" applyBorder="1" applyAlignment="1">
      <alignment wrapText="1"/>
    </xf>
    <xf numFmtId="168" fontId="21" fillId="13" borderId="68" xfId="0" applyNumberFormat="1" applyFont="1" applyFill="1" applyBorder="1" applyAlignment="1">
      <alignment wrapText="1"/>
    </xf>
    <xf numFmtId="168" fontId="21" fillId="13" borderId="7" xfId="0" applyNumberFormat="1" applyFont="1" applyFill="1" applyBorder="1" applyAlignment="1">
      <alignment wrapText="1"/>
    </xf>
    <xf numFmtId="0" fontId="21" fillId="13" borderId="47" xfId="0" applyFont="1" applyFill="1" applyBorder="1" applyAlignment="1">
      <alignment wrapText="1"/>
    </xf>
    <xf numFmtId="0" fontId="13" fillId="13" borderId="67" xfId="0" applyFont="1" applyFill="1" applyBorder="1"/>
    <xf numFmtId="14" fontId="21" fillId="14" borderId="7" xfId="0" applyNumberFormat="1" applyFont="1" applyFill="1" applyBorder="1" applyAlignment="1">
      <alignment horizontal="center" vertical="center"/>
    </xf>
    <xf numFmtId="14" fontId="21" fillId="0" borderId="7" xfId="0" applyNumberFormat="1" applyFont="1" applyBorder="1" applyAlignment="1">
      <alignment horizontal="center" vertical="center"/>
    </xf>
    <xf numFmtId="0" fontId="21" fillId="14" borderId="7" xfId="0" applyFont="1" applyFill="1" applyBorder="1" applyAlignment="1">
      <alignment vertical="center" wrapText="1"/>
    </xf>
    <xf numFmtId="169" fontId="21" fillId="14" borderId="7" xfId="0" applyNumberFormat="1" applyFont="1" applyFill="1" applyBorder="1" applyAlignment="1">
      <alignment horizontal="left" vertical="center" wrapText="1"/>
    </xf>
    <xf numFmtId="0" fontId="21" fillId="14" borderId="7" xfId="0" applyFont="1" applyFill="1" applyBorder="1" applyAlignment="1">
      <alignment horizontal="center" vertical="center"/>
    </xf>
    <xf numFmtId="0" fontId="21" fillId="0" borderId="7" xfId="0" applyFont="1" applyBorder="1" applyAlignment="1">
      <alignment horizontal="center" vertical="center"/>
    </xf>
    <xf numFmtId="14" fontId="21" fillId="0" borderId="7" xfId="0" applyNumberFormat="1" applyFont="1" applyBorder="1" applyAlignment="1">
      <alignment horizontal="center" vertical="center" wrapText="1"/>
    </xf>
    <xf numFmtId="0" fontId="21" fillId="0" borderId="98" xfId="0" applyFont="1" applyBorder="1" applyAlignment="1">
      <alignment vertical="center" wrapText="1"/>
    </xf>
    <xf numFmtId="0" fontId="21" fillId="13" borderId="34" xfId="0" applyFont="1" applyFill="1" applyBorder="1" applyAlignment="1">
      <alignment horizontal="center" wrapText="1"/>
    </xf>
    <xf numFmtId="0" fontId="21" fillId="13" borderId="7" xfId="0" applyFont="1" applyFill="1" applyBorder="1" applyAlignment="1">
      <alignment horizontal="center" wrapText="1"/>
    </xf>
    <xf numFmtId="166" fontId="21" fillId="13" borderId="7" xfId="0" applyNumberFormat="1" applyFont="1" applyFill="1" applyBorder="1" applyAlignment="1">
      <alignment horizontal="center" wrapText="1"/>
    </xf>
    <xf numFmtId="166" fontId="21" fillId="13" borderId="47" xfId="0" applyNumberFormat="1" applyFont="1" applyFill="1" applyBorder="1" applyAlignment="1">
      <alignment horizontal="center" wrapText="1"/>
    </xf>
    <xf numFmtId="0" fontId="21" fillId="13" borderId="55" xfId="0" applyFont="1" applyFill="1" applyBorder="1" applyAlignment="1">
      <alignment horizontal="center" wrapText="1"/>
    </xf>
    <xf numFmtId="168" fontId="21" fillId="13" borderId="68" xfId="0" applyNumberFormat="1" applyFont="1" applyFill="1" applyBorder="1" applyAlignment="1">
      <alignment horizontal="center" wrapText="1"/>
    </xf>
    <xf numFmtId="168" fontId="21" fillId="13" borderId="7" xfId="0" applyNumberFormat="1" applyFont="1" applyFill="1" applyBorder="1" applyAlignment="1">
      <alignment horizontal="center" wrapText="1"/>
    </xf>
    <xf numFmtId="0" fontId="21" fillId="13" borderId="47" xfId="0" applyFont="1" applyFill="1" applyBorder="1" applyAlignment="1">
      <alignment horizontal="center" wrapText="1"/>
    </xf>
    <xf numFmtId="0" fontId="13" fillId="13" borderId="67" xfId="0" applyFont="1" applyFill="1" applyBorder="1" applyAlignment="1">
      <alignment horizontal="center"/>
    </xf>
    <xf numFmtId="0" fontId="21" fillId="0" borderId="7" xfId="0" applyFont="1" applyBorder="1" applyAlignment="1">
      <alignment horizontal="left" vertical="center"/>
    </xf>
    <xf numFmtId="168" fontId="21" fillId="0" borderId="8" xfId="0" applyNumberFormat="1" applyFont="1" applyBorder="1" applyAlignment="1">
      <alignment vertical="center" wrapText="1"/>
    </xf>
    <xf numFmtId="14" fontId="21" fillId="14" borderId="7" xfId="0" applyNumberFormat="1" applyFont="1" applyFill="1" applyBorder="1" applyAlignment="1">
      <alignment horizontal="left" vertical="center"/>
    </xf>
    <xf numFmtId="0" fontId="13" fillId="10" borderId="7" xfId="0" applyFont="1" applyFill="1" applyBorder="1" applyAlignment="1">
      <alignment vertical="center" wrapText="1"/>
    </xf>
    <xf numFmtId="0" fontId="21" fillId="0" borderId="89" xfId="0" applyFont="1" applyBorder="1" applyAlignment="1">
      <alignment vertical="center" wrapText="1"/>
    </xf>
    <xf numFmtId="0" fontId="21" fillId="0" borderId="42" xfId="0" applyFont="1" applyBorder="1" applyAlignment="1">
      <alignment vertical="center" wrapText="1"/>
    </xf>
    <xf numFmtId="14" fontId="21" fillId="0" borderId="46" xfId="0" applyNumberFormat="1" applyFont="1" applyBorder="1" applyAlignment="1">
      <alignment horizontal="center" vertical="center"/>
    </xf>
    <xf numFmtId="0" fontId="21" fillId="0" borderId="30" xfId="0" applyFont="1" applyBorder="1" applyAlignment="1">
      <alignment vertical="center" wrapText="1"/>
    </xf>
    <xf numFmtId="166" fontId="21" fillId="0" borderId="8" xfId="0" applyNumberFormat="1" applyFont="1" applyBorder="1" applyAlignment="1">
      <alignment wrapText="1"/>
    </xf>
    <xf numFmtId="0" fontId="21" fillId="0" borderId="10" xfId="0" applyFont="1" applyBorder="1" applyAlignment="1">
      <alignment wrapText="1"/>
    </xf>
    <xf numFmtId="168" fontId="21" fillId="0" borderId="8" xfId="0" applyNumberFormat="1" applyFont="1" applyBorder="1" applyAlignment="1">
      <alignment wrapText="1"/>
    </xf>
    <xf numFmtId="0" fontId="21" fillId="0" borderId="86" xfId="0" applyFont="1" applyBorder="1" applyAlignment="1">
      <alignment wrapText="1"/>
    </xf>
    <xf numFmtId="0" fontId="21" fillId="0" borderId="48" xfId="0" applyFont="1" applyBorder="1" applyAlignment="1">
      <alignment wrapText="1"/>
    </xf>
    <xf numFmtId="166" fontId="21" fillId="0" borderId="48" xfId="0" applyNumberFormat="1" applyFont="1" applyBorder="1" applyAlignment="1">
      <alignment wrapText="1"/>
    </xf>
    <xf numFmtId="166" fontId="21" fillId="0" borderId="44" xfId="0" applyNumberFormat="1" applyFont="1" applyBorder="1" applyAlignment="1">
      <alignment wrapText="1"/>
    </xf>
    <xf numFmtId="0" fontId="21" fillId="0" borderId="65" xfId="0" applyFont="1" applyBorder="1" applyAlignment="1">
      <alignment wrapText="1"/>
    </xf>
    <xf numFmtId="168" fontId="21" fillId="0" borderId="48" xfId="0" applyNumberFormat="1" applyFont="1" applyBorder="1" applyAlignment="1">
      <alignment wrapText="1"/>
    </xf>
    <xf numFmtId="0" fontId="21" fillId="0" borderId="32" xfId="0" applyFont="1" applyBorder="1" applyAlignment="1">
      <alignment wrapText="1"/>
    </xf>
    <xf numFmtId="0" fontId="21" fillId="0" borderId="36" xfId="0" applyFont="1" applyBorder="1"/>
    <xf numFmtId="0" fontId="21" fillId="0" borderId="37" xfId="0" applyFont="1" applyBorder="1"/>
    <xf numFmtId="168" fontId="21" fillId="0" borderId="37" xfId="0" applyNumberFormat="1" applyFont="1" applyBorder="1"/>
    <xf numFmtId="0" fontId="21" fillId="0" borderId="48" xfId="0" applyFont="1" applyBorder="1"/>
    <xf numFmtId="168" fontId="21" fillId="0" borderId="48" xfId="0" applyNumberFormat="1" applyFont="1" applyBorder="1"/>
    <xf numFmtId="0" fontId="21" fillId="0" borderId="44" xfId="0" applyFont="1" applyBorder="1"/>
    <xf numFmtId="0" fontId="21" fillId="7" borderId="12" xfId="0" applyFont="1" applyFill="1" applyBorder="1"/>
    <xf numFmtId="0" fontId="21" fillId="7" borderId="13" xfId="0" applyFont="1" applyFill="1" applyBorder="1"/>
    <xf numFmtId="168" fontId="21" fillId="7" borderId="13" xfId="0" applyNumberFormat="1" applyFont="1" applyFill="1" applyBorder="1"/>
    <xf numFmtId="0" fontId="31" fillId="7" borderId="13" xfId="0" applyFont="1" applyFill="1" applyBorder="1" applyAlignment="1">
      <alignment horizontal="center"/>
    </xf>
    <xf numFmtId="0" fontId="31" fillId="7" borderId="72" xfId="0" applyFont="1" applyFill="1" applyBorder="1" applyAlignment="1">
      <alignment horizontal="center"/>
    </xf>
    <xf numFmtId="0" fontId="21" fillId="0" borderId="2" xfId="0" applyFont="1" applyBorder="1"/>
    <xf numFmtId="168" fontId="21" fillId="0" borderId="2" xfId="0" applyNumberFormat="1" applyFont="1" applyBorder="1"/>
    <xf numFmtId="0" fontId="21" fillId="7" borderId="82" xfId="0" applyFont="1" applyFill="1" applyBorder="1"/>
    <xf numFmtId="0" fontId="21" fillId="7" borderId="67" xfId="0" applyFont="1" applyFill="1" applyBorder="1"/>
    <xf numFmtId="168" fontId="21" fillId="7" borderId="67" xfId="0" applyNumberFormat="1" applyFont="1" applyFill="1" applyBorder="1"/>
    <xf numFmtId="0" fontId="21" fillId="15" borderId="67" xfId="0" applyFont="1" applyFill="1" applyBorder="1"/>
    <xf numFmtId="10" fontId="21" fillId="15" borderId="92" xfId="0" applyNumberFormat="1" applyFont="1" applyFill="1" applyBorder="1"/>
    <xf numFmtId="168" fontId="21" fillId="0" borderId="0" xfId="0" applyNumberFormat="1" applyFont="1"/>
    <xf numFmtId="0" fontId="21" fillId="7" borderId="19" xfId="0" applyFont="1" applyFill="1" applyBorder="1"/>
    <xf numFmtId="168" fontId="21" fillId="7" borderId="20" xfId="0" applyNumberFormat="1" applyFont="1" applyFill="1" applyBorder="1"/>
    <xf numFmtId="0" fontId="21" fillId="15" borderId="20" xfId="0" applyFont="1" applyFill="1" applyBorder="1"/>
    <xf numFmtId="0" fontId="21" fillId="7" borderId="20" xfId="0" applyFont="1" applyFill="1" applyBorder="1"/>
    <xf numFmtId="0" fontId="21" fillId="7" borderId="94" xfId="0" applyFont="1" applyFill="1" applyBorder="1"/>
    <xf numFmtId="0" fontId="13" fillId="0" borderId="0" xfId="0" applyFont="1" applyAlignment="1">
      <alignment horizontal="center" vertical="top" wrapText="1"/>
    </xf>
    <xf numFmtId="0" fontId="21" fillId="4" borderId="13" xfId="0" applyFont="1" applyFill="1" applyBorder="1" applyAlignment="1">
      <alignment horizontal="center"/>
    </xf>
    <xf numFmtId="0" fontId="21" fillId="13" borderId="13" xfId="0" applyFont="1" applyFill="1" applyBorder="1" applyAlignment="1">
      <alignment horizontal="center"/>
    </xf>
    <xf numFmtId="0" fontId="21" fillId="13" borderId="72" xfId="0" applyFont="1" applyFill="1" applyBorder="1" applyAlignment="1">
      <alignment horizontal="center"/>
    </xf>
    <xf numFmtId="0" fontId="13" fillId="0" borderId="17" xfId="0" applyFont="1" applyBorder="1" applyAlignment="1">
      <alignment vertical="top"/>
    </xf>
    <xf numFmtId="0" fontId="50" fillId="0" borderId="0" xfId="0" applyFont="1" applyAlignment="1">
      <alignment vertical="top"/>
    </xf>
    <xf numFmtId="0" fontId="21" fillId="0" borderId="0" xfId="0" applyFont="1" applyAlignment="1">
      <alignment horizontal="left" vertical="top"/>
    </xf>
    <xf numFmtId="0" fontId="21" fillId="0" borderId="18" xfId="0" applyFont="1" applyBorder="1" applyAlignment="1">
      <alignment horizontal="left" vertical="top" wrapText="1"/>
    </xf>
    <xf numFmtId="0" fontId="31" fillId="0" borderId="0" xfId="0" applyFont="1"/>
    <xf numFmtId="0" fontId="21" fillId="0" borderId="0" xfId="0" applyFont="1" applyAlignment="1">
      <alignment horizontal="left"/>
    </xf>
    <xf numFmtId="0" fontId="21" fillId="0" borderId="0" xfId="0" applyFont="1" applyAlignment="1">
      <alignment horizontal="center"/>
    </xf>
    <xf numFmtId="0" fontId="21" fillId="13" borderId="67" xfId="0" applyFont="1" applyFill="1" applyBorder="1" applyAlignment="1">
      <alignment horizontal="center"/>
    </xf>
    <xf numFmtId="0" fontId="29" fillId="0" borderId="15" xfId="0" applyFont="1" applyBorder="1" applyAlignment="1">
      <alignment horizontal="center"/>
    </xf>
    <xf numFmtId="0" fontId="29" fillId="0" borderId="25" xfId="0" applyFont="1" applyBorder="1" applyAlignment="1">
      <alignment horizontal="center"/>
    </xf>
    <xf numFmtId="0" fontId="29" fillId="0" borderId="107" xfId="0" applyFont="1" applyBorder="1" applyAlignment="1">
      <alignment horizontal="center"/>
    </xf>
    <xf numFmtId="0" fontId="17" fillId="0" borderId="65" xfId="0" applyFont="1" applyBorder="1" applyAlignment="1">
      <alignment horizontal="center" wrapText="1"/>
    </xf>
    <xf numFmtId="0" fontId="17" fillId="0" borderId="33" xfId="0" applyFont="1" applyBorder="1" applyAlignment="1">
      <alignment horizontal="center" wrapText="1"/>
    </xf>
    <xf numFmtId="0" fontId="17" fillId="0" borderId="38" xfId="0" applyFont="1" applyBorder="1" applyAlignment="1">
      <alignment horizontal="center" wrapText="1"/>
    </xf>
    <xf numFmtId="0" fontId="17" fillId="0" borderId="6" xfId="0" applyFont="1" applyBorder="1" applyAlignment="1">
      <alignment horizontal="center" wrapText="1"/>
    </xf>
    <xf numFmtId="0" fontId="19" fillId="0" borderId="35" xfId="0" applyFont="1" applyBorder="1"/>
    <xf numFmtId="166" fontId="19" fillId="0" borderId="65" xfId="0" applyNumberFormat="1" applyFont="1" applyBorder="1" applyAlignment="1">
      <alignment horizontal="center" wrapText="1"/>
    </xf>
    <xf numFmtId="0" fontId="19" fillId="0" borderId="65" xfId="0" applyFont="1" applyBorder="1" applyAlignment="1">
      <alignment horizontal="center"/>
    </xf>
    <xf numFmtId="0" fontId="19" fillId="0" borderId="65" xfId="0" applyFont="1" applyBorder="1" applyAlignment="1">
      <alignment horizontal="center" wrapText="1"/>
    </xf>
    <xf numFmtId="2" fontId="19" fillId="0" borderId="101" xfId="0" applyNumberFormat="1" applyFont="1" applyBorder="1" applyAlignment="1">
      <alignment horizontal="center"/>
    </xf>
    <xf numFmtId="1" fontId="19" fillId="0" borderId="35" xfId="0" applyNumberFormat="1" applyFont="1" applyBorder="1" applyAlignment="1">
      <alignment horizontal="center" wrapText="1"/>
    </xf>
    <xf numFmtId="0" fontId="19" fillId="0" borderId="33" xfId="0" applyFont="1" applyBorder="1" applyAlignment="1">
      <alignment horizontal="center" wrapText="1"/>
    </xf>
    <xf numFmtId="0" fontId="19" fillId="0" borderId="36" xfId="0" applyFont="1" applyBorder="1"/>
    <xf numFmtId="0" fontId="19" fillId="0" borderId="38" xfId="0" applyFont="1" applyBorder="1" applyAlignment="1">
      <alignment wrapText="1"/>
    </xf>
    <xf numFmtId="166" fontId="19" fillId="0" borderId="38" xfId="0" applyNumberFormat="1" applyFont="1" applyBorder="1" applyAlignment="1">
      <alignment horizontal="center" wrapText="1"/>
    </xf>
    <xf numFmtId="0" fontId="19" fillId="0" borderId="38" xfId="0" applyFont="1" applyBorder="1" applyAlignment="1">
      <alignment horizontal="center"/>
    </xf>
    <xf numFmtId="0" fontId="19" fillId="0" borderId="38" xfId="0" applyFont="1" applyBorder="1" applyAlignment="1">
      <alignment horizontal="center" wrapText="1"/>
    </xf>
    <xf numFmtId="2" fontId="19" fillId="0" borderId="5" xfId="0" applyNumberFormat="1" applyFont="1" applyBorder="1" applyAlignment="1">
      <alignment horizontal="center"/>
    </xf>
    <xf numFmtId="1" fontId="19" fillId="0" borderId="36" xfId="0" applyNumberFormat="1" applyFont="1" applyBorder="1" applyAlignment="1">
      <alignment horizontal="center" wrapText="1"/>
    </xf>
    <xf numFmtId="0" fontId="19" fillId="0" borderId="6" xfId="0" applyFont="1" applyBorder="1" applyAlignment="1">
      <alignment horizontal="center" wrapText="1"/>
    </xf>
    <xf numFmtId="0" fontId="21" fillId="0" borderId="24" xfId="0" applyFont="1" applyBorder="1" applyAlignment="1">
      <alignment horizontal="center"/>
    </xf>
    <xf numFmtId="0" fontId="21" fillId="0" borderId="26" xfId="0" applyFont="1" applyBorder="1" applyAlignment="1">
      <alignment horizontal="center"/>
    </xf>
    <xf numFmtId="0" fontId="21" fillId="0" borderId="27" xfId="0" applyFont="1" applyBorder="1" applyAlignment="1">
      <alignment horizontal="center"/>
    </xf>
    <xf numFmtId="0" fontId="31" fillId="0" borderId="11" xfId="0" applyFont="1" applyBorder="1" applyAlignment="1">
      <alignment horizontal="center" wrapText="1"/>
    </xf>
    <xf numFmtId="0" fontId="31" fillId="0" borderId="87" xfId="0" applyFont="1" applyBorder="1" applyAlignment="1">
      <alignment horizontal="center" wrapText="1"/>
    </xf>
    <xf numFmtId="0" fontId="21" fillId="0" borderId="89" xfId="0" applyFont="1" applyBorder="1" applyAlignment="1">
      <alignment horizontal="right"/>
    </xf>
    <xf numFmtId="0" fontId="21" fillId="0" borderId="60" xfId="0" applyFont="1" applyBorder="1" applyAlignment="1">
      <alignment wrapText="1"/>
    </xf>
    <xf numFmtId="14" fontId="21" fillId="0" borderId="60" xfId="0" applyNumberFormat="1" applyFont="1" applyBorder="1" applyAlignment="1">
      <alignment horizontal="center" wrapText="1"/>
    </xf>
    <xf numFmtId="14" fontId="21" fillId="0" borderId="31" xfId="0" applyNumberFormat="1" applyFont="1" applyBorder="1" applyAlignment="1">
      <alignment horizontal="center" wrapText="1"/>
    </xf>
    <xf numFmtId="0" fontId="21" fillId="0" borderId="37" xfId="0" applyFont="1" applyBorder="1" applyAlignment="1">
      <alignment horizontal="center" wrapText="1"/>
    </xf>
    <xf numFmtId="2" fontId="21" fillId="0" borderId="85" xfId="0" applyNumberFormat="1" applyFont="1" applyBorder="1" applyAlignment="1">
      <alignment horizontal="center" wrapText="1"/>
    </xf>
    <xf numFmtId="1" fontId="21" fillId="0" borderId="17" xfId="0" applyNumberFormat="1" applyFont="1" applyBorder="1" applyAlignment="1">
      <alignment horizontal="center" wrapText="1"/>
    </xf>
    <xf numFmtId="0" fontId="21" fillId="0" borderId="31" xfId="0" applyFont="1" applyBorder="1" applyAlignment="1">
      <alignment horizontal="center" wrapText="1"/>
    </xf>
    <xf numFmtId="0" fontId="21" fillId="13" borderId="102" xfId="0" applyFont="1" applyFill="1" applyBorder="1" applyAlignment="1">
      <alignment horizontal="center" wrapText="1"/>
    </xf>
    <xf numFmtId="0" fontId="21" fillId="13" borderId="103" xfId="0" applyFont="1" applyFill="1" applyBorder="1" applyAlignment="1">
      <alignment horizontal="center" wrapText="1"/>
    </xf>
    <xf numFmtId="0" fontId="21" fillId="0" borderId="107" xfId="0" applyFont="1" applyBorder="1" applyAlignment="1">
      <alignment horizontal="right"/>
    </xf>
    <xf numFmtId="0" fontId="12" fillId="0" borderId="109" xfId="0" applyFont="1" applyBorder="1" applyAlignment="1">
      <alignment horizontal="center" vertical="top" wrapText="1"/>
    </xf>
    <xf numFmtId="14" fontId="13" fillId="0" borderId="7" xfId="0" applyNumberFormat="1" applyFont="1" applyBorder="1" applyAlignment="1">
      <alignment horizontal="center" vertical="center"/>
    </xf>
    <xf numFmtId="14" fontId="13" fillId="0" borderId="8" xfId="0" applyNumberFormat="1" applyFont="1" applyBorder="1" applyAlignment="1">
      <alignment horizontal="center" vertical="center"/>
    </xf>
    <xf numFmtId="0" fontId="21" fillId="0" borderId="11" xfId="0" applyFont="1" applyBorder="1" applyAlignment="1">
      <alignment horizontal="center" wrapText="1"/>
    </xf>
    <xf numFmtId="0" fontId="21" fillId="16" borderId="63" xfId="0" applyFont="1" applyFill="1" applyBorder="1" applyAlignment="1">
      <alignment horizontal="center" wrapText="1"/>
    </xf>
    <xf numFmtId="2" fontId="21" fillId="16" borderId="110" xfId="0" applyNumberFormat="1" applyFont="1" applyFill="1" applyBorder="1" applyAlignment="1">
      <alignment horizontal="center" wrapText="1"/>
    </xf>
    <xf numFmtId="0" fontId="21" fillId="0" borderId="27" xfId="0" applyFont="1" applyBorder="1" applyAlignment="1">
      <alignment horizontal="center" wrapText="1"/>
    </xf>
    <xf numFmtId="0" fontId="21" fillId="0" borderId="28" xfId="0" applyFont="1" applyBorder="1" applyAlignment="1">
      <alignment horizontal="center" wrapText="1"/>
    </xf>
    <xf numFmtId="0" fontId="21" fillId="0" borderId="34" xfId="0" applyFont="1" applyBorder="1" applyAlignment="1">
      <alignment horizontal="right"/>
    </xf>
    <xf numFmtId="0" fontId="12" fillId="0" borderId="111" xfId="0" applyFont="1" applyBorder="1" applyAlignment="1">
      <alignment horizontal="center" vertical="top" wrapText="1"/>
    </xf>
    <xf numFmtId="14" fontId="13" fillId="0" borderId="7" xfId="0" applyNumberFormat="1" applyFont="1" applyBorder="1" applyAlignment="1">
      <alignment horizontal="center" vertical="center" wrapText="1"/>
    </xf>
    <xf numFmtId="0" fontId="21" fillId="0" borderId="7" xfId="0" applyFont="1" applyBorder="1" applyAlignment="1">
      <alignment horizontal="center" wrapText="1"/>
    </xf>
    <xf numFmtId="0" fontId="21" fillId="16" borderId="7" xfId="0" applyFont="1" applyFill="1" applyBorder="1" applyAlignment="1">
      <alignment horizontal="center" wrapText="1"/>
    </xf>
    <xf numFmtId="0" fontId="21" fillId="0" borderId="47" xfId="0" applyFont="1" applyBorder="1" applyAlignment="1">
      <alignment horizontal="center" wrapText="1"/>
    </xf>
    <xf numFmtId="14" fontId="13" fillId="0" borderId="46" xfId="0" applyNumberFormat="1" applyFont="1" applyBorder="1" applyAlignment="1">
      <alignment horizontal="center" vertical="center" wrapText="1"/>
    </xf>
    <xf numFmtId="0" fontId="12" fillId="14" borderId="7" xfId="0" applyFont="1" applyFill="1" applyBorder="1" applyAlignment="1">
      <alignment horizontal="center" vertical="center" wrapText="1"/>
    </xf>
    <xf numFmtId="14" fontId="21" fillId="0" borderId="46" xfId="0" applyNumberFormat="1" applyFont="1" applyBorder="1" applyAlignment="1">
      <alignment horizontal="center" vertical="center" wrapText="1"/>
    </xf>
    <xf numFmtId="169" fontId="21" fillId="0" borderId="7" xfId="0" applyNumberFormat="1" applyFont="1" applyBorder="1" applyAlignment="1">
      <alignment horizontal="center" vertical="center" wrapText="1"/>
    </xf>
    <xf numFmtId="0" fontId="12" fillId="0" borderId="109" xfId="0" applyFont="1" applyBorder="1" applyAlignment="1">
      <alignment horizontal="center" vertical="center" wrapText="1"/>
    </xf>
    <xf numFmtId="14" fontId="21" fillId="0" borderId="98" xfId="0" applyNumberFormat="1" applyFont="1" applyBorder="1" applyAlignment="1">
      <alignment horizontal="center" vertical="center"/>
    </xf>
    <xf numFmtId="0" fontId="51" fillId="0" borderId="111" xfId="0" applyFont="1" applyBorder="1" applyAlignment="1">
      <alignment horizontal="center" vertical="center" wrapText="1"/>
    </xf>
    <xf numFmtId="0" fontId="21" fillId="0" borderId="45" xfId="0" applyFont="1" applyBorder="1" applyAlignment="1">
      <alignment horizontal="right"/>
    </xf>
    <xf numFmtId="0" fontId="21" fillId="0" borderId="48" xfId="0" applyFont="1" applyBorder="1" applyAlignment="1">
      <alignment horizontal="center" wrapText="1"/>
    </xf>
    <xf numFmtId="0" fontId="21" fillId="0" borderId="32" xfId="0" applyFont="1" applyBorder="1" applyAlignment="1">
      <alignment horizontal="center" wrapText="1"/>
    </xf>
    <xf numFmtId="0" fontId="21" fillId="0" borderId="109" xfId="0" applyFont="1" applyBorder="1" applyAlignment="1">
      <alignment horizontal="right"/>
    </xf>
    <xf numFmtId="0" fontId="21" fillId="0" borderId="46" xfId="0" applyFont="1" applyBorder="1" applyAlignment="1">
      <alignment horizontal="center" wrapText="1"/>
    </xf>
    <xf numFmtId="0" fontId="21" fillId="0" borderId="44" xfId="0" applyFont="1" applyBorder="1" applyAlignment="1">
      <alignment horizontal="center" wrapText="1"/>
    </xf>
    <xf numFmtId="0" fontId="31" fillId="7" borderId="13" xfId="0" applyFont="1" applyFill="1" applyBorder="1" applyAlignment="1">
      <alignment horizontal="center" vertical="center"/>
    </xf>
    <xf numFmtId="0" fontId="29" fillId="0" borderId="0" xfId="0" applyFont="1" applyAlignment="1">
      <alignment horizontal="right"/>
    </xf>
    <xf numFmtId="2" fontId="21" fillId="0" borderId="0" xfId="0" applyNumberFormat="1" applyFont="1" applyAlignment="1">
      <alignment horizontal="right"/>
    </xf>
    <xf numFmtId="0" fontId="29" fillId="0" borderId="0" xfId="0" applyFont="1"/>
    <xf numFmtId="2" fontId="21" fillId="0" borderId="0" xfId="0" applyNumberFormat="1" applyFont="1" applyAlignment="1">
      <alignment horizontal="right" vertical="center"/>
    </xf>
    <xf numFmtId="2" fontId="21" fillId="0" borderId="0" xfId="0" applyNumberFormat="1" applyFont="1"/>
    <xf numFmtId="0" fontId="21" fillId="0" borderId="0" xfId="0" applyFont="1" applyAlignment="1">
      <alignment horizontal="left" vertical="center"/>
    </xf>
    <xf numFmtId="0" fontId="21" fillId="0" borderId="0" xfId="0" applyFont="1" applyAlignment="1">
      <alignment horizontal="center" vertical="center"/>
    </xf>
    <xf numFmtId="0" fontId="20" fillId="0" borderId="0" xfId="0" applyFont="1" applyAlignment="1">
      <alignment horizontal="center" vertical="top" wrapText="1"/>
    </xf>
    <xf numFmtId="0" fontId="52" fillId="13" borderId="67" xfId="0" applyFont="1" applyFill="1" applyBorder="1"/>
    <xf numFmtId="0" fontId="10" fillId="4" borderId="12" xfId="0" applyFont="1" applyFill="1" applyBorder="1" applyAlignment="1">
      <alignment horizontal="right" vertical="top"/>
    </xf>
    <xf numFmtId="0" fontId="10" fillId="0" borderId="17" xfId="0" applyFont="1" applyBorder="1" applyAlignment="1">
      <alignment horizontal="right" vertical="top"/>
    </xf>
    <xf numFmtId="0" fontId="11" fillId="4" borderId="19" xfId="0" applyFont="1" applyFill="1" applyBorder="1" applyAlignment="1">
      <alignment horizontal="right" vertical="top"/>
    </xf>
    <xf numFmtId="0" fontId="29" fillId="0" borderId="116" xfId="0" applyFont="1" applyBorder="1" applyAlignment="1">
      <alignment horizontal="center"/>
    </xf>
    <xf numFmtId="0" fontId="17" fillId="0" borderId="36" xfId="0" applyFont="1" applyBorder="1" applyAlignment="1">
      <alignment horizontal="center" wrapText="1"/>
    </xf>
    <xf numFmtId="0" fontId="19" fillId="0" borderId="65" xfId="0" applyFont="1" applyBorder="1" applyAlignment="1">
      <alignment horizontal="right" vertical="top"/>
    </xf>
    <xf numFmtId="0" fontId="19" fillId="0" borderId="65" xfId="0" applyFont="1" applyBorder="1" applyAlignment="1">
      <alignment vertical="top" wrapText="1"/>
    </xf>
    <xf numFmtId="166" fontId="19" fillId="0" borderId="65" xfId="0" applyNumberFormat="1" applyFont="1" applyBorder="1" applyAlignment="1">
      <alignment horizontal="center" vertical="top" wrapText="1"/>
    </xf>
    <xf numFmtId="166" fontId="19" fillId="0" borderId="33" xfId="0" applyNumberFormat="1" applyFont="1" applyBorder="1" applyAlignment="1">
      <alignment horizontal="center" vertical="top" wrapText="1"/>
    </xf>
    <xf numFmtId="166" fontId="19" fillId="0" borderId="65" xfId="0" applyNumberFormat="1" applyFont="1" applyBorder="1" applyAlignment="1">
      <alignment horizontal="center" vertical="top"/>
    </xf>
    <xf numFmtId="166" fontId="19" fillId="0" borderId="33" xfId="0" applyNumberFormat="1" applyFont="1" applyBorder="1" applyAlignment="1">
      <alignment horizontal="center" vertical="top"/>
    </xf>
    <xf numFmtId="0" fontId="19" fillId="0" borderId="36" xfId="0" applyFont="1" applyBorder="1" applyAlignment="1">
      <alignment vertical="top" wrapText="1"/>
    </xf>
    <xf numFmtId="0" fontId="19" fillId="0" borderId="38" xfId="0" applyFont="1" applyBorder="1" applyAlignment="1">
      <alignment horizontal="right" vertical="top"/>
    </xf>
    <xf numFmtId="0" fontId="19" fillId="0" borderId="38" xfId="0" applyFont="1" applyBorder="1" applyAlignment="1">
      <alignment vertical="top"/>
    </xf>
    <xf numFmtId="166" fontId="19" fillId="0" borderId="38" xfId="0" applyNumberFormat="1" applyFont="1" applyBorder="1" applyAlignment="1">
      <alignment horizontal="center" vertical="top"/>
    </xf>
    <xf numFmtId="166" fontId="19" fillId="0" borderId="6" xfId="0" applyNumberFormat="1" applyFont="1" applyBorder="1" applyAlignment="1">
      <alignment horizontal="center" vertical="top"/>
    </xf>
    <xf numFmtId="0" fontId="21" fillId="0" borderId="116" xfId="0" applyFont="1" applyBorder="1" applyAlignment="1">
      <alignment horizontal="center" vertical="center"/>
    </xf>
    <xf numFmtId="0" fontId="31" fillId="0" borderId="1" xfId="0" applyFont="1" applyBorder="1" applyAlignment="1">
      <alignment horizontal="center" vertical="center" wrapText="1"/>
    </xf>
    <xf numFmtId="0" fontId="31" fillId="0" borderId="118" xfId="0" applyFont="1" applyBorder="1" applyAlignment="1">
      <alignment horizontal="center" wrapText="1"/>
    </xf>
    <xf numFmtId="0" fontId="31" fillId="0" borderId="41" xfId="0" applyFont="1" applyBorder="1" applyAlignment="1">
      <alignment horizontal="center" wrapText="1"/>
    </xf>
    <xf numFmtId="0" fontId="21" fillId="0" borderId="24" xfId="0" applyFont="1" applyBorder="1" applyAlignment="1">
      <alignment horizontal="left" vertical="top" wrapText="1"/>
    </xf>
    <xf numFmtId="0" fontId="21" fillId="0" borderId="27" xfId="0" applyFont="1" applyBorder="1" applyAlignment="1">
      <alignment horizontal="right" vertical="top" wrapText="1"/>
    </xf>
    <xf numFmtId="0" fontId="12" fillId="0" borderId="27" xfId="0" applyFont="1" applyBorder="1" applyAlignment="1">
      <alignment horizontal="center" vertical="top" wrapText="1"/>
    </xf>
    <xf numFmtId="14" fontId="20" fillId="0" borderId="25" xfId="0" applyNumberFormat="1" applyFont="1" applyBorder="1" applyAlignment="1">
      <alignment horizontal="center" vertical="center"/>
    </xf>
    <xf numFmtId="14" fontId="20" fillId="0" borderId="28" xfId="0" applyNumberFormat="1" applyFont="1" applyBorder="1" applyAlignment="1">
      <alignment horizontal="center" vertical="center"/>
    </xf>
    <xf numFmtId="0" fontId="21" fillId="0" borderId="43" xfId="0" applyFont="1" applyBorder="1" applyAlignment="1">
      <alignment horizontal="left" vertical="top" wrapText="1"/>
    </xf>
    <xf numFmtId="0" fontId="21" fillId="0" borderId="7" xfId="0" applyFont="1" applyBorder="1" applyAlignment="1">
      <alignment horizontal="right" vertical="top" wrapText="1"/>
    </xf>
    <xf numFmtId="0" fontId="20" fillId="14" borderId="7" xfId="0" applyFont="1" applyFill="1" applyBorder="1" applyAlignment="1">
      <alignment horizontal="center" vertical="center" wrapText="1"/>
    </xf>
    <xf numFmtId="14" fontId="20" fillId="0" borderId="10" xfId="0" applyNumberFormat="1" applyFont="1" applyBorder="1" applyAlignment="1">
      <alignment horizontal="center" vertical="center" wrapText="1"/>
    </xf>
    <xf numFmtId="14" fontId="20" fillId="0" borderId="47" xfId="0" applyNumberFormat="1" applyFont="1" applyBorder="1" applyAlignment="1">
      <alignment horizontal="center" vertical="center" wrapText="1"/>
    </xf>
    <xf numFmtId="14" fontId="13" fillId="0" borderId="10" xfId="0" applyNumberFormat="1" applyFont="1" applyBorder="1" applyAlignment="1">
      <alignment horizontal="center" vertical="center" wrapText="1"/>
    </xf>
    <xf numFmtId="14" fontId="13" fillId="0" borderId="47" xfId="0" applyNumberFormat="1" applyFont="1" applyBorder="1" applyAlignment="1">
      <alignment horizontal="center" vertical="center" wrapText="1"/>
    </xf>
    <xf numFmtId="0" fontId="51" fillId="0" borderId="7" xfId="0" applyFont="1" applyBorder="1" applyAlignment="1">
      <alignment horizontal="center" vertical="center" wrapText="1"/>
    </xf>
    <xf numFmtId="14" fontId="21" fillId="0" borderId="30" xfId="0" applyNumberFormat="1" applyFont="1" applyBorder="1" applyAlignment="1">
      <alignment horizontal="center" vertical="center"/>
    </xf>
    <xf numFmtId="14" fontId="21" fillId="0" borderId="47" xfId="0" applyNumberFormat="1" applyFont="1" applyBorder="1" applyAlignment="1">
      <alignment horizontal="center" vertical="center"/>
    </xf>
    <xf numFmtId="14" fontId="21" fillId="0" borderId="10" xfId="0" applyNumberFormat="1" applyFont="1" applyBorder="1" applyAlignment="1">
      <alignment horizontal="center" vertical="center"/>
    </xf>
    <xf numFmtId="0" fontId="21" fillId="0" borderId="36" xfId="0" applyFont="1" applyBorder="1" applyAlignment="1">
      <alignment horizontal="left"/>
    </xf>
    <xf numFmtId="0" fontId="21" fillId="0" borderId="37" xfId="0" applyFont="1" applyBorder="1" applyAlignment="1">
      <alignment horizontal="right"/>
    </xf>
    <xf numFmtId="0" fontId="31" fillId="7" borderId="121" xfId="0" applyFont="1" applyFill="1" applyBorder="1" applyAlignment="1">
      <alignment horizontal="center"/>
    </xf>
    <xf numFmtId="0" fontId="24" fillId="0" borderId="2" xfId="0" applyFont="1" applyBorder="1"/>
    <xf numFmtId="0" fontId="20" fillId="0" borderId="0" xfId="0" applyFont="1" applyAlignment="1">
      <alignment horizontal="left"/>
    </xf>
    <xf numFmtId="0" fontId="10" fillId="0" borderId="0" xfId="0" applyFont="1" applyAlignment="1">
      <alignment vertical="top"/>
    </xf>
    <xf numFmtId="0" fontId="29" fillId="0" borderId="117" xfId="0" applyFont="1" applyBorder="1" applyAlignment="1">
      <alignment horizontal="center"/>
    </xf>
    <xf numFmtId="0" fontId="17" fillId="0" borderId="38" xfId="0" applyFont="1" applyBorder="1" applyAlignment="1">
      <alignment horizontal="center"/>
    </xf>
    <xf numFmtId="0" fontId="19" fillId="0" borderId="38" xfId="0" applyFont="1" applyBorder="1" applyAlignment="1">
      <alignment vertical="top" wrapText="1"/>
    </xf>
    <xf numFmtId="166" fontId="19" fillId="0" borderId="38" xfId="0" applyNumberFormat="1" applyFont="1" applyBorder="1" applyAlignment="1">
      <alignment horizontal="center" vertical="top" wrapText="1"/>
    </xf>
    <xf numFmtId="166" fontId="19" fillId="0" borderId="6" xfId="0" applyNumberFormat="1" applyFont="1" applyBorder="1" applyAlignment="1">
      <alignment horizontal="center" vertical="top" wrapText="1"/>
    </xf>
    <xf numFmtId="0" fontId="21" fillId="0" borderId="117" xfId="0" applyFont="1" applyBorder="1" applyAlignment="1">
      <alignment horizontal="center"/>
    </xf>
    <xf numFmtId="0" fontId="31" fillId="0" borderId="118" xfId="0" applyFont="1" applyBorder="1" applyAlignment="1">
      <alignment horizontal="center" vertical="center"/>
    </xf>
    <xf numFmtId="0" fontId="21" fillId="0" borderId="107" xfId="0" applyFont="1" applyBorder="1" applyAlignment="1">
      <alignment vertical="top" wrapText="1"/>
    </xf>
    <xf numFmtId="0" fontId="53" fillId="0" borderId="27" xfId="0" applyFont="1" applyBorder="1" applyAlignment="1">
      <alignment horizontal="center" wrapText="1"/>
    </xf>
    <xf numFmtId="0" fontId="54" fillId="0" borderId="27" xfId="0" applyFont="1" applyBorder="1" applyAlignment="1">
      <alignment vertical="top" wrapText="1"/>
    </xf>
    <xf numFmtId="14" fontId="53" fillId="0" borderId="27" xfId="0" applyNumberFormat="1" applyFont="1" applyBorder="1" applyAlignment="1">
      <alignment horizontal="center" vertical="center"/>
    </xf>
    <xf numFmtId="14" fontId="53" fillId="0" borderId="28" xfId="0" applyNumberFormat="1" applyFont="1" applyBorder="1" applyAlignment="1">
      <alignment horizontal="center" vertical="center"/>
    </xf>
    <xf numFmtId="0" fontId="21" fillId="0" borderId="35" xfId="0" applyFont="1" applyBorder="1" applyAlignment="1">
      <alignment vertical="top" wrapText="1"/>
    </xf>
    <xf numFmtId="0" fontId="53" fillId="0" borderId="7" xfId="0" applyFont="1" applyBorder="1" applyAlignment="1">
      <alignment horizontal="center" wrapText="1"/>
    </xf>
    <xf numFmtId="0" fontId="54" fillId="0" borderId="7" xfId="0" applyFont="1" applyBorder="1" applyAlignment="1">
      <alignment horizontal="left" vertical="center" wrapText="1"/>
    </xf>
    <xf numFmtId="14" fontId="54" fillId="0" borderId="7" xfId="0" applyNumberFormat="1" applyFont="1" applyBorder="1" applyAlignment="1">
      <alignment horizontal="center" vertical="center" wrapText="1"/>
    </xf>
    <xf numFmtId="14" fontId="54" fillId="0" borderId="47" xfId="0" applyNumberFormat="1" applyFont="1" applyBorder="1" applyAlignment="1">
      <alignment horizontal="center" vertical="center" wrapText="1"/>
    </xf>
    <xf numFmtId="0" fontId="53" fillId="0" borderId="7" xfId="0" applyFont="1" applyBorder="1"/>
    <xf numFmtId="14" fontId="53" fillId="0" borderId="7" xfId="0" applyNumberFormat="1" applyFont="1" applyBorder="1" applyAlignment="1">
      <alignment horizontal="center" vertical="center" wrapText="1"/>
    </xf>
    <xf numFmtId="14" fontId="53" fillId="0" borderId="47" xfId="0" applyNumberFormat="1" applyFont="1" applyBorder="1" applyAlignment="1">
      <alignment horizontal="center" vertical="center" wrapText="1"/>
    </xf>
    <xf numFmtId="0" fontId="54" fillId="0" borderId="7" xfId="0" applyFont="1" applyBorder="1" applyAlignment="1">
      <alignment vertical="top" wrapText="1"/>
    </xf>
    <xf numFmtId="14" fontId="53" fillId="0" borderId="7" xfId="0" applyNumberFormat="1" applyFont="1" applyBorder="1" applyAlignment="1">
      <alignment horizontal="center" vertical="center"/>
    </xf>
    <xf numFmtId="14" fontId="53" fillId="0" borderId="47" xfId="0" applyNumberFormat="1" applyFont="1" applyBorder="1" applyAlignment="1">
      <alignment horizontal="center" vertical="center"/>
    </xf>
    <xf numFmtId="0" fontId="55" fillId="0" borderId="7" xfId="0" applyFont="1" applyBorder="1" applyAlignment="1">
      <alignment vertical="center" wrapText="1"/>
    </xf>
    <xf numFmtId="0" fontId="53" fillId="0" borderId="7" xfId="0" applyFont="1" applyBorder="1" applyAlignment="1">
      <alignment horizontal="left" vertical="center" wrapText="1"/>
    </xf>
    <xf numFmtId="0" fontId="56" fillId="0" borderId="0" xfId="0" applyFont="1" applyAlignment="1">
      <alignment horizontal="center"/>
    </xf>
    <xf numFmtId="0" fontId="57" fillId="0" borderId="7" xfId="0" applyFont="1" applyBorder="1"/>
    <xf numFmtId="0" fontId="53" fillId="0" borderId="8" xfId="0" applyFont="1" applyBorder="1" applyAlignment="1">
      <alignment horizontal="center" wrapText="1"/>
    </xf>
    <xf numFmtId="0" fontId="53" fillId="0" borderId="7" xfId="0" applyFont="1" applyBorder="1" applyAlignment="1">
      <alignment horizontal="left" vertical="center"/>
    </xf>
    <xf numFmtId="0" fontId="53" fillId="0" borderId="7" xfId="0" applyFont="1" applyBorder="1" applyAlignment="1">
      <alignment wrapText="1"/>
    </xf>
    <xf numFmtId="169" fontId="54" fillId="0" borderId="7" xfId="0" applyNumberFormat="1" applyFont="1" applyBorder="1" applyAlignment="1">
      <alignment horizontal="center" vertical="center" wrapText="1"/>
    </xf>
    <xf numFmtId="169" fontId="54" fillId="0" borderId="47" xfId="0" applyNumberFormat="1" applyFont="1" applyBorder="1" applyAlignment="1">
      <alignment horizontal="center" vertical="center" wrapText="1"/>
    </xf>
    <xf numFmtId="14" fontId="53" fillId="0" borderId="7" xfId="0" applyNumberFormat="1" applyFont="1" applyBorder="1" applyAlignment="1">
      <alignment horizontal="left" vertical="center" wrapText="1"/>
    </xf>
    <xf numFmtId="14" fontId="53" fillId="0" borderId="47" xfId="0" applyNumberFormat="1" applyFont="1" applyBorder="1" applyAlignment="1">
      <alignment horizontal="left" vertical="center" wrapText="1"/>
    </xf>
    <xf numFmtId="0" fontId="55" fillId="0" borderId="7" xfId="0" applyFont="1" applyBorder="1" applyAlignment="1">
      <alignment horizontal="left" vertical="center" wrapText="1"/>
    </xf>
    <xf numFmtId="14" fontId="54" fillId="0" borderId="7" xfId="0" applyNumberFormat="1" applyFont="1" applyBorder="1" applyAlignment="1">
      <alignment horizontal="center" vertical="center"/>
    </xf>
    <xf numFmtId="14" fontId="54" fillId="0" borderId="47" xfId="0" applyNumberFormat="1" applyFont="1" applyBorder="1" applyAlignment="1">
      <alignment horizontal="center" vertical="center"/>
    </xf>
    <xf numFmtId="0" fontId="53" fillId="0" borderId="7" xfId="0" applyFont="1" applyBorder="1" applyAlignment="1">
      <alignment horizontal="center"/>
    </xf>
    <xf numFmtId="0" fontId="53" fillId="0" borderId="7" xfId="0" applyFont="1" applyBorder="1" applyAlignment="1">
      <alignment horizontal="center" vertical="center"/>
    </xf>
    <xf numFmtId="0" fontId="53" fillId="0" borderId="7" xfId="0" applyFont="1" applyBorder="1" applyAlignment="1">
      <alignment horizontal="center" vertical="center" wrapText="1"/>
    </xf>
    <xf numFmtId="0" fontId="54" fillId="0" borderId="7" xfId="0" applyFont="1" applyBorder="1" applyAlignment="1">
      <alignment horizontal="center" vertical="top" wrapText="1"/>
    </xf>
    <xf numFmtId="0" fontId="21" fillId="0" borderId="89" xfId="0" applyFont="1" applyBorder="1" applyAlignment="1">
      <alignment vertical="top" wrapText="1"/>
    </xf>
    <xf numFmtId="0" fontId="21" fillId="0" borderId="31" xfId="0" applyFont="1" applyBorder="1" applyAlignment="1">
      <alignment vertical="top" wrapText="1"/>
    </xf>
    <xf numFmtId="166" fontId="21" fillId="0" borderId="31" xfId="0" applyNumberFormat="1" applyFont="1" applyBorder="1" applyAlignment="1">
      <alignment vertical="top" wrapText="1"/>
    </xf>
    <xf numFmtId="166" fontId="21" fillId="0" borderId="42" xfId="0" applyNumberFormat="1" applyFont="1" applyBorder="1" applyAlignment="1">
      <alignment vertical="top" wrapText="1"/>
    </xf>
    <xf numFmtId="0" fontId="13" fillId="7" borderId="122" xfId="0" applyFont="1" applyFill="1" applyBorder="1"/>
    <xf numFmtId="0" fontId="10" fillId="7" borderId="123" xfId="0" applyFont="1" applyFill="1" applyBorder="1" applyAlignment="1">
      <alignment horizontal="right"/>
    </xf>
    <xf numFmtId="0" fontId="31" fillId="7" borderId="121" xfId="0" applyFont="1" applyFill="1" applyBorder="1" applyAlignment="1">
      <alignment horizontal="center" vertical="center"/>
    </xf>
    <xf numFmtId="0" fontId="21" fillId="0" borderId="2" xfId="0" applyFont="1" applyBorder="1" applyAlignment="1">
      <alignment horizontal="left"/>
    </xf>
    <xf numFmtId="0" fontId="1" fillId="0" borderId="1" xfId="0" applyFont="1" applyBorder="1" applyAlignment="1">
      <alignment horizontal="left"/>
    </xf>
    <xf numFmtId="0" fontId="2" fillId="0" borderId="2" xfId="0" applyFont="1" applyBorder="1"/>
    <xf numFmtId="0" fontId="2" fillId="0" borderId="3" xfId="0" applyFont="1" applyBorder="1"/>
    <xf numFmtId="0" fontId="1" fillId="0" borderId="4" xfId="0" applyFont="1" applyBorder="1" applyAlignment="1">
      <alignment horizontal="left" wrapText="1"/>
    </xf>
    <xf numFmtId="0" fontId="2" fillId="0" borderId="5" xfId="0" applyFont="1" applyBorder="1"/>
    <xf numFmtId="0" fontId="2" fillId="0" borderId="6" xfId="0" applyFont="1" applyBorder="1"/>
    <xf numFmtId="0" fontId="5" fillId="3" borderId="8" xfId="0" applyFont="1" applyFill="1" applyBorder="1" applyAlignment="1">
      <alignment horizontal="left" vertical="top" wrapText="1"/>
    </xf>
    <xf numFmtId="0" fontId="2" fillId="0" borderId="9" xfId="0" applyFont="1" applyBorder="1"/>
    <xf numFmtId="0" fontId="2" fillId="0" borderId="10" xfId="0" applyFont="1" applyBorder="1"/>
    <xf numFmtId="0" fontId="12" fillId="4" borderId="14" xfId="0" applyFont="1" applyFill="1" applyBorder="1" applyAlignment="1">
      <alignment horizontal="left" vertical="top" wrapText="1"/>
    </xf>
    <xf numFmtId="0" fontId="2" fillId="0" borderId="15" xfId="0" applyFont="1" applyBorder="1"/>
    <xf numFmtId="0" fontId="2" fillId="0" borderId="16" xfId="0" applyFont="1" applyBorder="1"/>
    <xf numFmtId="0" fontId="10" fillId="0" borderId="0" xfId="0" applyFont="1" applyAlignment="1">
      <alignment horizontal="left" vertical="top" wrapText="1"/>
    </xf>
    <xf numFmtId="0" fontId="0" fillId="0" borderId="0" xfId="0"/>
    <xf numFmtId="0" fontId="2" fillId="0" borderId="18" xfId="0" applyFont="1" applyBorder="1"/>
    <xf numFmtId="0" fontId="13" fillId="0" borderId="0" xfId="0" applyFont="1" applyAlignment="1">
      <alignment horizontal="left" vertical="top" wrapText="1"/>
    </xf>
    <xf numFmtId="0" fontId="12" fillId="4" borderId="21" xfId="0" applyFont="1" applyFill="1" applyBorder="1" applyAlignment="1">
      <alignment horizontal="left" vertical="top" wrapText="1"/>
    </xf>
    <xf numFmtId="0" fontId="2" fillId="0" borderId="22" xfId="0" applyFont="1" applyBorder="1"/>
    <xf numFmtId="0" fontId="2" fillId="0" borderId="23" xfId="0" applyFont="1" applyBorder="1"/>
    <xf numFmtId="0" fontId="20" fillId="0" borderId="24" xfId="0" applyFont="1" applyBorder="1" applyAlignment="1">
      <alignment horizontal="center" vertical="top"/>
    </xf>
    <xf numFmtId="0" fontId="2" fillId="0" borderId="25" xfId="0" applyFont="1" applyBorder="1"/>
    <xf numFmtId="0" fontId="10" fillId="0" borderId="39" xfId="0" applyFont="1" applyBorder="1" applyAlignment="1">
      <alignment horizontal="center" wrapText="1"/>
    </xf>
    <xf numFmtId="0" fontId="2" fillId="0" borderId="40" xfId="0" applyFont="1" applyBorder="1"/>
    <xf numFmtId="0" fontId="10" fillId="5" borderId="24" xfId="0" applyFont="1" applyFill="1" applyBorder="1" applyAlignment="1">
      <alignment horizontal="left" vertical="top"/>
    </xf>
    <xf numFmtId="0" fontId="10" fillId="6" borderId="43" xfId="0" applyFont="1" applyFill="1" applyBorder="1" applyAlignment="1">
      <alignment horizontal="left" vertical="top" wrapText="1"/>
    </xf>
    <xf numFmtId="10" fontId="10" fillId="7" borderId="21" xfId="0" applyNumberFormat="1" applyFont="1" applyFill="1" applyBorder="1" applyAlignment="1">
      <alignment horizontal="center" vertical="top"/>
    </xf>
    <xf numFmtId="0" fontId="15" fillId="0" borderId="1" xfId="0" applyFont="1" applyBorder="1" applyAlignment="1">
      <alignment horizontal="center" vertical="top"/>
    </xf>
    <xf numFmtId="0" fontId="16" fillId="0" borderId="24" xfId="0" applyFont="1" applyBorder="1" applyAlignment="1">
      <alignment horizontal="center" vertical="top"/>
    </xf>
    <xf numFmtId="0" fontId="17" fillId="0" borderId="29" xfId="0" applyFont="1" applyBorder="1" applyAlignment="1">
      <alignment horizontal="center" wrapText="1"/>
    </xf>
    <xf numFmtId="0" fontId="2" fillId="0" borderId="30" xfId="0" applyFont="1" applyBorder="1"/>
    <xf numFmtId="0" fontId="17" fillId="5" borderId="24" xfId="0" applyFont="1" applyFill="1" applyBorder="1" applyAlignment="1">
      <alignment horizontal="left" vertical="top"/>
    </xf>
    <xf numFmtId="0" fontId="18" fillId="0" borderId="18" xfId="0" applyFont="1" applyBorder="1" applyAlignment="1">
      <alignment vertical="top" wrapText="1"/>
    </xf>
    <xf numFmtId="0" fontId="13" fillId="0" borderId="8" xfId="0" applyFont="1" applyBorder="1" applyAlignment="1">
      <alignment horizontal="center" vertical="top"/>
    </xf>
    <xf numFmtId="0" fontId="19" fillId="0" borderId="8" xfId="0" applyFont="1" applyBorder="1" applyAlignment="1">
      <alignment horizontal="center" vertical="top"/>
    </xf>
    <xf numFmtId="0" fontId="13" fillId="0" borderId="42" xfId="0" applyFont="1" applyBorder="1" applyAlignment="1">
      <alignment horizontal="left" vertical="top" wrapText="1"/>
    </xf>
    <xf numFmtId="0" fontId="2" fillId="0" borderId="42" xfId="0" applyFont="1" applyBorder="1"/>
    <xf numFmtId="0" fontId="10" fillId="0" borderId="0" xfId="0" applyFont="1" applyAlignment="1">
      <alignment horizontal="left" vertical="top"/>
    </xf>
    <xf numFmtId="0" fontId="13" fillId="0" borderId="0" xfId="0" applyFont="1" applyAlignment="1">
      <alignment horizontal="left" vertical="top"/>
    </xf>
    <xf numFmtId="0" fontId="21" fillId="0" borderId="0" xfId="0" applyFont="1" applyAlignment="1">
      <alignment horizontal="left" vertical="top" wrapText="1"/>
    </xf>
    <xf numFmtId="0" fontId="17" fillId="8" borderId="29" xfId="0" applyFont="1" applyFill="1" applyBorder="1" applyAlignment="1">
      <alignment horizontal="center" wrapText="1"/>
    </xf>
    <xf numFmtId="0" fontId="2" fillId="0" borderId="4" xfId="0" applyFont="1" applyBorder="1"/>
    <xf numFmtId="0" fontId="2" fillId="0" borderId="38" xfId="0" applyFont="1" applyBorder="1"/>
    <xf numFmtId="0" fontId="17" fillId="8" borderId="54" xfId="0" applyFont="1" applyFill="1" applyBorder="1" applyAlignment="1">
      <alignment horizontal="center" vertical="center"/>
    </xf>
    <xf numFmtId="0" fontId="2" fillId="0" borderId="56" xfId="0" applyFont="1" applyBorder="1"/>
    <xf numFmtId="0" fontId="13" fillId="0" borderId="24" xfId="0" applyFont="1" applyBorder="1" applyAlignment="1">
      <alignment horizontal="center" vertical="top"/>
    </xf>
    <xf numFmtId="0" fontId="13" fillId="0" borderId="26" xfId="0" applyFont="1" applyBorder="1" applyAlignment="1">
      <alignment horizontal="center" vertical="top"/>
    </xf>
    <xf numFmtId="0" fontId="10" fillId="0" borderId="50" xfId="0" applyFont="1" applyBorder="1" applyAlignment="1">
      <alignment horizontal="center" wrapText="1"/>
    </xf>
    <xf numFmtId="0" fontId="2" fillId="0" borderId="50" xfId="0" applyFont="1" applyBorder="1"/>
    <xf numFmtId="0" fontId="29" fillId="0" borderId="43" xfId="0" applyFont="1" applyBorder="1" applyAlignment="1">
      <alignment horizontal="center" vertical="top"/>
    </xf>
    <xf numFmtId="0" fontId="29" fillId="0" borderId="8" xfId="0" applyFont="1" applyBorder="1" applyAlignment="1">
      <alignment horizontal="center" vertical="top"/>
    </xf>
    <xf numFmtId="0" fontId="17" fillId="0" borderId="39" xfId="0" applyFont="1" applyBorder="1" applyAlignment="1">
      <alignment horizontal="center" wrapText="1"/>
    </xf>
    <xf numFmtId="0" fontId="17" fillId="0" borderId="49" xfId="0" applyFont="1" applyBorder="1" applyAlignment="1">
      <alignment horizontal="center" wrapText="1"/>
    </xf>
    <xf numFmtId="0" fontId="15" fillId="5" borderId="51" xfId="0" applyFont="1" applyFill="1" applyBorder="1" applyAlignment="1">
      <alignment vertical="top"/>
    </xf>
    <xf numFmtId="0" fontId="2" fillId="0" borderId="52" xfId="0" applyFont="1" applyBorder="1"/>
    <xf numFmtId="0" fontId="2" fillId="0" borderId="53" xfId="0" applyFont="1" applyBorder="1"/>
    <xf numFmtId="0" fontId="19" fillId="0" borderId="42" xfId="0" applyFont="1" applyBorder="1" applyAlignment="1">
      <alignment vertical="top" wrapText="1"/>
    </xf>
    <xf numFmtId="0" fontId="2" fillId="0" borderId="44" xfId="0" applyFont="1" applyBorder="1"/>
    <xf numFmtId="0" fontId="21" fillId="0" borderId="8" xfId="0" applyFont="1" applyBorder="1" applyAlignment="1">
      <alignment horizontal="center" vertical="top"/>
    </xf>
    <xf numFmtId="0" fontId="10" fillId="8" borderId="29" xfId="0" applyFont="1" applyFill="1" applyBorder="1" applyAlignment="1">
      <alignment horizontal="center" vertical="center" wrapText="1"/>
    </xf>
    <xf numFmtId="0" fontId="10" fillId="7" borderId="73" xfId="0" applyFont="1" applyFill="1" applyBorder="1" applyAlignment="1">
      <alignment horizontal="center" vertical="center"/>
    </xf>
    <xf numFmtId="0" fontId="2" fillId="0" borderId="74" xfId="0" applyFont="1" applyBorder="1"/>
    <xf numFmtId="0" fontId="2" fillId="0" borderId="77" xfId="0" applyFont="1" applyBorder="1"/>
    <xf numFmtId="0" fontId="31" fillId="7" borderId="75" xfId="0" applyFont="1" applyFill="1" applyBorder="1" applyAlignment="1">
      <alignment horizontal="center" vertical="center"/>
    </xf>
    <xf numFmtId="0" fontId="2" fillId="0" borderId="78" xfId="0" applyFont="1" applyBorder="1"/>
    <xf numFmtId="0" fontId="2" fillId="0" borderId="58" xfId="0" applyFont="1" applyBorder="1"/>
    <xf numFmtId="0" fontId="2" fillId="0" borderId="65" xfId="0" applyFont="1" applyBorder="1"/>
    <xf numFmtId="0" fontId="10" fillId="8" borderId="62" xfId="0" applyFont="1" applyFill="1" applyBorder="1" applyAlignment="1">
      <alignment horizontal="center" vertical="center"/>
    </xf>
    <xf numFmtId="0" fontId="2" fillId="0" borderId="66" xfId="0" applyFont="1" applyBorder="1"/>
    <xf numFmtId="0" fontId="10" fillId="5" borderId="43" xfId="0" applyFont="1" applyFill="1" applyBorder="1" applyAlignment="1">
      <alignment vertical="top"/>
    </xf>
    <xf numFmtId="0" fontId="10" fillId="8" borderId="46" xfId="0" applyFont="1" applyFill="1" applyBorder="1" applyAlignment="1">
      <alignment horizontal="center" vertical="center"/>
    </xf>
    <xf numFmtId="0" fontId="2" fillId="0" borderId="37" xfId="0" applyFont="1" applyBorder="1"/>
    <xf numFmtId="0" fontId="13" fillId="7" borderId="69" xfId="0" applyFont="1" applyFill="1" applyBorder="1" applyAlignment="1">
      <alignment vertical="top"/>
    </xf>
    <xf numFmtId="0" fontId="2" fillId="0" borderId="70" xfId="0" applyFont="1" applyBorder="1"/>
    <xf numFmtId="0" fontId="2" fillId="0" borderId="71" xfId="0" applyFont="1" applyBorder="1"/>
    <xf numFmtId="10" fontId="10" fillId="7" borderId="76" xfId="0" applyNumberFormat="1" applyFont="1" applyFill="1" applyBorder="1" applyAlignment="1">
      <alignment horizontal="center" vertical="center"/>
    </xf>
    <xf numFmtId="0" fontId="2" fillId="0" borderId="79" xfId="0" applyFont="1" applyBorder="1"/>
    <xf numFmtId="0" fontId="16" fillId="0" borderId="26" xfId="0" applyFont="1" applyBorder="1" applyAlignment="1">
      <alignment horizontal="center" vertical="top"/>
    </xf>
    <xf numFmtId="0" fontId="2" fillId="0" borderId="17" xfId="0" applyFont="1" applyBorder="1"/>
    <xf numFmtId="0" fontId="2" fillId="0" borderId="60" xfId="0" applyFont="1" applyBorder="1"/>
    <xf numFmtId="0" fontId="17" fillId="0" borderId="8" xfId="0" applyFont="1" applyBorder="1" applyAlignment="1">
      <alignment horizontal="center" wrapText="1"/>
    </xf>
    <xf numFmtId="0" fontId="17" fillId="0" borderId="80" xfId="0" applyFont="1" applyBorder="1" applyAlignment="1">
      <alignment horizontal="center" wrapText="1"/>
    </xf>
    <xf numFmtId="0" fontId="20" fillId="0" borderId="26" xfId="0" applyFont="1" applyBorder="1" applyAlignment="1">
      <alignment horizontal="center" vertical="top"/>
    </xf>
    <xf numFmtId="0" fontId="31" fillId="0" borderId="81" xfId="0" applyFont="1" applyBorder="1" applyAlignment="1">
      <alignment horizontal="center" wrapText="1"/>
    </xf>
    <xf numFmtId="0" fontId="31" fillId="0" borderId="80" xfId="0" applyFont="1" applyBorder="1" applyAlignment="1">
      <alignment horizontal="center" wrapText="1"/>
    </xf>
    <xf numFmtId="0" fontId="10" fillId="7" borderId="83" xfId="0" applyFont="1" applyFill="1" applyBorder="1" applyAlignment="1">
      <alignment horizontal="center" vertical="top"/>
    </xf>
    <xf numFmtId="0" fontId="2" fillId="0" borderId="84" xfId="0" applyFont="1" applyBorder="1"/>
    <xf numFmtId="0" fontId="31" fillId="0" borderId="29" xfId="0" applyFont="1" applyBorder="1" applyAlignment="1">
      <alignment horizontal="center" wrapText="1"/>
    </xf>
    <xf numFmtId="0" fontId="13" fillId="0" borderId="41" xfId="0" applyFont="1" applyBorder="1" applyAlignment="1">
      <alignment horizontal="left" vertical="top" wrapText="1"/>
    </xf>
    <xf numFmtId="0" fontId="17" fillId="0" borderId="31" xfId="0" applyFont="1" applyBorder="1" applyAlignment="1">
      <alignment horizontal="center" wrapText="1"/>
    </xf>
    <xf numFmtId="0" fontId="2" fillId="0" borderId="31" xfId="0" applyFont="1" applyBorder="1"/>
    <xf numFmtId="0" fontId="10" fillId="0" borderId="85" xfId="0" applyFont="1" applyBorder="1" applyAlignment="1">
      <alignment horizontal="center" wrapText="1"/>
    </xf>
    <xf numFmtId="0" fontId="17" fillId="0" borderId="85" xfId="0" applyFont="1" applyBorder="1" applyAlignment="1">
      <alignment horizontal="center" wrapText="1"/>
    </xf>
    <xf numFmtId="0" fontId="10" fillId="0" borderId="31" xfId="0" applyFont="1" applyBorder="1" applyAlignment="1">
      <alignment horizontal="center" wrapText="1"/>
    </xf>
    <xf numFmtId="0" fontId="10" fillId="0" borderId="80" xfId="0" applyFont="1" applyBorder="1" applyAlignment="1">
      <alignment horizontal="center" wrapText="1"/>
    </xf>
    <xf numFmtId="0" fontId="10" fillId="7" borderId="90" xfId="0" applyFont="1" applyFill="1" applyBorder="1" applyAlignment="1">
      <alignment horizontal="right" vertical="top"/>
    </xf>
    <xf numFmtId="0" fontId="10" fillId="7" borderId="83" xfId="0" applyFont="1" applyFill="1" applyBorder="1" applyAlignment="1">
      <alignment horizontal="right" vertical="top"/>
    </xf>
    <xf numFmtId="0" fontId="2" fillId="0" borderId="91" xfId="0" applyFont="1" applyBorder="1"/>
    <xf numFmtId="0" fontId="10" fillId="7" borderId="21" xfId="0" applyFont="1" applyFill="1" applyBorder="1" applyAlignment="1">
      <alignment horizontal="right" vertical="top"/>
    </xf>
    <xf numFmtId="0" fontId="2" fillId="0" borderId="93" xfId="0" applyFont="1" applyBorder="1"/>
    <xf numFmtId="0" fontId="10" fillId="0" borderId="29" xfId="0" applyFont="1" applyBorder="1" applyAlignment="1">
      <alignment horizontal="center" wrapText="1"/>
    </xf>
    <xf numFmtId="0" fontId="10" fillId="5" borderId="43" xfId="0" applyFont="1" applyFill="1" applyBorder="1" applyAlignment="1">
      <alignment horizontal="left" vertical="top"/>
    </xf>
    <xf numFmtId="0" fontId="2" fillId="0" borderId="88" xfId="0" applyFont="1" applyBorder="1"/>
    <xf numFmtId="0" fontId="37" fillId="0" borderId="46" xfId="0" applyFont="1" applyBorder="1" applyAlignment="1">
      <alignment horizontal="left" vertical="center" wrapText="1"/>
    </xf>
    <xf numFmtId="0" fontId="2" fillId="0" borderId="11" xfId="0" applyFont="1" applyBorder="1"/>
    <xf numFmtId="0" fontId="33" fillId="0" borderId="0" xfId="0" applyFont="1" applyAlignment="1">
      <alignment horizontal="right"/>
    </xf>
    <xf numFmtId="0" fontId="13" fillId="0" borderId="95" xfId="0" applyFont="1" applyBorder="1" applyAlignment="1">
      <alignment horizontal="left" vertical="top" wrapText="1"/>
    </xf>
    <xf numFmtId="0" fontId="2" fillId="0" borderId="95" xfId="0" applyFont="1" applyBorder="1"/>
    <xf numFmtId="0" fontId="15" fillId="0" borderId="96" xfId="0" applyFont="1" applyBorder="1" applyAlignment="1">
      <alignment horizontal="center" vertical="top"/>
    </xf>
    <xf numFmtId="0" fontId="2" fillId="0" borderId="97" xfId="0" applyFont="1" applyBorder="1"/>
    <xf numFmtId="0" fontId="17" fillId="0" borderId="46" xfId="0" applyFont="1" applyBorder="1" applyAlignment="1">
      <alignment horizontal="center" wrapText="1"/>
    </xf>
    <xf numFmtId="0" fontId="17" fillId="0" borderId="98" xfId="0" applyFont="1" applyBorder="1" applyAlignment="1">
      <alignment horizontal="center" wrapText="1"/>
    </xf>
    <xf numFmtId="0" fontId="2" fillId="0" borderId="99" xfId="0" applyFont="1" applyBorder="1"/>
    <xf numFmtId="0" fontId="17" fillId="0" borderId="45" xfId="0" applyFont="1" applyBorder="1" applyAlignment="1">
      <alignment horizontal="center" wrapText="1"/>
    </xf>
    <xf numFmtId="0" fontId="2" fillId="0" borderId="36" xfId="0" applyFont="1" applyBorder="1"/>
    <xf numFmtId="0" fontId="17" fillId="0" borderId="30" xfId="0" applyFont="1" applyBorder="1" applyAlignment="1">
      <alignment horizontal="center" wrapText="1"/>
    </xf>
    <xf numFmtId="0" fontId="17" fillId="0" borderId="24" xfId="0" applyFont="1" applyBorder="1" applyAlignment="1">
      <alignment horizontal="center"/>
    </xf>
    <xf numFmtId="0" fontId="17" fillId="0" borderId="24" xfId="0" applyFont="1" applyBorder="1" applyAlignment="1">
      <alignment horizontal="center" wrapText="1"/>
    </xf>
    <xf numFmtId="0" fontId="17" fillId="0" borderId="15" xfId="0" applyFont="1" applyBorder="1" applyAlignment="1">
      <alignment horizontal="center" wrapText="1"/>
    </xf>
    <xf numFmtId="0" fontId="31" fillId="0" borderId="60" xfId="0" applyFont="1" applyBorder="1" applyAlignment="1">
      <alignment horizontal="center" wrapText="1"/>
    </xf>
    <xf numFmtId="0" fontId="31" fillId="0" borderId="18" xfId="0" applyFont="1" applyBorder="1" applyAlignment="1">
      <alignment horizontal="center" wrapText="1"/>
    </xf>
    <xf numFmtId="0" fontId="31" fillId="0" borderId="24" xfId="0" applyFont="1" applyBorder="1" applyAlignment="1">
      <alignment horizontal="center"/>
    </xf>
    <xf numFmtId="0" fontId="31" fillId="0" borderId="15" xfId="0" applyFont="1" applyBorder="1" applyAlignment="1">
      <alignment horizontal="center" wrapText="1"/>
    </xf>
    <xf numFmtId="0" fontId="31" fillId="0" borderId="24" xfId="0" applyFont="1" applyBorder="1" applyAlignment="1">
      <alignment horizontal="center" wrapText="1"/>
    </xf>
    <xf numFmtId="0" fontId="31" fillId="0" borderId="17" xfId="0" applyFont="1" applyBorder="1" applyAlignment="1">
      <alignment horizontal="center" wrapText="1"/>
    </xf>
    <xf numFmtId="0" fontId="31" fillId="7" borderId="83" xfId="0" applyFont="1" applyFill="1" applyBorder="1" applyAlignment="1">
      <alignment horizontal="right"/>
    </xf>
    <xf numFmtId="0" fontId="31" fillId="15" borderId="105" xfId="0" applyFont="1" applyFill="1" applyBorder="1" applyAlignment="1">
      <alignment horizontal="right" wrapText="1"/>
    </xf>
    <xf numFmtId="0" fontId="2" fillId="0" borderId="106" xfId="0" applyFont="1" applyBorder="1"/>
    <xf numFmtId="0" fontId="21" fillId="15" borderId="75" xfId="0" applyFont="1" applyFill="1" applyBorder="1"/>
    <xf numFmtId="0" fontId="31" fillId="0" borderId="2" xfId="0" applyFont="1" applyBorder="1" applyAlignment="1">
      <alignment horizontal="right"/>
    </xf>
    <xf numFmtId="0" fontId="31" fillId="0" borderId="101" xfId="0" applyFont="1" applyBorder="1" applyAlignment="1">
      <alignment horizontal="center" wrapText="1"/>
    </xf>
    <xf numFmtId="0" fontId="2" fillId="0" borderId="33" xfId="0" applyFont="1" applyBorder="1"/>
    <xf numFmtId="0" fontId="31" fillId="15" borderId="83" xfId="0" applyFont="1" applyFill="1" applyBorder="1" applyAlignment="1">
      <alignment horizontal="right"/>
    </xf>
    <xf numFmtId="0" fontId="31" fillId="15" borderId="21" xfId="0" applyFont="1" applyFill="1" applyBorder="1" applyAlignment="1">
      <alignment horizontal="right"/>
    </xf>
    <xf numFmtId="0" fontId="31" fillId="0" borderId="0" xfId="0" applyFont="1" applyAlignment="1">
      <alignment horizontal="center" wrapText="1"/>
    </xf>
    <xf numFmtId="0" fontId="31" fillId="0" borderId="89" xfId="0" applyFont="1" applyBorder="1" applyAlignment="1">
      <alignment horizontal="center" wrapText="1"/>
    </xf>
    <xf numFmtId="0" fontId="17" fillId="0" borderId="0" xfId="0" applyFont="1" applyAlignment="1">
      <alignment horizontal="center" wrapText="1"/>
    </xf>
    <xf numFmtId="0" fontId="17" fillId="0" borderId="89" xfId="0" applyFont="1" applyBorder="1" applyAlignment="1">
      <alignment horizontal="center" wrapText="1"/>
    </xf>
    <xf numFmtId="0" fontId="2" fillId="0" borderId="89" xfId="0" applyFont="1" applyBorder="1"/>
    <xf numFmtId="0" fontId="29" fillId="0" borderId="15" xfId="0" applyFont="1" applyBorder="1" applyAlignment="1">
      <alignment horizontal="center"/>
    </xf>
    <xf numFmtId="0" fontId="17" fillId="0" borderId="101" xfId="0" applyFont="1" applyBorder="1" applyAlignment="1">
      <alignment horizontal="center" wrapText="1"/>
    </xf>
    <xf numFmtId="0" fontId="2" fillId="0" borderId="101" xfId="0" applyFont="1" applyBorder="1"/>
    <xf numFmtId="0" fontId="21" fillId="0" borderId="57" xfId="0" applyFont="1" applyBorder="1" applyAlignment="1">
      <alignment horizontal="center"/>
    </xf>
    <xf numFmtId="0" fontId="31" fillId="0" borderId="8" xfId="0" applyFont="1" applyBorder="1" applyAlignment="1">
      <alignment horizontal="center" wrapText="1"/>
    </xf>
    <xf numFmtId="0" fontId="12" fillId="4" borderId="90" xfId="0" applyFont="1" applyFill="1" applyBorder="1" applyAlignment="1">
      <alignment horizontal="left" vertical="top" wrapText="1"/>
    </xf>
    <xf numFmtId="0" fontId="15" fillId="0" borderId="96" xfId="0" applyFont="1" applyBorder="1" applyAlignment="1">
      <alignment horizontal="center"/>
    </xf>
    <xf numFmtId="0" fontId="29" fillId="0" borderId="24" xfId="0" applyFont="1" applyBorder="1" applyAlignment="1">
      <alignment horizontal="center"/>
    </xf>
    <xf numFmtId="0" fontId="29" fillId="0" borderId="26" xfId="0" applyFont="1" applyBorder="1" applyAlignment="1">
      <alignment horizontal="center"/>
    </xf>
    <xf numFmtId="0" fontId="17" fillId="0" borderId="17" xfId="0" applyFont="1" applyBorder="1" applyAlignment="1">
      <alignment horizontal="center" wrapText="1"/>
    </xf>
    <xf numFmtId="0" fontId="17" fillId="0" borderId="81" xfId="0" applyFont="1" applyBorder="1" applyAlignment="1">
      <alignment horizontal="center" wrapText="1"/>
    </xf>
    <xf numFmtId="0" fontId="17" fillId="0" borderId="60" xfId="0" applyFont="1" applyBorder="1" applyAlignment="1">
      <alignment horizontal="center" wrapText="1"/>
    </xf>
    <xf numFmtId="0" fontId="31" fillId="0" borderId="46" xfId="0" applyFont="1" applyBorder="1" applyAlignment="1">
      <alignment horizontal="center" wrapText="1"/>
    </xf>
    <xf numFmtId="0" fontId="31" fillId="0" borderId="98" xfId="0" applyFont="1" applyBorder="1" applyAlignment="1">
      <alignment horizontal="center" wrapText="1"/>
    </xf>
    <xf numFmtId="0" fontId="2" fillId="0" borderId="85" xfId="0" applyFont="1" applyBorder="1"/>
    <xf numFmtId="0" fontId="2" fillId="0" borderId="108" xfId="0" applyFont="1" applyBorder="1"/>
    <xf numFmtId="0" fontId="31" fillId="0" borderId="30" xfId="0" applyFont="1" applyBorder="1" applyAlignment="1">
      <alignment horizontal="center" wrapText="1"/>
    </xf>
    <xf numFmtId="0" fontId="31" fillId="7" borderId="1" xfId="0" applyFont="1" applyFill="1" applyBorder="1" applyAlignment="1">
      <alignment horizontal="center" vertical="center"/>
    </xf>
    <xf numFmtId="0" fontId="2" fillId="0" borderId="112" xfId="0" applyFont="1" applyBorder="1"/>
    <xf numFmtId="0" fontId="31" fillId="7" borderId="113" xfId="0" applyFont="1" applyFill="1" applyBorder="1" applyAlignment="1">
      <alignment horizontal="center" vertical="center"/>
    </xf>
    <xf numFmtId="2" fontId="31" fillId="7" borderId="113" xfId="0" applyNumberFormat="1" applyFont="1" applyFill="1" applyBorder="1" applyAlignment="1">
      <alignment horizontal="center" vertical="center"/>
    </xf>
    <xf numFmtId="1" fontId="31" fillId="7" borderId="114" xfId="0" applyNumberFormat="1" applyFont="1" applyFill="1" applyBorder="1" applyAlignment="1">
      <alignment horizontal="center" vertical="center"/>
    </xf>
    <xf numFmtId="0" fontId="2" fillId="0" borderId="115" xfId="0" applyFont="1" applyBorder="1"/>
    <xf numFmtId="10" fontId="31" fillId="7" borderId="21" xfId="0" applyNumberFormat="1" applyFont="1" applyFill="1" applyBorder="1" applyAlignment="1">
      <alignment horizontal="center" vertical="center"/>
    </xf>
    <xf numFmtId="0" fontId="21" fillId="0" borderId="24" xfId="0" applyFont="1" applyBorder="1" applyAlignment="1">
      <alignment horizontal="center"/>
    </xf>
    <xf numFmtId="0" fontId="21" fillId="0" borderId="26" xfId="0" applyFont="1" applyBorder="1" applyAlignment="1">
      <alignment horizontal="center"/>
    </xf>
    <xf numFmtId="0" fontId="29" fillId="0" borderId="95" xfId="0" applyFont="1" applyBorder="1" applyAlignment="1">
      <alignment horizontal="center"/>
    </xf>
    <xf numFmtId="0" fontId="2" fillId="0" borderId="117" xfId="0" applyFont="1" applyBorder="1"/>
    <xf numFmtId="0" fontId="17" fillId="0" borderId="5" xfId="0" applyFont="1" applyBorder="1" applyAlignment="1">
      <alignment horizontal="center" wrapText="1"/>
    </xf>
    <xf numFmtId="0" fontId="21" fillId="0" borderId="57" xfId="0" applyFont="1" applyBorder="1" applyAlignment="1">
      <alignment horizontal="center" vertical="center"/>
    </xf>
    <xf numFmtId="0" fontId="2" fillId="0" borderId="118" xfId="0" applyFont="1" applyBorder="1"/>
    <xf numFmtId="0" fontId="21" fillId="0" borderId="119" xfId="0" applyFont="1" applyBorder="1" applyAlignment="1">
      <alignment horizontal="center" vertical="center"/>
    </xf>
    <xf numFmtId="0" fontId="31" fillId="0" borderId="1" xfId="0" applyFont="1" applyBorder="1" applyAlignment="1">
      <alignment horizontal="center" vertical="center" wrapText="1"/>
    </xf>
    <xf numFmtId="0" fontId="31" fillId="7" borderId="96" xfId="0" applyFont="1" applyFill="1" applyBorder="1" applyAlignment="1">
      <alignment horizontal="right"/>
    </xf>
    <xf numFmtId="0" fontId="2" fillId="0" borderId="120" xfId="0" applyFont="1" applyBorder="1"/>
    <xf numFmtId="0" fontId="15" fillId="0" borderId="1" xfId="0" applyFont="1" applyBorder="1" applyAlignment="1">
      <alignment horizontal="center"/>
    </xf>
    <xf numFmtId="0" fontId="10" fillId="4" borderId="69" xfId="0" applyFont="1" applyFill="1" applyBorder="1" applyAlignment="1">
      <alignment horizontal="right" vertical="top"/>
    </xf>
    <xf numFmtId="0" fontId="10" fillId="0" borderId="17" xfId="0" applyFont="1" applyBorder="1" applyAlignment="1">
      <alignment horizontal="right" vertical="top"/>
    </xf>
    <xf numFmtId="0" fontId="10" fillId="0" borderId="17" xfId="0" applyFont="1" applyBorder="1" applyAlignment="1">
      <alignment horizontal="right" vertical="top" wrapText="1"/>
    </xf>
    <xf numFmtId="0" fontId="17" fillId="0" borderId="4" xfId="0" applyFont="1" applyBorder="1" applyAlignment="1">
      <alignment horizontal="center" wrapText="1"/>
    </xf>
    <xf numFmtId="0" fontId="21" fillId="0" borderId="96" xfId="0" applyFont="1" applyBorder="1" applyAlignment="1">
      <alignment horizontal="center" vertical="center"/>
    </xf>
    <xf numFmtId="0" fontId="11" fillId="4" borderId="21" xfId="0" applyFont="1" applyFill="1" applyBorder="1" applyAlignment="1">
      <alignment horizontal="right" vertical="top"/>
    </xf>
    <xf numFmtId="0" fontId="29" fillId="0" borderId="96"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alcChain" Target="calcChain.xml"/><Relationship Id="rId10" Type="http://schemas.openxmlformats.org/officeDocument/2006/relationships/worksheet" Target="worksheets/sheet10.xml"/><Relationship Id="rId19" Type="http://customschemas.google.com/relationships/workbookmetadata" Target="metadata"/><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oneCellAnchor>
    <xdr:from>
      <xdr:col>1</xdr:col>
      <xdr:colOff>638175</xdr:colOff>
      <xdr:row>45</xdr:row>
      <xdr:rowOff>180975</xdr:rowOff>
    </xdr:from>
    <xdr:ext cx="1181100" cy="4572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904875</xdr:colOff>
      <xdr:row>38</xdr:row>
      <xdr:rowOff>123825</xdr:rowOff>
    </xdr:from>
    <xdr:ext cx="1009650" cy="809625"/>
    <xdr:pic>
      <xdr:nvPicPr>
        <xdr:cNvPr id="3" name="image3.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819150</xdr:colOff>
      <xdr:row>223</xdr:row>
      <xdr:rowOff>9525</xdr:rowOff>
    </xdr:from>
    <xdr:ext cx="1181100" cy="4667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1095375</xdr:colOff>
      <xdr:row>214</xdr:row>
      <xdr:rowOff>180975</xdr:rowOff>
    </xdr:from>
    <xdr:ext cx="1562100" cy="1057275"/>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971550</xdr:colOff>
      <xdr:row>75</xdr:row>
      <xdr:rowOff>28575</xdr:rowOff>
    </xdr:from>
    <xdr:ext cx="1181100" cy="4572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1038225</xdr:colOff>
      <xdr:row>67</xdr:row>
      <xdr:rowOff>104775</xdr:rowOff>
    </xdr:from>
    <xdr:ext cx="1047750" cy="600075"/>
    <xdr:pic>
      <xdr:nvPicPr>
        <xdr:cNvPr id="3" name="image4.png">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771525</xdr:colOff>
      <xdr:row>72</xdr:row>
      <xdr:rowOff>28575</xdr:rowOff>
    </xdr:from>
    <xdr:ext cx="1181100" cy="466725"/>
    <xdr:pic>
      <xdr:nvPicPr>
        <xdr:cNvPr id="2" name="image6.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714375</xdr:colOff>
      <xdr:row>62</xdr:row>
      <xdr:rowOff>190500</xdr:rowOff>
    </xdr:from>
    <xdr:ext cx="1190625" cy="1209675"/>
    <xdr:pic>
      <xdr:nvPicPr>
        <xdr:cNvPr id="3" name="image5.pn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1133475</xdr:colOff>
      <xdr:row>50</xdr:row>
      <xdr:rowOff>57150</xdr:rowOff>
    </xdr:from>
    <xdr:ext cx="457200" cy="466725"/>
    <xdr:pic>
      <xdr:nvPicPr>
        <xdr:cNvPr id="2" name="image7.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800100</xdr:colOff>
      <xdr:row>57</xdr:row>
      <xdr:rowOff>38100</xdr:rowOff>
    </xdr:from>
    <xdr:ext cx="1181100" cy="466725"/>
    <xdr:pic>
      <xdr:nvPicPr>
        <xdr:cNvPr id="3" name="image1.png">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933450</xdr:colOff>
      <xdr:row>43</xdr:row>
      <xdr:rowOff>38100</xdr:rowOff>
    </xdr:from>
    <xdr:ext cx="1181100" cy="44767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1171575</xdr:colOff>
      <xdr:row>35</xdr:row>
      <xdr:rowOff>142875</xdr:rowOff>
    </xdr:from>
    <xdr:ext cx="1047750" cy="600075"/>
    <xdr:pic>
      <xdr:nvPicPr>
        <xdr:cNvPr id="3" name="image4.png" title="Image">
          <a:extLst>
            <a:ext uri="{FF2B5EF4-FFF2-40B4-BE49-F238E27FC236}">
              <a16:creationId xmlns:a16="http://schemas.microsoft.com/office/drawing/2014/main" id="{00000000-0008-0000-06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704850</xdr:colOff>
      <xdr:row>43</xdr:row>
      <xdr:rowOff>47625</xdr:rowOff>
    </xdr:from>
    <xdr:ext cx="1181100" cy="457200"/>
    <xdr:pic>
      <xdr:nvPicPr>
        <xdr:cNvPr id="2" name="image1.png">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790575</xdr:colOff>
      <xdr:row>34</xdr:row>
      <xdr:rowOff>0</xdr:rowOff>
    </xdr:from>
    <xdr:ext cx="1190625" cy="1209675"/>
    <xdr:pic>
      <xdr:nvPicPr>
        <xdr:cNvPr id="3" name="image5.png">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xdr:col>
      <xdr:colOff>819150</xdr:colOff>
      <xdr:row>214</xdr:row>
      <xdr:rowOff>142875</xdr:rowOff>
    </xdr:from>
    <xdr:ext cx="1123950" cy="485775"/>
    <xdr:pic>
      <xdr:nvPicPr>
        <xdr:cNvPr id="2" name="image8.png">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676275</xdr:colOff>
      <xdr:row>221</xdr:row>
      <xdr:rowOff>133350</xdr:rowOff>
    </xdr:from>
    <xdr:ext cx="1181100" cy="590550"/>
    <xdr:pic>
      <xdr:nvPicPr>
        <xdr:cNvPr id="3" name="image1.png">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xdr:col>
      <xdr:colOff>466725</xdr:colOff>
      <xdr:row>73</xdr:row>
      <xdr:rowOff>0</xdr:rowOff>
    </xdr:from>
    <xdr:ext cx="1123950" cy="390525"/>
    <xdr:pic>
      <xdr:nvPicPr>
        <xdr:cNvPr id="2" name="image8.png">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285750</xdr:colOff>
      <xdr:row>80</xdr:row>
      <xdr:rowOff>0</xdr:rowOff>
    </xdr:from>
    <xdr:ext cx="1181100" cy="457200"/>
    <xdr:pic>
      <xdr:nvPicPr>
        <xdr:cNvPr id="3" name="image1.png">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504825</xdr:colOff>
      <xdr:row>29</xdr:row>
      <xdr:rowOff>0</xdr:rowOff>
    </xdr:from>
    <xdr:ext cx="1123950" cy="390525"/>
    <xdr:pic>
      <xdr:nvPicPr>
        <xdr:cNvPr id="2" name="image8.png">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361950</xdr:colOff>
      <xdr:row>35</xdr:row>
      <xdr:rowOff>190500</xdr:rowOff>
    </xdr:from>
    <xdr:ext cx="1181100" cy="466725"/>
    <xdr:pic>
      <xdr:nvPicPr>
        <xdr:cNvPr id="3" name="image1.png">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xdr:col>
      <xdr:colOff>809625</xdr:colOff>
      <xdr:row>93</xdr:row>
      <xdr:rowOff>171450</xdr:rowOff>
    </xdr:from>
    <xdr:ext cx="1123950" cy="457200"/>
    <xdr:pic>
      <xdr:nvPicPr>
        <xdr:cNvPr id="2" name="image8.png">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666750</xdr:colOff>
      <xdr:row>101</xdr:row>
      <xdr:rowOff>9525</xdr:rowOff>
    </xdr:from>
    <xdr:ext cx="1181100" cy="495300"/>
    <xdr:pic>
      <xdr:nvPicPr>
        <xdr:cNvPr id="3" name="image1.png">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IPDO_Romell/Documents/2023%20PBB%20Docs/Raw/advanced%20edTP-PBB-FY-2023-Summary-Sheet-Template-Reference-Matrix-for-MSC-2024-02-19-v1.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erence Matrix"/>
      <sheetName val="Higher Education (Oc1)"/>
      <sheetName val="Higher Education (Oc2)"/>
      <sheetName val="Higher Education (Op1)"/>
      <sheetName val="Higher Education (Op2)"/>
      <sheetName val="Advanced Education (Oc1)"/>
      <sheetName val="Advanced Education (Op1_SC)"/>
      <sheetName val="Advanced Education (Op2)"/>
      <sheetName val="Research Program (Op&amp;Oc)"/>
      <sheetName val="Extension Program (Op1&amp;Op3)"/>
      <sheetName val="Extension Program (Op2)"/>
      <sheetName val="Extension Program (Oc)"/>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8" Type="http://schemas.openxmlformats.org/officeDocument/2006/relationships/hyperlink" Target="https://drive.google.com/file/d/1I7pFuxdlxG3_9VejHJooifR9q174QeKB/view?usp=drive_link" TargetMode="External"/><Relationship Id="rId13" Type="http://schemas.openxmlformats.org/officeDocument/2006/relationships/hyperlink" Target="https://drive.google.com/file/d/1AzxNReDjg1wh4i_8amlC-nwN_iC8_mZT/view?usp=sharing" TargetMode="External"/><Relationship Id="rId18" Type="http://schemas.openxmlformats.org/officeDocument/2006/relationships/hyperlink" Target="https://drive.google.com/file/d/12luzk4O4EYlQGQppOay4M1JzdRBRpOjS/view?usp=sharing" TargetMode="External"/><Relationship Id="rId26" Type="http://schemas.openxmlformats.org/officeDocument/2006/relationships/hyperlink" Target="https://drive.google.com/file/d/1HUXVYh8nEoGoY3mkzF3uRxobfLRqVS6r/view?usp=sharing" TargetMode="External"/><Relationship Id="rId3" Type="http://schemas.openxmlformats.org/officeDocument/2006/relationships/hyperlink" Target="https://drive.google.com/drive/u/0/my-drive" TargetMode="External"/><Relationship Id="rId21" Type="http://schemas.openxmlformats.org/officeDocument/2006/relationships/hyperlink" Target="https://drive.google.com/file/d/1sk18gW2C-pS2A-zFABK7aM0Le860clsA/view?usp=sharing" TargetMode="External"/><Relationship Id="rId7" Type="http://schemas.openxmlformats.org/officeDocument/2006/relationships/hyperlink" Target="https://drive.google.com/file/d/1RBZJ4kbt7M8Uw36U8kBNqZioFKRZFaTW/view?usp=drive_link" TargetMode="External"/><Relationship Id="rId12" Type="http://schemas.openxmlformats.org/officeDocument/2006/relationships/hyperlink" Target="https://drive.google.com/file/d/1BLZlFIoQdzvY57nA3F49Od6rovaLsN06/view?usp=drive_link" TargetMode="External"/><Relationship Id="rId17" Type="http://schemas.openxmlformats.org/officeDocument/2006/relationships/hyperlink" Target="https://drive.google.com/file/d/1vYaVHLoxzRtf-6Zs3A4Qp1_02C-R7BEM/view?usp=sharing" TargetMode="External"/><Relationship Id="rId25" Type="http://schemas.openxmlformats.org/officeDocument/2006/relationships/hyperlink" Target="https://drive.google.com/file/d/1AiV4R8TLzOf5zsgaMveI6edBgYHjm1Tg/view?usp=sharing" TargetMode="External"/><Relationship Id="rId2" Type="http://schemas.openxmlformats.org/officeDocument/2006/relationships/hyperlink" Target="http://tinyurl.com/app" TargetMode="External"/><Relationship Id="rId16" Type="http://schemas.openxmlformats.org/officeDocument/2006/relationships/hyperlink" Target="https://drive.google.com/file/d/1ftqttYhNaFBFXdPCPrzIQTBZ3nynLzJC/view?usp=sharing" TargetMode="External"/><Relationship Id="rId20" Type="http://schemas.openxmlformats.org/officeDocument/2006/relationships/hyperlink" Target="https://drive.google.com/file/d/1cjwRDzdSwX8-ehQiiDAOzobol6T5TeLm/view?usp=sharing" TargetMode="External"/><Relationship Id="rId1" Type="http://schemas.openxmlformats.org/officeDocument/2006/relationships/hyperlink" Target="http://tinyurl.com/app" TargetMode="External"/><Relationship Id="rId6" Type="http://schemas.openxmlformats.org/officeDocument/2006/relationships/hyperlink" Target="https://drive.google.com/file/d/1mF2paroIjbbUE9I43jrxX-qecTbWs-wm/view?usp=drive_link" TargetMode="External"/><Relationship Id="rId11" Type="http://schemas.openxmlformats.org/officeDocument/2006/relationships/hyperlink" Target="https://drive.google.com/file/d/1TjtAhJbaW98X-MEjpgqDIjyhjE-78xtQ/view?usp=drive_link" TargetMode="External"/><Relationship Id="rId24" Type="http://schemas.openxmlformats.org/officeDocument/2006/relationships/hyperlink" Target="https://drive.google.com/file/d/1aXRLHJN3elPSQkmOiXPkUbFl-oY-WhtB/view?usp=sharing" TargetMode="External"/><Relationship Id="rId5" Type="http://schemas.openxmlformats.org/officeDocument/2006/relationships/hyperlink" Target="https://drive.google.com/drive/u/0/my-drive" TargetMode="External"/><Relationship Id="rId15" Type="http://schemas.openxmlformats.org/officeDocument/2006/relationships/hyperlink" Target="https://drive.google.com/file/d/1gBf2ddZ5SrF2zCfKzNz2tFrkgLSzSWO_/view?usp=sharing" TargetMode="External"/><Relationship Id="rId23" Type="http://schemas.openxmlformats.org/officeDocument/2006/relationships/hyperlink" Target="https://drive.google.com/file/d/1v-lIyglsXtneDx1F3CU4e3Ewrj54in2u/view?usp=sharing" TargetMode="External"/><Relationship Id="rId10" Type="http://schemas.openxmlformats.org/officeDocument/2006/relationships/hyperlink" Target="https://drive.google.com/file/d/1gPyRbIskD43gzfdEnNAKOTNsW56-9wRu/view?usp=sharing" TargetMode="External"/><Relationship Id="rId19" Type="http://schemas.openxmlformats.org/officeDocument/2006/relationships/hyperlink" Target="https://drive.google.com/file/d/1AfId4jHPtlSxHfrYODAOopKQzZJtMaC_/view?usp=sharing" TargetMode="External"/><Relationship Id="rId4" Type="http://schemas.openxmlformats.org/officeDocument/2006/relationships/hyperlink" Target="https://drive.google.com/drive/u/0/my-drive" TargetMode="External"/><Relationship Id="rId9" Type="http://schemas.openxmlformats.org/officeDocument/2006/relationships/hyperlink" Target="https://drive.google.com/file/d/1E2AoSD-jmdxJHuHAh1SOU7QVAde-1U5x/view?usp=drive_link" TargetMode="External"/><Relationship Id="rId14" Type="http://schemas.openxmlformats.org/officeDocument/2006/relationships/hyperlink" Target="https://drive.google.com/file/d/1KPFKZLaR3rj5BdHV0gPxyYZWTyWS9i3k/view?usp=sharing" TargetMode="External"/><Relationship Id="rId22" Type="http://schemas.openxmlformats.org/officeDocument/2006/relationships/hyperlink" Target="https://drive.google.com/file/d/12nYQlPZZKFKkDkiXavMzmHAaXRjvTSz5/view?usp=sharing" TargetMode="External"/><Relationship Id="rId27"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hyperlink" Target="http://drive.google.com/" TargetMode="External"/><Relationship Id="rId2" Type="http://schemas.openxmlformats.org/officeDocument/2006/relationships/hyperlink" Target="http://drive.google.com/" TargetMode="External"/><Relationship Id="rId1" Type="http://schemas.openxmlformats.org/officeDocument/2006/relationships/hyperlink" Target="https://drive.google.com/drive/u/0/my-drive" TargetMode="External"/><Relationship Id="rId6" Type="http://schemas.openxmlformats.org/officeDocument/2006/relationships/drawing" Target="../drawings/drawing5.xml"/><Relationship Id="rId5" Type="http://schemas.openxmlformats.org/officeDocument/2006/relationships/hyperlink" Target="https://drive.google.com/drive/u/0/my-drive" TargetMode="External"/><Relationship Id="rId4" Type="http://schemas.openxmlformats.org/officeDocument/2006/relationships/hyperlink" Target="http://drive.google.com/"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hyperlink" Target="https://drive.google.com/file/d/1xsdZO-ctsqogSlVqtNkjDeEDdg3U1uYI/view?usp=sharing" TargetMode="External"/><Relationship Id="rId3" Type="http://schemas.openxmlformats.org/officeDocument/2006/relationships/hyperlink" Target="https://drive.google.com/drive/u/0/my-drive" TargetMode="External"/><Relationship Id="rId7" Type="http://schemas.openxmlformats.org/officeDocument/2006/relationships/hyperlink" Target="https://drive.google.com/file/d/1xsdZO-ctsqogSlVqtNkjDeEDdg3U1uYI/view?usp=sharing" TargetMode="External"/><Relationship Id="rId2" Type="http://schemas.openxmlformats.org/officeDocument/2006/relationships/hyperlink" Target="http://tinyurl.com/app" TargetMode="External"/><Relationship Id="rId1" Type="http://schemas.openxmlformats.org/officeDocument/2006/relationships/hyperlink" Target="http://tinyurl.com/app" TargetMode="External"/><Relationship Id="rId6" Type="http://schemas.openxmlformats.org/officeDocument/2006/relationships/hyperlink" Target="http://tinyurl.com/app" TargetMode="External"/><Relationship Id="rId5" Type="http://schemas.openxmlformats.org/officeDocument/2006/relationships/hyperlink" Target="https://drive.google.com/drive/u/0/my-drive" TargetMode="External"/><Relationship Id="rId10" Type="http://schemas.openxmlformats.org/officeDocument/2006/relationships/drawing" Target="../drawings/drawing7.xml"/><Relationship Id="rId4" Type="http://schemas.openxmlformats.org/officeDocument/2006/relationships/hyperlink" Target="https://drive.google.com/drive/u/0/my-drive" TargetMode="External"/><Relationship Id="rId9" Type="http://schemas.openxmlformats.org/officeDocument/2006/relationships/hyperlink" Target="https://drive.google.com/file/d/1-OJ0wAAgggVvXPwl9uBq4C0cgqvEVOXJ/view?usp=shari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0000"/>
    <outlinePr summaryBelow="0" summaryRight="0"/>
  </sheetPr>
  <dimension ref="A1:L1000"/>
  <sheetViews>
    <sheetView workbookViewId="0">
      <pane ySplit="4" topLeftCell="A5" activePane="bottomLeft" state="frozen"/>
      <selection pane="bottomLeft" activeCell="B6" sqref="B6"/>
    </sheetView>
  </sheetViews>
  <sheetFormatPr defaultColWidth="12.5703125" defaultRowHeight="15" customHeight="1"/>
  <cols>
    <col min="1" max="1" width="17.140625" customWidth="1"/>
    <col min="2" max="2" width="35.140625" customWidth="1"/>
    <col min="3" max="3" width="34.42578125" customWidth="1"/>
    <col min="4" max="4" width="32.28515625" customWidth="1"/>
    <col min="5" max="5" width="49.140625" customWidth="1"/>
    <col min="6" max="6" width="41.85546875" customWidth="1"/>
  </cols>
  <sheetData>
    <row r="1" spans="1:12" ht="12.75" customHeight="1">
      <c r="A1" s="575" t="s">
        <v>0</v>
      </c>
      <c r="B1" s="576"/>
      <c r="C1" s="576"/>
      <c r="D1" s="576"/>
      <c r="E1" s="576"/>
      <c r="F1" s="577"/>
    </row>
    <row r="2" spans="1:12" ht="155.25" customHeight="1">
      <c r="A2" s="578" t="s">
        <v>1</v>
      </c>
      <c r="B2" s="579"/>
      <c r="C2" s="579"/>
      <c r="D2" s="579"/>
      <c r="E2" s="579"/>
      <c r="F2" s="580"/>
    </row>
    <row r="3" spans="1:12" ht="12.75" customHeight="1">
      <c r="A3" s="1"/>
      <c r="B3" s="1"/>
      <c r="C3" s="1"/>
      <c r="D3" s="1"/>
      <c r="E3" s="1"/>
      <c r="F3" s="1"/>
    </row>
    <row r="4" spans="1:12" ht="12.75" customHeight="1">
      <c r="A4" s="2" t="s">
        <v>2</v>
      </c>
      <c r="B4" s="2" t="s">
        <v>3</v>
      </c>
      <c r="C4" s="2" t="s">
        <v>4</v>
      </c>
      <c r="D4" s="2" t="s">
        <v>5</v>
      </c>
      <c r="E4" s="2" t="s">
        <v>6</v>
      </c>
      <c r="F4" s="2" t="s">
        <v>7</v>
      </c>
      <c r="L4" s="3"/>
    </row>
    <row r="5" spans="1:12" ht="12.75" customHeight="1">
      <c r="A5" s="581" t="s">
        <v>8</v>
      </c>
      <c r="B5" s="582"/>
      <c r="C5" s="582"/>
      <c r="D5" s="582"/>
      <c r="E5" s="582"/>
      <c r="F5" s="583"/>
      <c r="L5" s="3"/>
    </row>
    <row r="6" spans="1:12" ht="12.75" customHeight="1">
      <c r="A6" s="4" t="s">
        <v>9</v>
      </c>
      <c r="B6" s="4" t="s">
        <v>10</v>
      </c>
      <c r="C6" s="4" t="s">
        <v>11</v>
      </c>
      <c r="D6" s="4" t="s">
        <v>12</v>
      </c>
      <c r="E6" s="4" t="s">
        <v>13</v>
      </c>
      <c r="F6" s="4" t="s">
        <v>14</v>
      </c>
      <c r="L6" s="3"/>
    </row>
    <row r="7" spans="1:12" ht="12.75" customHeight="1">
      <c r="A7" s="4" t="s">
        <v>9</v>
      </c>
      <c r="B7" s="4" t="s">
        <v>15</v>
      </c>
      <c r="C7" s="4" t="s">
        <v>16</v>
      </c>
      <c r="D7" s="4" t="s">
        <v>17</v>
      </c>
      <c r="E7" s="4" t="s">
        <v>13</v>
      </c>
      <c r="F7" s="4" t="s">
        <v>18</v>
      </c>
      <c r="L7" s="3"/>
    </row>
    <row r="8" spans="1:12" ht="12.75" customHeight="1">
      <c r="A8" s="4" t="s">
        <v>19</v>
      </c>
      <c r="B8" s="4" t="s">
        <v>20</v>
      </c>
      <c r="C8" s="5" t="s">
        <v>21</v>
      </c>
      <c r="D8" s="4" t="s">
        <v>22</v>
      </c>
      <c r="E8" s="6" t="s">
        <v>23</v>
      </c>
      <c r="F8" s="4" t="s">
        <v>24</v>
      </c>
      <c r="L8" s="3"/>
    </row>
    <row r="9" spans="1:12" ht="12.75" customHeight="1">
      <c r="A9" s="4" t="s">
        <v>19</v>
      </c>
      <c r="B9" s="4" t="s">
        <v>25</v>
      </c>
      <c r="C9" s="7" t="s">
        <v>26</v>
      </c>
      <c r="D9" s="4" t="s">
        <v>27</v>
      </c>
      <c r="E9" s="6" t="s">
        <v>28</v>
      </c>
      <c r="F9" s="4" t="s">
        <v>29</v>
      </c>
      <c r="L9" s="3"/>
    </row>
    <row r="10" spans="1:12" ht="12.75" customHeight="1">
      <c r="A10" s="581" t="s">
        <v>30</v>
      </c>
      <c r="B10" s="582"/>
      <c r="C10" s="582"/>
      <c r="D10" s="582"/>
      <c r="E10" s="582"/>
      <c r="F10" s="583"/>
      <c r="L10" s="3"/>
    </row>
    <row r="11" spans="1:12" ht="12.75" customHeight="1">
      <c r="A11" s="4" t="s">
        <v>9</v>
      </c>
      <c r="B11" s="4" t="s">
        <v>31</v>
      </c>
      <c r="C11" s="4" t="s">
        <v>32</v>
      </c>
      <c r="D11" s="8" t="s">
        <v>33</v>
      </c>
      <c r="E11" s="6" t="s">
        <v>34</v>
      </c>
      <c r="F11" s="4" t="s">
        <v>35</v>
      </c>
      <c r="L11" s="3"/>
    </row>
    <row r="12" spans="1:12" ht="12.75" customHeight="1">
      <c r="A12" s="4" t="s">
        <v>19</v>
      </c>
      <c r="B12" s="4" t="s">
        <v>36</v>
      </c>
      <c r="C12" s="4" t="s">
        <v>37</v>
      </c>
      <c r="D12" s="4" t="s">
        <v>38</v>
      </c>
      <c r="E12" s="6" t="s">
        <v>39</v>
      </c>
      <c r="F12" s="4" t="s">
        <v>40</v>
      </c>
      <c r="L12" s="3"/>
    </row>
    <row r="13" spans="1:12" ht="12.75" customHeight="1">
      <c r="A13" s="4" t="s">
        <v>19</v>
      </c>
      <c r="B13" s="4" t="s">
        <v>41</v>
      </c>
      <c r="C13" s="4" t="s">
        <v>42</v>
      </c>
      <c r="D13" s="4" t="s">
        <v>43</v>
      </c>
      <c r="E13" s="6" t="s">
        <v>44</v>
      </c>
      <c r="F13" s="4" t="s">
        <v>45</v>
      </c>
      <c r="L13" s="3"/>
    </row>
    <row r="14" spans="1:12" ht="12.75" customHeight="1">
      <c r="A14" s="4" t="s">
        <v>19</v>
      </c>
      <c r="B14" s="4" t="s">
        <v>46</v>
      </c>
      <c r="C14" s="7" t="s">
        <v>47</v>
      </c>
      <c r="D14" s="4" t="s">
        <v>48</v>
      </c>
      <c r="E14" s="6" t="s">
        <v>49</v>
      </c>
      <c r="F14" s="4" t="s">
        <v>50</v>
      </c>
      <c r="L14" s="3"/>
    </row>
    <row r="15" spans="1:12" ht="12.75" customHeight="1">
      <c r="A15" s="581" t="s">
        <v>51</v>
      </c>
      <c r="B15" s="582"/>
      <c r="C15" s="582"/>
      <c r="D15" s="582"/>
      <c r="E15" s="582"/>
      <c r="F15" s="583"/>
      <c r="L15" s="3"/>
    </row>
    <row r="16" spans="1:12" ht="12.75" customHeight="1">
      <c r="A16" s="4" t="s">
        <v>9</v>
      </c>
      <c r="B16" s="5" t="s">
        <v>52</v>
      </c>
      <c r="C16" s="5" t="s">
        <v>53</v>
      </c>
      <c r="D16" s="5" t="s">
        <v>54</v>
      </c>
      <c r="E16" s="6" t="s">
        <v>55</v>
      </c>
      <c r="F16" s="4" t="s">
        <v>56</v>
      </c>
      <c r="L16" s="3"/>
    </row>
    <row r="17" spans="1:12" ht="12.75" customHeight="1">
      <c r="A17" s="4" t="s">
        <v>19</v>
      </c>
      <c r="B17" s="4" t="s">
        <v>57</v>
      </c>
      <c r="C17" s="4" t="s">
        <v>58</v>
      </c>
      <c r="D17" s="4" t="s">
        <v>59</v>
      </c>
      <c r="E17" s="4" t="s">
        <v>60</v>
      </c>
      <c r="F17" s="4" t="s">
        <v>61</v>
      </c>
      <c r="L17" s="3"/>
    </row>
    <row r="18" spans="1:12" ht="12.75" customHeight="1">
      <c r="A18" s="4" t="s">
        <v>19</v>
      </c>
      <c r="B18" s="4" t="s">
        <v>62</v>
      </c>
      <c r="C18" s="4" t="s">
        <v>63</v>
      </c>
      <c r="D18" s="4" t="s">
        <v>64</v>
      </c>
      <c r="E18" s="6" t="s">
        <v>65</v>
      </c>
      <c r="F18" s="4" t="s">
        <v>66</v>
      </c>
      <c r="L18" s="3"/>
    </row>
    <row r="19" spans="1:12" ht="12.75" customHeight="1">
      <c r="A19" s="4" t="s">
        <v>19</v>
      </c>
      <c r="B19" s="4" t="s">
        <v>67</v>
      </c>
      <c r="C19" s="4" t="s">
        <v>68</v>
      </c>
      <c r="D19" s="4" t="s">
        <v>69</v>
      </c>
      <c r="E19" s="6" t="s">
        <v>70</v>
      </c>
      <c r="F19" s="4" t="s">
        <v>71</v>
      </c>
      <c r="L19" s="3"/>
    </row>
    <row r="20" spans="1:12" ht="12.75" customHeight="1">
      <c r="A20" s="581" t="s">
        <v>72</v>
      </c>
      <c r="B20" s="582"/>
      <c r="C20" s="582"/>
      <c r="D20" s="582"/>
      <c r="E20" s="582"/>
      <c r="F20" s="583"/>
      <c r="L20" s="3"/>
    </row>
    <row r="21" spans="1:12" ht="12.75" customHeight="1">
      <c r="A21" s="4" t="s">
        <v>9</v>
      </c>
      <c r="B21" s="4" t="s">
        <v>73</v>
      </c>
      <c r="C21" s="4" t="s">
        <v>74</v>
      </c>
      <c r="D21" s="4" t="s">
        <v>75</v>
      </c>
      <c r="E21" s="4" t="s">
        <v>74</v>
      </c>
      <c r="F21" s="4" t="s">
        <v>76</v>
      </c>
      <c r="L21" s="3"/>
    </row>
    <row r="22" spans="1:12" ht="12.75" customHeight="1">
      <c r="A22" s="4" t="s">
        <v>19</v>
      </c>
      <c r="B22" s="4" t="s">
        <v>77</v>
      </c>
      <c r="C22" s="4" t="s">
        <v>78</v>
      </c>
      <c r="D22" s="4" t="s">
        <v>79</v>
      </c>
      <c r="E22" s="6" t="s">
        <v>80</v>
      </c>
      <c r="F22" s="4" t="s">
        <v>81</v>
      </c>
      <c r="L22" s="3"/>
    </row>
    <row r="23" spans="1:12" ht="12.75" customHeight="1">
      <c r="A23" s="4" t="s">
        <v>19</v>
      </c>
      <c r="B23" s="4" t="s">
        <v>82</v>
      </c>
      <c r="C23" s="4" t="s">
        <v>83</v>
      </c>
      <c r="D23" s="4" t="s">
        <v>84</v>
      </c>
      <c r="E23" s="6" t="s">
        <v>85</v>
      </c>
      <c r="F23" s="4" t="s">
        <v>86</v>
      </c>
      <c r="L23" s="3"/>
    </row>
    <row r="24" spans="1:12" ht="12.75" customHeight="1">
      <c r="A24" s="4" t="s">
        <v>19</v>
      </c>
      <c r="B24" s="4" t="s">
        <v>87</v>
      </c>
      <c r="C24" s="4" t="s">
        <v>88</v>
      </c>
      <c r="D24" s="4" t="s">
        <v>89</v>
      </c>
      <c r="E24" s="4" t="s">
        <v>90</v>
      </c>
      <c r="F24" s="4" t="s">
        <v>91</v>
      </c>
      <c r="L24" s="3"/>
    </row>
    <row r="25" spans="1:12" ht="12.75" customHeight="1">
      <c r="A25" s="581" t="s">
        <v>92</v>
      </c>
      <c r="B25" s="582"/>
      <c r="C25" s="582"/>
      <c r="D25" s="582"/>
      <c r="E25" s="582"/>
      <c r="F25" s="583"/>
      <c r="L25" s="3"/>
    </row>
    <row r="26" spans="1:12" ht="12.75" customHeight="1">
      <c r="A26" s="4" t="s">
        <v>9</v>
      </c>
      <c r="B26" s="4" t="s">
        <v>93</v>
      </c>
      <c r="C26" s="4" t="s">
        <v>94</v>
      </c>
      <c r="D26" s="4" t="s">
        <v>95</v>
      </c>
      <c r="E26" s="4"/>
      <c r="F26" s="4" t="s">
        <v>96</v>
      </c>
      <c r="L26" s="3"/>
    </row>
    <row r="27" spans="1:12" ht="12.75" customHeight="1">
      <c r="A27" s="4" t="s">
        <v>19</v>
      </c>
      <c r="B27" s="4" t="s">
        <v>97</v>
      </c>
      <c r="C27" s="4" t="s">
        <v>98</v>
      </c>
      <c r="D27" s="4" t="s">
        <v>99</v>
      </c>
      <c r="E27" s="4"/>
      <c r="F27" s="4" t="s">
        <v>100</v>
      </c>
      <c r="L27" s="3"/>
    </row>
    <row r="28" spans="1:12" ht="12.75" customHeight="1">
      <c r="A28" s="4" t="s">
        <v>19</v>
      </c>
      <c r="B28" s="4" t="s">
        <v>101</v>
      </c>
      <c r="C28" s="4" t="s">
        <v>102</v>
      </c>
      <c r="D28" s="4" t="s">
        <v>103</v>
      </c>
      <c r="E28" s="4"/>
      <c r="F28" s="4" t="s">
        <v>104</v>
      </c>
      <c r="L28" s="3"/>
    </row>
    <row r="29" spans="1:12" ht="12.75" customHeight="1">
      <c r="A29" s="9"/>
      <c r="B29" s="9"/>
      <c r="C29" s="9"/>
      <c r="D29" s="9"/>
      <c r="E29" s="9"/>
      <c r="F29" s="9"/>
      <c r="L29" s="3"/>
    </row>
    <row r="30" spans="1:12" ht="12.75" customHeight="1">
      <c r="A30" s="9"/>
      <c r="B30" s="9"/>
      <c r="C30" s="9"/>
      <c r="D30" s="9"/>
      <c r="E30" s="9"/>
      <c r="F30" s="9"/>
      <c r="L30" s="3"/>
    </row>
    <row r="31" spans="1:12" ht="12.75" customHeight="1">
      <c r="A31" s="9"/>
      <c r="B31" s="9"/>
      <c r="C31" s="9"/>
      <c r="D31" s="9"/>
      <c r="E31" s="9"/>
      <c r="F31" s="9"/>
      <c r="L31" s="3"/>
    </row>
    <row r="32" spans="1:12" ht="12.75" customHeight="1">
      <c r="A32" s="9"/>
      <c r="B32" s="9"/>
      <c r="C32" s="9"/>
      <c r="D32" s="9"/>
      <c r="E32" s="9"/>
      <c r="F32" s="9"/>
      <c r="L32" s="3"/>
    </row>
    <row r="33" spans="1:12" ht="12.75" customHeight="1">
      <c r="A33" s="9"/>
      <c r="B33" s="9"/>
      <c r="C33" s="9"/>
      <c r="D33" s="9"/>
      <c r="E33" s="9"/>
      <c r="F33" s="9"/>
      <c r="L33" s="3"/>
    </row>
    <row r="34" spans="1:12" ht="12.75" customHeight="1">
      <c r="A34" s="9"/>
      <c r="B34" s="9"/>
      <c r="C34" s="9"/>
      <c r="D34" s="9"/>
      <c r="E34" s="9"/>
      <c r="F34" s="9"/>
      <c r="L34" s="3"/>
    </row>
    <row r="35" spans="1:12" ht="12.75" customHeight="1">
      <c r="A35" s="9"/>
      <c r="B35" s="9"/>
      <c r="C35" s="9"/>
      <c r="D35" s="9"/>
      <c r="E35" s="9"/>
      <c r="F35" s="9"/>
      <c r="L35" s="3"/>
    </row>
    <row r="36" spans="1:12" ht="12.75" customHeight="1">
      <c r="A36" s="9"/>
      <c r="B36" s="9"/>
      <c r="C36" s="9"/>
      <c r="D36" s="9"/>
      <c r="E36" s="9"/>
      <c r="F36" s="9"/>
      <c r="L36" s="3"/>
    </row>
    <row r="37" spans="1:12" ht="12.75" customHeight="1">
      <c r="A37" s="9"/>
      <c r="B37" s="9"/>
      <c r="C37" s="9"/>
      <c r="D37" s="9"/>
      <c r="E37" s="9"/>
      <c r="F37" s="9"/>
      <c r="L37" s="3"/>
    </row>
    <row r="38" spans="1:12" ht="12.75" customHeight="1">
      <c r="A38" s="9"/>
      <c r="B38" s="9"/>
      <c r="C38" s="9"/>
      <c r="D38" s="9"/>
      <c r="E38" s="9"/>
      <c r="F38" s="9"/>
      <c r="L38" s="3"/>
    </row>
    <row r="39" spans="1:12" ht="12.75" customHeight="1">
      <c r="A39" s="9"/>
      <c r="B39" s="9"/>
      <c r="C39" s="9"/>
      <c r="D39" s="9"/>
      <c r="E39" s="9"/>
      <c r="F39" s="9"/>
      <c r="L39" s="3"/>
    </row>
    <row r="40" spans="1:12" ht="12.75" customHeight="1">
      <c r="A40" s="9"/>
      <c r="B40" s="9"/>
      <c r="C40" s="9"/>
      <c r="D40" s="9"/>
      <c r="E40" s="9"/>
      <c r="F40" s="9"/>
      <c r="L40" s="3"/>
    </row>
    <row r="41" spans="1:12" ht="12.75" customHeight="1">
      <c r="A41" s="9"/>
      <c r="B41" s="9"/>
      <c r="C41" s="9"/>
      <c r="D41" s="9"/>
      <c r="E41" s="9"/>
      <c r="F41" s="9"/>
      <c r="L41" s="3"/>
    </row>
    <row r="42" spans="1:12" ht="12.75" customHeight="1">
      <c r="A42" s="9"/>
      <c r="B42" s="9"/>
      <c r="C42" s="9"/>
      <c r="D42" s="9"/>
      <c r="E42" s="9"/>
      <c r="F42" s="9"/>
      <c r="L42" s="3"/>
    </row>
    <row r="43" spans="1:12" ht="12.75" customHeight="1">
      <c r="A43" s="9"/>
      <c r="B43" s="9"/>
      <c r="C43" s="9"/>
      <c r="D43" s="9"/>
      <c r="E43" s="9"/>
      <c r="F43" s="9"/>
      <c r="L43" s="3"/>
    </row>
    <row r="44" spans="1:12" ht="12.75" customHeight="1">
      <c r="A44" s="9"/>
      <c r="B44" s="9"/>
      <c r="C44" s="9"/>
      <c r="D44" s="9"/>
      <c r="E44" s="9"/>
      <c r="F44" s="9"/>
      <c r="L44" s="3"/>
    </row>
    <row r="45" spans="1:12" ht="12.75" customHeight="1">
      <c r="A45" s="9"/>
      <c r="B45" s="9"/>
      <c r="C45" s="9"/>
      <c r="D45" s="9"/>
      <c r="E45" s="9"/>
      <c r="F45" s="9"/>
      <c r="L45" s="3"/>
    </row>
    <row r="46" spans="1:12" ht="12.75" customHeight="1">
      <c r="A46" s="9"/>
      <c r="B46" s="9"/>
      <c r="C46" s="9"/>
      <c r="D46" s="9"/>
      <c r="E46" s="9"/>
      <c r="F46" s="9"/>
      <c r="L46" s="3"/>
    </row>
    <row r="47" spans="1:12" ht="12.75" customHeight="1">
      <c r="A47" s="9"/>
      <c r="B47" s="9"/>
      <c r="C47" s="9"/>
      <c r="D47" s="9"/>
      <c r="E47" s="9"/>
      <c r="F47" s="9"/>
      <c r="L47" s="3"/>
    </row>
    <row r="48" spans="1:12" ht="12.75" customHeight="1">
      <c r="A48" s="9"/>
      <c r="B48" s="9"/>
      <c r="C48" s="9"/>
      <c r="D48" s="9"/>
      <c r="E48" s="9"/>
      <c r="F48" s="9"/>
      <c r="L48" s="3"/>
    </row>
    <row r="49" spans="1:12" ht="12.75" customHeight="1">
      <c r="A49" s="9"/>
      <c r="B49" s="9"/>
      <c r="C49" s="9"/>
      <c r="D49" s="9"/>
      <c r="E49" s="9"/>
      <c r="F49" s="9"/>
      <c r="L49" s="3"/>
    </row>
    <row r="50" spans="1:12" ht="12.75" customHeight="1">
      <c r="A50" s="9"/>
      <c r="B50" s="9"/>
      <c r="C50" s="9"/>
      <c r="D50" s="9"/>
      <c r="E50" s="9"/>
      <c r="F50" s="9"/>
      <c r="L50" s="3"/>
    </row>
    <row r="51" spans="1:12" ht="12.75" customHeight="1">
      <c r="A51" s="9"/>
      <c r="B51" s="9"/>
      <c r="C51" s="9"/>
      <c r="D51" s="9"/>
      <c r="E51" s="9"/>
      <c r="F51" s="9"/>
      <c r="L51" s="3"/>
    </row>
    <row r="52" spans="1:12" ht="12.75" customHeight="1">
      <c r="A52" s="9"/>
      <c r="B52" s="9"/>
      <c r="C52" s="9"/>
      <c r="D52" s="9"/>
      <c r="E52" s="9"/>
      <c r="F52" s="9"/>
      <c r="L52" s="3"/>
    </row>
    <row r="53" spans="1:12" ht="12.75" customHeight="1">
      <c r="A53" s="9"/>
      <c r="B53" s="9"/>
      <c r="C53" s="9"/>
      <c r="D53" s="9"/>
      <c r="E53" s="9"/>
      <c r="F53" s="9"/>
      <c r="L53" s="3"/>
    </row>
    <row r="54" spans="1:12" ht="12.75" customHeight="1">
      <c r="A54" s="9"/>
      <c r="B54" s="9"/>
      <c r="C54" s="9"/>
      <c r="D54" s="9"/>
      <c r="E54" s="9"/>
      <c r="F54" s="9"/>
      <c r="L54" s="3"/>
    </row>
    <row r="55" spans="1:12" ht="12.75" customHeight="1">
      <c r="A55" s="9"/>
      <c r="B55" s="9"/>
      <c r="C55" s="9"/>
      <c r="D55" s="9"/>
      <c r="E55" s="9"/>
      <c r="F55" s="9"/>
      <c r="L55" s="3"/>
    </row>
    <row r="56" spans="1:12" ht="12.75" customHeight="1">
      <c r="A56" s="9"/>
      <c r="B56" s="9"/>
      <c r="C56" s="9"/>
      <c r="D56" s="9"/>
      <c r="E56" s="9"/>
      <c r="F56" s="9"/>
      <c r="L56" s="3"/>
    </row>
    <row r="57" spans="1:12" ht="12.75" customHeight="1">
      <c r="A57" s="9"/>
      <c r="B57" s="9"/>
      <c r="C57" s="9"/>
      <c r="D57" s="9"/>
      <c r="E57" s="9"/>
      <c r="F57" s="9"/>
      <c r="L57" s="3"/>
    </row>
    <row r="58" spans="1:12" ht="12.75" customHeight="1">
      <c r="A58" s="9"/>
      <c r="B58" s="9"/>
      <c r="C58" s="9"/>
      <c r="D58" s="9"/>
      <c r="E58" s="9"/>
      <c r="F58" s="9"/>
      <c r="L58" s="3"/>
    </row>
    <row r="59" spans="1:12" ht="12.75" customHeight="1">
      <c r="A59" s="9"/>
      <c r="B59" s="9"/>
      <c r="C59" s="9"/>
      <c r="D59" s="9"/>
      <c r="E59" s="9"/>
      <c r="F59" s="9"/>
      <c r="L59" s="3"/>
    </row>
    <row r="60" spans="1:12" ht="12.75" customHeight="1">
      <c r="A60" s="9"/>
      <c r="B60" s="9"/>
      <c r="C60" s="9"/>
      <c r="D60" s="9"/>
      <c r="E60" s="9"/>
      <c r="F60" s="9"/>
      <c r="L60" s="3"/>
    </row>
    <row r="61" spans="1:12" ht="12.75" customHeight="1">
      <c r="A61" s="9"/>
      <c r="B61" s="9"/>
      <c r="C61" s="9"/>
      <c r="D61" s="9"/>
      <c r="E61" s="9"/>
      <c r="F61" s="9"/>
      <c r="L61" s="3"/>
    </row>
    <row r="62" spans="1:12" ht="12.75" customHeight="1">
      <c r="A62" s="9"/>
      <c r="B62" s="9"/>
      <c r="C62" s="9"/>
      <c r="D62" s="9"/>
      <c r="E62" s="9"/>
      <c r="F62" s="9"/>
      <c r="L62" s="3"/>
    </row>
    <row r="63" spans="1:12" ht="12.75" customHeight="1">
      <c r="A63" s="9"/>
      <c r="B63" s="9"/>
      <c r="C63" s="9"/>
      <c r="D63" s="9"/>
      <c r="E63" s="9"/>
      <c r="F63" s="9"/>
      <c r="L63" s="3"/>
    </row>
    <row r="64" spans="1:12" ht="12.75" customHeight="1">
      <c r="A64" s="9"/>
      <c r="B64" s="9"/>
      <c r="C64" s="9"/>
      <c r="D64" s="9"/>
      <c r="E64" s="9"/>
      <c r="F64" s="9"/>
      <c r="L64" s="3"/>
    </row>
    <row r="65" spans="1:12" ht="12.75" customHeight="1">
      <c r="A65" s="9"/>
      <c r="B65" s="9"/>
      <c r="C65" s="9"/>
      <c r="D65" s="9"/>
      <c r="E65" s="9"/>
      <c r="F65" s="9"/>
      <c r="L65" s="3"/>
    </row>
    <row r="66" spans="1:12" ht="12.75" customHeight="1">
      <c r="A66" s="9"/>
      <c r="B66" s="9"/>
      <c r="C66" s="9"/>
      <c r="D66" s="9"/>
      <c r="E66" s="9"/>
      <c r="F66" s="9"/>
      <c r="L66" s="3"/>
    </row>
    <row r="67" spans="1:12" ht="12.75" customHeight="1">
      <c r="A67" s="9"/>
      <c r="B67" s="9"/>
      <c r="C67" s="9"/>
      <c r="D67" s="9"/>
      <c r="E67" s="9"/>
      <c r="F67" s="9"/>
      <c r="L67" s="3"/>
    </row>
    <row r="68" spans="1:12" ht="12.75" customHeight="1">
      <c r="A68" s="9"/>
      <c r="B68" s="9"/>
      <c r="C68" s="9"/>
      <c r="D68" s="9"/>
      <c r="E68" s="9"/>
      <c r="F68" s="9"/>
      <c r="L68" s="3"/>
    </row>
    <row r="69" spans="1:12" ht="12.75" customHeight="1">
      <c r="A69" s="9"/>
      <c r="B69" s="9"/>
      <c r="C69" s="9"/>
      <c r="D69" s="9"/>
      <c r="E69" s="9"/>
      <c r="F69" s="9"/>
      <c r="L69" s="3"/>
    </row>
    <row r="70" spans="1:12" ht="12.75" customHeight="1">
      <c r="A70" s="9"/>
      <c r="B70" s="9"/>
      <c r="C70" s="9"/>
      <c r="D70" s="9"/>
      <c r="E70" s="9"/>
      <c r="F70" s="9"/>
      <c r="L70" s="3"/>
    </row>
    <row r="71" spans="1:12" ht="12.75" customHeight="1">
      <c r="A71" s="9"/>
      <c r="B71" s="9"/>
      <c r="C71" s="9"/>
      <c r="D71" s="9"/>
      <c r="E71" s="9"/>
      <c r="F71" s="9"/>
      <c r="L71" s="3"/>
    </row>
    <row r="72" spans="1:12" ht="12.75" customHeight="1">
      <c r="A72" s="9"/>
      <c r="B72" s="9"/>
      <c r="C72" s="9"/>
      <c r="D72" s="9"/>
      <c r="E72" s="9"/>
      <c r="F72" s="9"/>
      <c r="L72" s="3"/>
    </row>
    <row r="73" spans="1:12" ht="12.75" customHeight="1">
      <c r="A73" s="9"/>
      <c r="B73" s="9"/>
      <c r="C73" s="9"/>
      <c r="D73" s="9"/>
      <c r="E73" s="9"/>
      <c r="F73" s="9"/>
      <c r="L73" s="3"/>
    </row>
    <row r="74" spans="1:12" ht="12.75" customHeight="1">
      <c r="A74" s="9"/>
      <c r="B74" s="9"/>
      <c r="C74" s="9"/>
      <c r="D74" s="9"/>
      <c r="E74" s="9"/>
      <c r="F74" s="9"/>
      <c r="L74" s="3"/>
    </row>
    <row r="75" spans="1:12" ht="12.75" customHeight="1">
      <c r="A75" s="9"/>
      <c r="B75" s="9"/>
      <c r="C75" s="9"/>
      <c r="D75" s="9"/>
      <c r="E75" s="9"/>
      <c r="F75" s="9"/>
      <c r="L75" s="3"/>
    </row>
    <row r="76" spans="1:12" ht="12.75" customHeight="1">
      <c r="A76" s="9"/>
      <c r="B76" s="9"/>
      <c r="C76" s="9"/>
      <c r="D76" s="9"/>
      <c r="E76" s="9"/>
      <c r="F76" s="9"/>
      <c r="L76" s="3"/>
    </row>
    <row r="77" spans="1:12" ht="12.75" customHeight="1">
      <c r="A77" s="9"/>
      <c r="B77" s="9"/>
      <c r="C77" s="9"/>
      <c r="D77" s="9"/>
      <c r="E77" s="9"/>
      <c r="F77" s="9"/>
      <c r="L77" s="3"/>
    </row>
    <row r="78" spans="1:12" ht="12.75" customHeight="1">
      <c r="A78" s="9"/>
      <c r="B78" s="9"/>
      <c r="C78" s="9"/>
      <c r="D78" s="9"/>
      <c r="E78" s="9"/>
      <c r="F78" s="9"/>
      <c r="L78" s="3"/>
    </row>
    <row r="79" spans="1:12" ht="12.75" customHeight="1">
      <c r="A79" s="9"/>
      <c r="B79" s="9"/>
      <c r="C79" s="9"/>
      <c r="D79" s="9"/>
      <c r="E79" s="9"/>
      <c r="F79" s="9"/>
      <c r="L79" s="3"/>
    </row>
    <row r="80" spans="1:12" ht="12.75" customHeight="1">
      <c r="A80" s="9"/>
      <c r="B80" s="9"/>
      <c r="C80" s="9"/>
      <c r="D80" s="9"/>
      <c r="E80" s="9"/>
      <c r="F80" s="9"/>
      <c r="L80" s="3"/>
    </row>
    <row r="81" spans="1:12" ht="12.75" customHeight="1">
      <c r="A81" s="9"/>
      <c r="B81" s="9"/>
      <c r="C81" s="9"/>
      <c r="D81" s="9"/>
      <c r="E81" s="9"/>
      <c r="F81" s="9"/>
      <c r="L81" s="3"/>
    </row>
    <row r="82" spans="1:12" ht="12.75" customHeight="1">
      <c r="A82" s="9"/>
      <c r="B82" s="9"/>
      <c r="C82" s="9"/>
      <c r="D82" s="9"/>
      <c r="E82" s="9"/>
      <c r="F82" s="9"/>
      <c r="L82" s="3"/>
    </row>
    <row r="83" spans="1:12" ht="12.75" customHeight="1">
      <c r="A83" s="9"/>
      <c r="B83" s="9"/>
      <c r="C83" s="9"/>
      <c r="D83" s="9"/>
      <c r="E83" s="9"/>
      <c r="F83" s="9"/>
      <c r="L83" s="3"/>
    </row>
    <row r="84" spans="1:12" ht="12.75" customHeight="1">
      <c r="A84" s="9"/>
      <c r="B84" s="9"/>
      <c r="C84" s="9"/>
      <c r="D84" s="9"/>
      <c r="E84" s="9"/>
      <c r="F84" s="9"/>
      <c r="L84" s="3"/>
    </row>
    <row r="85" spans="1:12" ht="12.75" customHeight="1">
      <c r="A85" s="9"/>
      <c r="B85" s="9"/>
      <c r="C85" s="9"/>
      <c r="D85" s="9"/>
      <c r="E85" s="9"/>
      <c r="F85" s="9"/>
      <c r="L85" s="3"/>
    </row>
    <row r="86" spans="1:12" ht="12.75" customHeight="1">
      <c r="A86" s="9"/>
      <c r="B86" s="9"/>
      <c r="C86" s="9"/>
      <c r="D86" s="9"/>
      <c r="E86" s="9"/>
      <c r="F86" s="9"/>
      <c r="L86" s="3"/>
    </row>
    <row r="87" spans="1:12" ht="12.75" customHeight="1">
      <c r="A87" s="9"/>
      <c r="B87" s="9"/>
      <c r="C87" s="9"/>
      <c r="D87" s="9"/>
      <c r="E87" s="9"/>
      <c r="F87" s="9"/>
      <c r="L87" s="3"/>
    </row>
    <row r="88" spans="1:12" ht="12.75" customHeight="1">
      <c r="A88" s="9"/>
      <c r="B88" s="9"/>
      <c r="C88" s="9"/>
      <c r="D88" s="9"/>
      <c r="E88" s="9"/>
      <c r="F88" s="9"/>
      <c r="L88" s="3"/>
    </row>
    <row r="89" spans="1:12" ht="12.75" customHeight="1">
      <c r="A89" s="9"/>
      <c r="B89" s="9"/>
      <c r="C89" s="9"/>
      <c r="D89" s="9"/>
      <c r="E89" s="9"/>
      <c r="F89" s="9"/>
      <c r="L89" s="3"/>
    </row>
    <row r="90" spans="1:12" ht="12.75" customHeight="1">
      <c r="A90" s="9"/>
      <c r="B90" s="9"/>
      <c r="C90" s="9"/>
      <c r="D90" s="9"/>
      <c r="E90" s="9"/>
      <c r="F90" s="9"/>
      <c r="L90" s="3"/>
    </row>
    <row r="91" spans="1:12" ht="12.75" customHeight="1">
      <c r="A91" s="9"/>
      <c r="B91" s="9"/>
      <c r="C91" s="9"/>
      <c r="D91" s="9"/>
      <c r="E91" s="9"/>
      <c r="F91" s="9"/>
      <c r="L91" s="3"/>
    </row>
    <row r="92" spans="1:12" ht="12.75" customHeight="1">
      <c r="A92" s="9"/>
      <c r="B92" s="9"/>
      <c r="C92" s="9"/>
      <c r="D92" s="9"/>
      <c r="E92" s="9"/>
      <c r="F92" s="9"/>
      <c r="L92" s="3"/>
    </row>
    <row r="93" spans="1:12" ht="12.75" customHeight="1">
      <c r="A93" s="9"/>
      <c r="B93" s="9"/>
      <c r="C93" s="9"/>
      <c r="D93" s="9"/>
      <c r="E93" s="9"/>
      <c r="F93" s="9"/>
      <c r="L93" s="3"/>
    </row>
    <row r="94" spans="1:12" ht="12.75" customHeight="1">
      <c r="A94" s="9"/>
      <c r="B94" s="9"/>
      <c r="C94" s="9"/>
      <c r="D94" s="9"/>
      <c r="E94" s="9"/>
      <c r="F94" s="9"/>
      <c r="L94" s="3"/>
    </row>
    <row r="95" spans="1:12" ht="12.75" customHeight="1">
      <c r="A95" s="9"/>
      <c r="B95" s="9"/>
      <c r="C95" s="9"/>
      <c r="D95" s="9"/>
      <c r="E95" s="9"/>
      <c r="F95" s="9"/>
      <c r="L95" s="3"/>
    </row>
    <row r="96" spans="1:12" ht="12.75" customHeight="1">
      <c r="A96" s="9"/>
      <c r="B96" s="9"/>
      <c r="C96" s="9"/>
      <c r="D96" s="9"/>
      <c r="E96" s="9"/>
      <c r="F96" s="9"/>
      <c r="L96" s="3"/>
    </row>
    <row r="97" spans="1:12" ht="12.75" customHeight="1">
      <c r="A97" s="9"/>
      <c r="B97" s="9"/>
      <c r="C97" s="9"/>
      <c r="D97" s="9"/>
      <c r="E97" s="9"/>
      <c r="F97" s="9"/>
      <c r="L97" s="3"/>
    </row>
    <row r="98" spans="1:12" ht="12.75" customHeight="1">
      <c r="A98" s="9"/>
      <c r="B98" s="9"/>
      <c r="C98" s="9"/>
      <c r="D98" s="9"/>
      <c r="E98" s="9"/>
      <c r="F98" s="9"/>
      <c r="L98" s="3"/>
    </row>
    <row r="99" spans="1:12" ht="12.75" customHeight="1">
      <c r="A99" s="9"/>
      <c r="B99" s="9"/>
      <c r="C99" s="9"/>
      <c r="D99" s="9"/>
      <c r="E99" s="9"/>
      <c r="F99" s="9"/>
      <c r="L99" s="3"/>
    </row>
    <row r="100" spans="1:12" ht="12.75" customHeight="1">
      <c r="A100" s="9"/>
      <c r="B100" s="9"/>
      <c r="C100" s="9"/>
      <c r="D100" s="9"/>
      <c r="E100" s="9"/>
      <c r="F100" s="9"/>
      <c r="L100" s="3"/>
    </row>
    <row r="101" spans="1:12" ht="12.75" customHeight="1">
      <c r="A101" s="9"/>
      <c r="B101" s="9"/>
      <c r="C101" s="9"/>
      <c r="D101" s="9"/>
      <c r="E101" s="9"/>
      <c r="F101" s="9"/>
      <c r="L101" s="3"/>
    </row>
    <row r="102" spans="1:12" ht="12.75" customHeight="1">
      <c r="A102" s="9"/>
      <c r="B102" s="9"/>
      <c r="C102" s="9"/>
      <c r="D102" s="9"/>
      <c r="E102" s="9"/>
      <c r="F102" s="9"/>
      <c r="L102" s="3"/>
    </row>
    <row r="103" spans="1:12" ht="12.75" customHeight="1">
      <c r="A103" s="9"/>
      <c r="B103" s="9"/>
      <c r="C103" s="9"/>
      <c r="D103" s="9"/>
      <c r="E103" s="9"/>
      <c r="F103" s="9"/>
      <c r="L103" s="3"/>
    </row>
    <row r="104" spans="1:12" ht="12.75" customHeight="1">
      <c r="A104" s="9"/>
      <c r="B104" s="9"/>
      <c r="C104" s="9"/>
      <c r="D104" s="9"/>
      <c r="E104" s="9"/>
      <c r="F104" s="9"/>
      <c r="L104" s="3"/>
    </row>
    <row r="105" spans="1:12" ht="12.75" customHeight="1">
      <c r="A105" s="9"/>
      <c r="B105" s="9"/>
      <c r="C105" s="9"/>
      <c r="D105" s="9"/>
      <c r="E105" s="9"/>
      <c r="F105" s="9"/>
      <c r="L105" s="3"/>
    </row>
    <row r="106" spans="1:12" ht="12.75" customHeight="1">
      <c r="A106" s="9"/>
      <c r="B106" s="9"/>
      <c r="C106" s="9"/>
      <c r="D106" s="9"/>
      <c r="E106" s="9"/>
      <c r="F106" s="9"/>
      <c r="L106" s="3"/>
    </row>
    <row r="107" spans="1:12" ht="12.75" customHeight="1">
      <c r="A107" s="9"/>
      <c r="B107" s="9"/>
      <c r="C107" s="9"/>
      <c r="D107" s="9"/>
      <c r="E107" s="9"/>
      <c r="F107" s="9"/>
      <c r="L107" s="3"/>
    </row>
    <row r="108" spans="1:12" ht="12.75" customHeight="1">
      <c r="A108" s="9"/>
      <c r="B108" s="9"/>
      <c r="C108" s="9"/>
      <c r="D108" s="9"/>
      <c r="E108" s="9"/>
      <c r="F108" s="9"/>
      <c r="L108" s="3"/>
    </row>
    <row r="109" spans="1:12" ht="12.75" customHeight="1">
      <c r="A109" s="9"/>
      <c r="B109" s="9"/>
      <c r="C109" s="9"/>
      <c r="D109" s="9"/>
      <c r="E109" s="9"/>
      <c r="F109" s="9"/>
      <c r="L109" s="3"/>
    </row>
    <row r="110" spans="1:12" ht="12.75" customHeight="1">
      <c r="A110" s="9"/>
      <c r="B110" s="9"/>
      <c r="C110" s="9"/>
      <c r="D110" s="9"/>
      <c r="E110" s="9"/>
      <c r="F110" s="9"/>
      <c r="L110" s="3"/>
    </row>
    <row r="111" spans="1:12" ht="12.75" customHeight="1">
      <c r="A111" s="9"/>
      <c r="B111" s="9"/>
      <c r="C111" s="9"/>
      <c r="D111" s="9"/>
      <c r="E111" s="9"/>
      <c r="F111" s="9"/>
      <c r="L111" s="3"/>
    </row>
    <row r="112" spans="1:12" ht="12.75" customHeight="1">
      <c r="A112" s="9"/>
      <c r="B112" s="9"/>
      <c r="C112" s="9"/>
      <c r="D112" s="9"/>
      <c r="E112" s="9"/>
      <c r="F112" s="9"/>
      <c r="L112" s="3"/>
    </row>
    <row r="113" spans="1:12" ht="12.75" customHeight="1">
      <c r="A113" s="9"/>
      <c r="B113" s="9"/>
      <c r="C113" s="9"/>
      <c r="D113" s="9"/>
      <c r="E113" s="9"/>
      <c r="F113" s="9"/>
      <c r="L113" s="3"/>
    </row>
    <row r="114" spans="1:12" ht="12.75" customHeight="1">
      <c r="A114" s="9"/>
      <c r="B114" s="9"/>
      <c r="C114" s="9"/>
      <c r="D114" s="9"/>
      <c r="E114" s="9"/>
      <c r="F114" s="9"/>
      <c r="L114" s="3"/>
    </row>
    <row r="115" spans="1:12" ht="12.75" customHeight="1">
      <c r="A115" s="9"/>
      <c r="B115" s="9"/>
      <c r="C115" s="9"/>
      <c r="D115" s="9"/>
      <c r="E115" s="9"/>
      <c r="F115" s="9"/>
      <c r="L115" s="3"/>
    </row>
    <row r="116" spans="1:12" ht="12.75" customHeight="1">
      <c r="A116" s="9"/>
      <c r="B116" s="9"/>
      <c r="C116" s="9"/>
      <c r="D116" s="9"/>
      <c r="E116" s="9"/>
      <c r="F116" s="9"/>
      <c r="L116" s="3"/>
    </row>
    <row r="117" spans="1:12" ht="12.75" customHeight="1">
      <c r="A117" s="9"/>
      <c r="B117" s="9"/>
      <c r="C117" s="9"/>
      <c r="D117" s="9"/>
      <c r="E117" s="9"/>
      <c r="F117" s="9"/>
      <c r="L117" s="3"/>
    </row>
    <row r="118" spans="1:12" ht="12.75" customHeight="1">
      <c r="A118" s="9"/>
      <c r="B118" s="9"/>
      <c r="C118" s="9"/>
      <c r="D118" s="9"/>
      <c r="E118" s="9"/>
      <c r="F118" s="9"/>
      <c r="L118" s="3"/>
    </row>
    <row r="119" spans="1:12" ht="12.75" customHeight="1">
      <c r="A119" s="9"/>
      <c r="B119" s="9"/>
      <c r="C119" s="9"/>
      <c r="D119" s="9"/>
      <c r="E119" s="9"/>
      <c r="F119" s="9"/>
      <c r="L119" s="3"/>
    </row>
    <row r="120" spans="1:12" ht="12.75" customHeight="1">
      <c r="A120" s="9"/>
      <c r="B120" s="9"/>
      <c r="C120" s="9"/>
      <c r="D120" s="9"/>
      <c r="E120" s="9"/>
      <c r="F120" s="9"/>
      <c r="L120" s="3"/>
    </row>
    <row r="121" spans="1:12" ht="12.75" customHeight="1">
      <c r="A121" s="9"/>
      <c r="B121" s="9"/>
      <c r="C121" s="9"/>
      <c r="D121" s="9"/>
      <c r="E121" s="9"/>
      <c r="F121" s="9"/>
      <c r="L121" s="3"/>
    </row>
    <row r="122" spans="1:12" ht="12.75" customHeight="1">
      <c r="A122" s="9"/>
      <c r="B122" s="9"/>
      <c r="C122" s="9"/>
      <c r="D122" s="9"/>
      <c r="E122" s="9"/>
      <c r="F122" s="9"/>
      <c r="L122" s="3"/>
    </row>
    <row r="123" spans="1:12" ht="12.75" customHeight="1">
      <c r="A123" s="9"/>
      <c r="B123" s="9"/>
      <c r="C123" s="9"/>
      <c r="D123" s="9"/>
      <c r="E123" s="9"/>
      <c r="F123" s="9"/>
      <c r="L123" s="3"/>
    </row>
    <row r="124" spans="1:12" ht="12.75" customHeight="1">
      <c r="A124" s="9"/>
      <c r="B124" s="9"/>
      <c r="C124" s="9"/>
      <c r="D124" s="9"/>
      <c r="E124" s="9"/>
      <c r="F124" s="9"/>
      <c r="L124" s="3"/>
    </row>
    <row r="125" spans="1:12" ht="12.75" customHeight="1">
      <c r="A125" s="9"/>
      <c r="B125" s="9"/>
      <c r="C125" s="9"/>
      <c r="D125" s="9"/>
      <c r="E125" s="9"/>
      <c r="F125" s="9"/>
      <c r="L125" s="3"/>
    </row>
    <row r="126" spans="1:12" ht="12.75" customHeight="1">
      <c r="A126" s="9"/>
      <c r="B126" s="9"/>
      <c r="C126" s="9"/>
      <c r="D126" s="9"/>
      <c r="E126" s="9"/>
      <c r="F126" s="9"/>
      <c r="L126" s="3"/>
    </row>
    <row r="127" spans="1:12" ht="12.75" customHeight="1">
      <c r="A127" s="9"/>
      <c r="B127" s="9"/>
      <c r="C127" s="9"/>
      <c r="D127" s="9"/>
      <c r="E127" s="9"/>
      <c r="F127" s="9"/>
      <c r="L127" s="3"/>
    </row>
    <row r="128" spans="1:12" ht="12.75" customHeight="1">
      <c r="A128" s="9"/>
      <c r="B128" s="9"/>
      <c r="C128" s="9"/>
      <c r="D128" s="9"/>
      <c r="E128" s="9"/>
      <c r="F128" s="9"/>
      <c r="L128" s="3"/>
    </row>
    <row r="129" spans="1:12" ht="12.75" customHeight="1">
      <c r="A129" s="9"/>
      <c r="B129" s="9"/>
      <c r="C129" s="9"/>
      <c r="D129" s="9"/>
      <c r="E129" s="9"/>
      <c r="F129" s="9"/>
      <c r="L129" s="3"/>
    </row>
    <row r="130" spans="1:12" ht="12.75" customHeight="1">
      <c r="A130" s="9"/>
      <c r="B130" s="9"/>
      <c r="C130" s="9"/>
      <c r="D130" s="9"/>
      <c r="E130" s="9"/>
      <c r="F130" s="9"/>
      <c r="L130" s="3"/>
    </row>
    <row r="131" spans="1:12" ht="12.75" customHeight="1">
      <c r="A131" s="9"/>
      <c r="B131" s="9"/>
      <c r="C131" s="9"/>
      <c r="D131" s="9"/>
      <c r="E131" s="9"/>
      <c r="F131" s="9"/>
      <c r="L131" s="3"/>
    </row>
    <row r="132" spans="1:12" ht="12.75" customHeight="1">
      <c r="A132" s="9"/>
      <c r="B132" s="9"/>
      <c r="C132" s="9"/>
      <c r="D132" s="9"/>
      <c r="E132" s="9"/>
      <c r="F132" s="9"/>
      <c r="L132" s="3"/>
    </row>
    <row r="133" spans="1:12" ht="12.75" customHeight="1">
      <c r="A133" s="9"/>
      <c r="B133" s="9"/>
      <c r="C133" s="9"/>
      <c r="D133" s="9"/>
      <c r="E133" s="9"/>
      <c r="F133" s="9"/>
      <c r="L133" s="3"/>
    </row>
    <row r="134" spans="1:12" ht="12.75" customHeight="1">
      <c r="A134" s="9"/>
      <c r="B134" s="9"/>
      <c r="C134" s="9"/>
      <c r="D134" s="9"/>
      <c r="E134" s="9"/>
      <c r="F134" s="9"/>
      <c r="L134" s="3"/>
    </row>
    <row r="135" spans="1:12" ht="12.75" customHeight="1">
      <c r="A135" s="9"/>
      <c r="B135" s="9"/>
      <c r="C135" s="9"/>
      <c r="D135" s="9"/>
      <c r="E135" s="9"/>
      <c r="F135" s="9"/>
      <c r="L135" s="3"/>
    </row>
    <row r="136" spans="1:12" ht="12.75" customHeight="1">
      <c r="A136" s="9"/>
      <c r="B136" s="9"/>
      <c r="C136" s="9"/>
      <c r="D136" s="9"/>
      <c r="E136" s="9"/>
      <c r="F136" s="9"/>
      <c r="L136" s="3"/>
    </row>
    <row r="137" spans="1:12" ht="12.75" customHeight="1">
      <c r="A137" s="9"/>
      <c r="B137" s="9"/>
      <c r="C137" s="9"/>
      <c r="D137" s="9"/>
      <c r="E137" s="9"/>
      <c r="F137" s="9"/>
      <c r="L137" s="3"/>
    </row>
    <row r="138" spans="1:12" ht="12.75" customHeight="1">
      <c r="A138" s="9"/>
      <c r="B138" s="9"/>
      <c r="C138" s="9"/>
      <c r="D138" s="9"/>
      <c r="E138" s="9"/>
      <c r="F138" s="9"/>
      <c r="L138" s="3"/>
    </row>
    <row r="139" spans="1:12" ht="12.75" customHeight="1">
      <c r="A139" s="9"/>
      <c r="B139" s="9"/>
      <c r="C139" s="9"/>
      <c r="D139" s="9"/>
      <c r="E139" s="9"/>
      <c r="F139" s="9"/>
      <c r="L139" s="3"/>
    </row>
    <row r="140" spans="1:12" ht="12.75" customHeight="1">
      <c r="A140" s="9"/>
      <c r="B140" s="9"/>
      <c r="C140" s="9"/>
      <c r="D140" s="9"/>
      <c r="E140" s="9"/>
      <c r="F140" s="9"/>
      <c r="L140" s="3"/>
    </row>
    <row r="141" spans="1:12" ht="12.75" customHeight="1">
      <c r="A141" s="9"/>
      <c r="B141" s="9"/>
      <c r="C141" s="9"/>
      <c r="D141" s="9"/>
      <c r="E141" s="9"/>
      <c r="F141" s="9"/>
      <c r="L141" s="3"/>
    </row>
    <row r="142" spans="1:12" ht="12.75" customHeight="1">
      <c r="A142" s="9"/>
      <c r="B142" s="9"/>
      <c r="C142" s="9"/>
      <c r="D142" s="9"/>
      <c r="E142" s="9"/>
      <c r="F142" s="9"/>
      <c r="L142" s="3"/>
    </row>
    <row r="143" spans="1:12" ht="12.75" customHeight="1">
      <c r="A143" s="9"/>
      <c r="B143" s="9"/>
      <c r="C143" s="9"/>
      <c r="D143" s="9"/>
      <c r="E143" s="9"/>
      <c r="F143" s="9"/>
      <c r="L143" s="3"/>
    </row>
    <row r="144" spans="1:12" ht="12.75" customHeight="1">
      <c r="A144" s="9"/>
      <c r="B144" s="9"/>
      <c r="C144" s="9"/>
      <c r="D144" s="9"/>
      <c r="E144" s="9"/>
      <c r="F144" s="9"/>
      <c r="L144" s="3"/>
    </row>
    <row r="145" spans="1:12" ht="12.75" customHeight="1">
      <c r="A145" s="9"/>
      <c r="B145" s="9"/>
      <c r="C145" s="9"/>
      <c r="D145" s="9"/>
      <c r="E145" s="9"/>
      <c r="F145" s="9"/>
      <c r="L145" s="3"/>
    </row>
    <row r="146" spans="1:12" ht="12.75" customHeight="1">
      <c r="A146" s="9"/>
      <c r="B146" s="9"/>
      <c r="C146" s="9"/>
      <c r="D146" s="9"/>
      <c r="E146" s="9"/>
      <c r="F146" s="9"/>
      <c r="L146" s="3"/>
    </row>
    <row r="147" spans="1:12" ht="12.75" customHeight="1">
      <c r="A147" s="9"/>
      <c r="B147" s="9"/>
      <c r="C147" s="9"/>
      <c r="D147" s="9"/>
      <c r="E147" s="9"/>
      <c r="F147" s="9"/>
      <c r="L147" s="3"/>
    </row>
    <row r="148" spans="1:12" ht="12.75" customHeight="1">
      <c r="A148" s="9"/>
      <c r="B148" s="9"/>
      <c r="C148" s="9"/>
      <c r="D148" s="9"/>
      <c r="E148" s="9"/>
      <c r="F148" s="9"/>
      <c r="L148" s="3"/>
    </row>
    <row r="149" spans="1:12" ht="12.75" customHeight="1">
      <c r="A149" s="9"/>
      <c r="B149" s="9"/>
      <c r="C149" s="9"/>
      <c r="D149" s="9"/>
      <c r="E149" s="9"/>
      <c r="F149" s="9"/>
      <c r="L149" s="3"/>
    </row>
    <row r="150" spans="1:12" ht="12.75" customHeight="1">
      <c r="A150" s="9"/>
      <c r="B150" s="9"/>
      <c r="C150" s="9"/>
      <c r="D150" s="9"/>
      <c r="E150" s="9"/>
      <c r="F150" s="9"/>
      <c r="L150" s="3"/>
    </row>
    <row r="151" spans="1:12" ht="12.75" customHeight="1">
      <c r="A151" s="9"/>
      <c r="B151" s="9"/>
      <c r="C151" s="9"/>
      <c r="D151" s="9"/>
      <c r="E151" s="9"/>
      <c r="F151" s="9"/>
      <c r="L151" s="3"/>
    </row>
    <row r="152" spans="1:12" ht="12.75" customHeight="1">
      <c r="A152" s="9"/>
      <c r="B152" s="9"/>
      <c r="C152" s="9"/>
      <c r="D152" s="9"/>
      <c r="E152" s="9"/>
      <c r="F152" s="9"/>
      <c r="L152" s="3"/>
    </row>
    <row r="153" spans="1:12" ht="12.75" customHeight="1">
      <c r="A153" s="9"/>
      <c r="B153" s="9"/>
      <c r="C153" s="9"/>
      <c r="D153" s="9"/>
      <c r="E153" s="9"/>
      <c r="F153" s="9"/>
      <c r="L153" s="3"/>
    </row>
    <row r="154" spans="1:12" ht="12.75" customHeight="1">
      <c r="A154" s="9"/>
      <c r="B154" s="9"/>
      <c r="C154" s="9"/>
      <c r="D154" s="9"/>
      <c r="E154" s="9"/>
      <c r="F154" s="9"/>
      <c r="L154" s="3"/>
    </row>
    <row r="155" spans="1:12" ht="12.75" customHeight="1">
      <c r="A155" s="9"/>
      <c r="B155" s="9"/>
      <c r="C155" s="9"/>
      <c r="D155" s="9"/>
      <c r="E155" s="9"/>
      <c r="F155" s="9"/>
      <c r="L155" s="3"/>
    </row>
    <row r="156" spans="1:12" ht="12.75" customHeight="1">
      <c r="A156" s="9"/>
      <c r="B156" s="9"/>
      <c r="C156" s="9"/>
      <c r="D156" s="9"/>
      <c r="E156" s="9"/>
      <c r="F156" s="9"/>
      <c r="L156" s="3"/>
    </row>
    <row r="157" spans="1:12" ht="12.75" customHeight="1">
      <c r="A157" s="9"/>
      <c r="B157" s="9"/>
      <c r="C157" s="9"/>
      <c r="D157" s="9"/>
      <c r="E157" s="9"/>
      <c r="F157" s="9"/>
      <c r="L157" s="3"/>
    </row>
    <row r="158" spans="1:12" ht="12.75" customHeight="1">
      <c r="A158" s="9"/>
      <c r="B158" s="9"/>
      <c r="C158" s="9"/>
      <c r="D158" s="9"/>
      <c r="E158" s="9"/>
      <c r="F158" s="9"/>
      <c r="L158" s="3"/>
    </row>
    <row r="159" spans="1:12" ht="12.75" customHeight="1">
      <c r="A159" s="9"/>
      <c r="B159" s="9"/>
      <c r="C159" s="9"/>
      <c r="D159" s="9"/>
      <c r="E159" s="9"/>
      <c r="F159" s="9"/>
      <c r="L159" s="3"/>
    </row>
    <row r="160" spans="1:12" ht="12.75" customHeight="1">
      <c r="A160" s="9"/>
      <c r="B160" s="9"/>
      <c r="C160" s="9"/>
      <c r="D160" s="9"/>
      <c r="E160" s="9"/>
      <c r="F160" s="9"/>
      <c r="L160" s="3"/>
    </row>
    <row r="161" spans="1:12" ht="12.75" customHeight="1">
      <c r="A161" s="9"/>
      <c r="B161" s="9"/>
      <c r="C161" s="9"/>
      <c r="D161" s="9"/>
      <c r="E161" s="9"/>
      <c r="F161" s="9"/>
      <c r="L161" s="3"/>
    </row>
    <row r="162" spans="1:12" ht="12.75" customHeight="1">
      <c r="A162" s="9"/>
      <c r="B162" s="9"/>
      <c r="C162" s="9"/>
      <c r="D162" s="9"/>
      <c r="E162" s="9"/>
      <c r="F162" s="9"/>
      <c r="L162" s="3"/>
    </row>
    <row r="163" spans="1:12" ht="12.75" customHeight="1">
      <c r="A163" s="9"/>
      <c r="B163" s="9"/>
      <c r="C163" s="9"/>
      <c r="D163" s="9"/>
      <c r="E163" s="9"/>
      <c r="F163" s="9"/>
      <c r="L163" s="3"/>
    </row>
    <row r="164" spans="1:12" ht="12.75" customHeight="1">
      <c r="A164" s="9"/>
      <c r="B164" s="9"/>
      <c r="C164" s="9"/>
      <c r="D164" s="9"/>
      <c r="E164" s="9"/>
      <c r="F164" s="9"/>
      <c r="L164" s="3"/>
    </row>
    <row r="165" spans="1:12" ht="12.75" customHeight="1">
      <c r="A165" s="9"/>
      <c r="B165" s="9"/>
      <c r="C165" s="9"/>
      <c r="D165" s="9"/>
      <c r="E165" s="9"/>
      <c r="F165" s="9"/>
      <c r="L165" s="3"/>
    </row>
    <row r="166" spans="1:12" ht="12.75" customHeight="1">
      <c r="A166" s="9"/>
      <c r="B166" s="9"/>
      <c r="C166" s="9"/>
      <c r="D166" s="9"/>
      <c r="E166" s="9"/>
      <c r="F166" s="9"/>
      <c r="L166" s="3"/>
    </row>
    <row r="167" spans="1:12" ht="12.75" customHeight="1">
      <c r="A167" s="9"/>
      <c r="B167" s="9"/>
      <c r="C167" s="9"/>
      <c r="D167" s="9"/>
      <c r="E167" s="9"/>
      <c r="F167" s="9"/>
      <c r="L167" s="3"/>
    </row>
    <row r="168" spans="1:12" ht="12.75" customHeight="1">
      <c r="A168" s="9"/>
      <c r="B168" s="9"/>
      <c r="C168" s="9"/>
      <c r="D168" s="9"/>
      <c r="E168" s="9"/>
      <c r="F168" s="9"/>
      <c r="L168" s="3"/>
    </row>
    <row r="169" spans="1:12" ht="12.75" customHeight="1">
      <c r="A169" s="9"/>
      <c r="B169" s="9"/>
      <c r="C169" s="9"/>
      <c r="D169" s="9"/>
      <c r="E169" s="9"/>
      <c r="F169" s="9"/>
      <c r="L169" s="3"/>
    </row>
    <row r="170" spans="1:12" ht="12.75" customHeight="1">
      <c r="A170" s="9"/>
      <c r="B170" s="9"/>
      <c r="C170" s="9"/>
      <c r="D170" s="9"/>
      <c r="E170" s="9"/>
      <c r="F170" s="9"/>
      <c r="L170" s="3"/>
    </row>
    <row r="171" spans="1:12" ht="12.75" customHeight="1">
      <c r="A171" s="9"/>
      <c r="B171" s="9"/>
      <c r="C171" s="9"/>
      <c r="D171" s="9"/>
      <c r="E171" s="9"/>
      <c r="F171" s="9"/>
      <c r="L171" s="3"/>
    </row>
    <row r="172" spans="1:12" ht="12.75" customHeight="1">
      <c r="A172" s="9"/>
      <c r="B172" s="9"/>
      <c r="C172" s="9"/>
      <c r="D172" s="9"/>
      <c r="E172" s="9"/>
      <c r="F172" s="9"/>
      <c r="L172" s="3"/>
    </row>
    <row r="173" spans="1:12" ht="12.75" customHeight="1">
      <c r="A173" s="9"/>
      <c r="B173" s="9"/>
      <c r="C173" s="9"/>
      <c r="D173" s="9"/>
      <c r="E173" s="9"/>
      <c r="F173" s="9"/>
      <c r="L173" s="3"/>
    </row>
    <row r="174" spans="1:12" ht="12.75" customHeight="1">
      <c r="A174" s="9"/>
      <c r="B174" s="9"/>
      <c r="C174" s="9"/>
      <c r="D174" s="9"/>
      <c r="E174" s="9"/>
      <c r="F174" s="9"/>
      <c r="L174" s="3"/>
    </row>
    <row r="175" spans="1:12" ht="12.75" customHeight="1">
      <c r="A175" s="9"/>
      <c r="B175" s="9"/>
      <c r="C175" s="9"/>
      <c r="D175" s="9"/>
      <c r="E175" s="9"/>
      <c r="F175" s="9"/>
      <c r="L175" s="3"/>
    </row>
    <row r="176" spans="1:12" ht="12.75" customHeight="1">
      <c r="A176" s="9"/>
      <c r="B176" s="9"/>
      <c r="C176" s="9"/>
      <c r="D176" s="9"/>
      <c r="E176" s="9"/>
      <c r="F176" s="9"/>
      <c r="L176" s="3"/>
    </row>
    <row r="177" spans="1:12" ht="12.75" customHeight="1">
      <c r="A177" s="9"/>
      <c r="B177" s="9"/>
      <c r="C177" s="9"/>
      <c r="D177" s="9"/>
      <c r="E177" s="9"/>
      <c r="F177" s="9"/>
      <c r="L177" s="3"/>
    </row>
    <row r="178" spans="1:12" ht="12.75" customHeight="1">
      <c r="A178" s="9"/>
      <c r="B178" s="9"/>
      <c r="C178" s="9"/>
      <c r="D178" s="9"/>
      <c r="E178" s="9"/>
      <c r="F178" s="9"/>
      <c r="L178" s="3"/>
    </row>
    <row r="179" spans="1:12" ht="12.75" customHeight="1">
      <c r="A179" s="9"/>
      <c r="B179" s="9"/>
      <c r="C179" s="9"/>
      <c r="D179" s="9"/>
      <c r="E179" s="9"/>
      <c r="F179" s="9"/>
      <c r="L179" s="3"/>
    </row>
    <row r="180" spans="1:12" ht="12.75" customHeight="1">
      <c r="A180" s="9"/>
      <c r="B180" s="9"/>
      <c r="C180" s="9"/>
      <c r="D180" s="9"/>
      <c r="E180" s="9"/>
      <c r="F180" s="9"/>
      <c r="L180" s="3"/>
    </row>
    <row r="181" spans="1:12" ht="12.75" customHeight="1">
      <c r="A181" s="9"/>
      <c r="B181" s="9"/>
      <c r="C181" s="9"/>
      <c r="D181" s="9"/>
      <c r="E181" s="9"/>
      <c r="F181" s="9"/>
      <c r="L181" s="3"/>
    </row>
    <row r="182" spans="1:12" ht="12.75" customHeight="1">
      <c r="A182" s="9"/>
      <c r="B182" s="9"/>
      <c r="C182" s="9"/>
      <c r="D182" s="9"/>
      <c r="E182" s="9"/>
      <c r="F182" s="9"/>
      <c r="L182" s="3"/>
    </row>
    <row r="183" spans="1:12" ht="12.75" customHeight="1">
      <c r="A183" s="9"/>
      <c r="B183" s="9"/>
      <c r="C183" s="9"/>
      <c r="D183" s="9"/>
      <c r="E183" s="9"/>
      <c r="F183" s="9"/>
      <c r="L183" s="3"/>
    </row>
    <row r="184" spans="1:12" ht="12.75" customHeight="1">
      <c r="A184" s="9"/>
      <c r="B184" s="9"/>
      <c r="C184" s="9"/>
      <c r="D184" s="9"/>
      <c r="E184" s="9"/>
      <c r="F184" s="9"/>
      <c r="L184" s="3"/>
    </row>
    <row r="185" spans="1:12" ht="12.75" customHeight="1">
      <c r="A185" s="9"/>
      <c r="B185" s="9"/>
      <c r="C185" s="9"/>
      <c r="D185" s="9"/>
      <c r="E185" s="9"/>
      <c r="F185" s="9"/>
      <c r="L185" s="3"/>
    </row>
    <row r="186" spans="1:12" ht="12.75" customHeight="1">
      <c r="A186" s="9"/>
      <c r="B186" s="9"/>
      <c r="C186" s="9"/>
      <c r="D186" s="9"/>
      <c r="E186" s="9"/>
      <c r="F186" s="9"/>
      <c r="L186" s="3"/>
    </row>
    <row r="187" spans="1:12" ht="12.75" customHeight="1">
      <c r="A187" s="9"/>
      <c r="B187" s="9"/>
      <c r="C187" s="9"/>
      <c r="D187" s="9"/>
      <c r="E187" s="9"/>
      <c r="F187" s="9"/>
      <c r="L187" s="3"/>
    </row>
    <row r="188" spans="1:12" ht="12.75" customHeight="1">
      <c r="A188" s="9"/>
      <c r="B188" s="9"/>
      <c r="C188" s="9"/>
      <c r="D188" s="9"/>
      <c r="E188" s="9"/>
      <c r="F188" s="9"/>
      <c r="L188" s="3"/>
    </row>
    <row r="189" spans="1:12" ht="12.75" customHeight="1">
      <c r="A189" s="9"/>
      <c r="B189" s="9"/>
      <c r="C189" s="9"/>
      <c r="D189" s="9"/>
      <c r="E189" s="9"/>
      <c r="F189" s="9"/>
      <c r="L189" s="3"/>
    </row>
    <row r="190" spans="1:12" ht="12.75" customHeight="1">
      <c r="A190" s="9"/>
      <c r="B190" s="9"/>
      <c r="C190" s="9"/>
      <c r="D190" s="9"/>
      <c r="E190" s="9"/>
      <c r="F190" s="9"/>
      <c r="L190" s="3"/>
    </row>
    <row r="191" spans="1:12" ht="12.75" customHeight="1">
      <c r="A191" s="9"/>
      <c r="B191" s="9"/>
      <c r="C191" s="9"/>
      <c r="D191" s="9"/>
      <c r="E191" s="9"/>
      <c r="F191" s="9"/>
      <c r="L191" s="3"/>
    </row>
    <row r="192" spans="1:12" ht="12.75" customHeight="1">
      <c r="A192" s="9"/>
      <c r="B192" s="9"/>
      <c r="C192" s="9"/>
      <c r="D192" s="9"/>
      <c r="E192" s="9"/>
      <c r="F192" s="9"/>
      <c r="L192" s="3"/>
    </row>
    <row r="193" spans="1:12" ht="12.75" customHeight="1">
      <c r="A193" s="9"/>
      <c r="B193" s="9"/>
      <c r="C193" s="9"/>
      <c r="D193" s="9"/>
      <c r="E193" s="9"/>
      <c r="F193" s="9"/>
      <c r="L193" s="3"/>
    </row>
    <row r="194" spans="1:12" ht="12.75" customHeight="1">
      <c r="A194" s="9"/>
      <c r="B194" s="9"/>
      <c r="C194" s="9"/>
      <c r="D194" s="9"/>
      <c r="E194" s="9"/>
      <c r="F194" s="9"/>
      <c r="L194" s="3"/>
    </row>
    <row r="195" spans="1:12" ht="12.75" customHeight="1">
      <c r="A195" s="9"/>
      <c r="B195" s="9"/>
      <c r="C195" s="9"/>
      <c r="D195" s="9"/>
      <c r="E195" s="9"/>
      <c r="F195" s="9"/>
      <c r="L195" s="3"/>
    </row>
    <row r="196" spans="1:12" ht="12.75" customHeight="1">
      <c r="A196" s="9"/>
      <c r="B196" s="9"/>
      <c r="C196" s="9"/>
      <c r="D196" s="9"/>
      <c r="E196" s="9"/>
      <c r="F196" s="9"/>
      <c r="L196" s="3"/>
    </row>
    <row r="197" spans="1:12" ht="12.75" customHeight="1">
      <c r="A197" s="9"/>
      <c r="B197" s="9"/>
      <c r="C197" s="9"/>
      <c r="D197" s="9"/>
      <c r="E197" s="9"/>
      <c r="F197" s="9"/>
      <c r="L197" s="3"/>
    </row>
    <row r="198" spans="1:12" ht="12.75" customHeight="1">
      <c r="A198" s="9"/>
      <c r="B198" s="9"/>
      <c r="C198" s="9"/>
      <c r="D198" s="9"/>
      <c r="E198" s="9"/>
      <c r="F198" s="9"/>
      <c r="L198" s="3"/>
    </row>
    <row r="199" spans="1:12" ht="12.75" customHeight="1">
      <c r="A199" s="9"/>
      <c r="B199" s="9"/>
      <c r="C199" s="9"/>
      <c r="D199" s="9"/>
      <c r="E199" s="9"/>
      <c r="F199" s="9"/>
      <c r="L199" s="3"/>
    </row>
    <row r="200" spans="1:12" ht="12.75" customHeight="1">
      <c r="A200" s="9"/>
      <c r="B200" s="9"/>
      <c r="C200" s="9"/>
      <c r="D200" s="9"/>
      <c r="E200" s="9"/>
      <c r="F200" s="9"/>
      <c r="L200" s="3"/>
    </row>
    <row r="201" spans="1:12" ht="12.75" customHeight="1">
      <c r="A201" s="9"/>
      <c r="B201" s="9"/>
      <c r="C201" s="9"/>
      <c r="D201" s="9"/>
      <c r="E201" s="9"/>
      <c r="F201" s="9"/>
      <c r="L201" s="3"/>
    </row>
    <row r="202" spans="1:12" ht="12.75" customHeight="1">
      <c r="A202" s="9"/>
      <c r="B202" s="9"/>
      <c r="C202" s="9"/>
      <c r="D202" s="9"/>
      <c r="E202" s="9"/>
      <c r="F202" s="9"/>
      <c r="L202" s="3"/>
    </row>
    <row r="203" spans="1:12" ht="12.75" customHeight="1">
      <c r="A203" s="9"/>
      <c r="B203" s="9"/>
      <c r="C203" s="9"/>
      <c r="D203" s="9"/>
      <c r="E203" s="9"/>
      <c r="F203" s="9"/>
      <c r="L203" s="3"/>
    </row>
    <row r="204" spans="1:12" ht="12.75" customHeight="1">
      <c r="A204" s="9"/>
      <c r="B204" s="9"/>
      <c r="C204" s="9"/>
      <c r="D204" s="9"/>
      <c r="E204" s="9"/>
      <c r="F204" s="9"/>
      <c r="L204" s="3"/>
    </row>
    <row r="205" spans="1:12" ht="12.75" customHeight="1">
      <c r="A205" s="9"/>
      <c r="B205" s="9"/>
      <c r="C205" s="9"/>
      <c r="D205" s="9"/>
      <c r="E205" s="9"/>
      <c r="F205" s="9"/>
      <c r="L205" s="3"/>
    </row>
    <row r="206" spans="1:12" ht="12.75" customHeight="1">
      <c r="A206" s="9"/>
      <c r="B206" s="9"/>
      <c r="C206" s="9"/>
      <c r="D206" s="9"/>
      <c r="E206" s="9"/>
      <c r="F206" s="9"/>
      <c r="L206" s="3"/>
    </row>
    <row r="207" spans="1:12" ht="12.75" customHeight="1">
      <c r="A207" s="9"/>
      <c r="B207" s="9"/>
      <c r="C207" s="9"/>
      <c r="D207" s="9"/>
      <c r="E207" s="9"/>
      <c r="F207" s="9"/>
      <c r="L207" s="3"/>
    </row>
    <row r="208" spans="1:12" ht="12.75" customHeight="1">
      <c r="A208" s="9"/>
      <c r="B208" s="9"/>
      <c r="C208" s="9"/>
      <c r="D208" s="9"/>
      <c r="E208" s="9"/>
      <c r="F208" s="9"/>
      <c r="L208" s="3"/>
    </row>
    <row r="209" spans="1:12" ht="12.75" customHeight="1">
      <c r="A209" s="9"/>
      <c r="B209" s="9"/>
      <c r="C209" s="9"/>
      <c r="D209" s="9"/>
      <c r="E209" s="9"/>
      <c r="F209" s="9"/>
      <c r="L209" s="3"/>
    </row>
    <row r="210" spans="1:12" ht="12.75" customHeight="1">
      <c r="A210" s="9"/>
      <c r="B210" s="9"/>
      <c r="C210" s="9"/>
      <c r="D210" s="9"/>
      <c r="E210" s="9"/>
      <c r="F210" s="9"/>
      <c r="L210" s="3"/>
    </row>
    <row r="211" spans="1:12" ht="12.75" customHeight="1">
      <c r="A211" s="9"/>
      <c r="B211" s="9"/>
      <c r="C211" s="9"/>
      <c r="D211" s="9"/>
      <c r="E211" s="9"/>
      <c r="F211" s="9"/>
      <c r="L211" s="3"/>
    </row>
    <row r="212" spans="1:12" ht="12.75" customHeight="1">
      <c r="A212" s="9"/>
      <c r="B212" s="9"/>
      <c r="C212" s="9"/>
      <c r="D212" s="9"/>
      <c r="E212" s="9"/>
      <c r="F212" s="9"/>
      <c r="L212" s="3"/>
    </row>
    <row r="213" spans="1:12" ht="12.75" customHeight="1">
      <c r="A213" s="9"/>
      <c r="B213" s="9"/>
      <c r="C213" s="9"/>
      <c r="D213" s="9"/>
      <c r="E213" s="9"/>
      <c r="F213" s="9"/>
      <c r="L213" s="3"/>
    </row>
    <row r="214" spans="1:12" ht="12.75" customHeight="1">
      <c r="A214" s="9"/>
      <c r="B214" s="9"/>
      <c r="C214" s="9"/>
      <c r="D214" s="9"/>
      <c r="E214" s="9"/>
      <c r="F214" s="9"/>
      <c r="L214" s="3"/>
    </row>
    <row r="215" spans="1:12" ht="12.75" customHeight="1">
      <c r="A215" s="9"/>
      <c r="B215" s="9"/>
      <c r="C215" s="9"/>
      <c r="D215" s="9"/>
      <c r="E215" s="9"/>
      <c r="F215" s="9"/>
      <c r="L215" s="3"/>
    </row>
    <row r="216" spans="1:12" ht="12.75" customHeight="1">
      <c r="A216" s="9"/>
      <c r="B216" s="9"/>
      <c r="C216" s="9"/>
      <c r="D216" s="9"/>
      <c r="E216" s="9"/>
      <c r="F216" s="9"/>
      <c r="L216" s="3"/>
    </row>
    <row r="217" spans="1:12" ht="12.75" customHeight="1">
      <c r="A217" s="9"/>
      <c r="B217" s="9"/>
      <c r="C217" s="9"/>
      <c r="D217" s="9"/>
      <c r="E217" s="9"/>
      <c r="F217" s="9"/>
      <c r="L217" s="3"/>
    </row>
    <row r="218" spans="1:12" ht="12.75" customHeight="1">
      <c r="A218" s="9"/>
      <c r="B218" s="9"/>
      <c r="C218" s="9"/>
      <c r="D218" s="9"/>
      <c r="E218" s="9"/>
      <c r="F218" s="9"/>
      <c r="L218" s="3"/>
    </row>
    <row r="219" spans="1:12" ht="12.75" customHeight="1">
      <c r="A219" s="9"/>
      <c r="B219" s="9"/>
      <c r="C219" s="9"/>
      <c r="D219" s="9"/>
      <c r="E219" s="9"/>
      <c r="F219" s="9"/>
      <c r="L219" s="3"/>
    </row>
    <row r="220" spans="1:12" ht="12.75" customHeight="1">
      <c r="A220" s="9"/>
      <c r="B220" s="9"/>
      <c r="C220" s="9"/>
      <c r="D220" s="9"/>
      <c r="E220" s="9"/>
      <c r="F220" s="9"/>
      <c r="L220" s="3"/>
    </row>
    <row r="221" spans="1:12" ht="12.75" customHeight="1">
      <c r="A221" s="9"/>
      <c r="B221" s="9"/>
      <c r="C221" s="9"/>
      <c r="D221" s="9"/>
      <c r="E221" s="9"/>
      <c r="F221" s="9"/>
      <c r="L221" s="3"/>
    </row>
    <row r="222" spans="1:12" ht="12.75" customHeight="1">
      <c r="A222" s="9"/>
      <c r="B222" s="9"/>
      <c r="C222" s="9"/>
      <c r="D222" s="9"/>
      <c r="E222" s="9"/>
      <c r="F222" s="9"/>
      <c r="L222" s="3"/>
    </row>
    <row r="223" spans="1:12" ht="12.75" customHeight="1">
      <c r="A223" s="9"/>
      <c r="B223" s="9"/>
      <c r="C223" s="9"/>
      <c r="D223" s="9"/>
      <c r="E223" s="9"/>
      <c r="F223" s="9"/>
      <c r="L223" s="3"/>
    </row>
    <row r="224" spans="1:12" ht="12.75" customHeight="1">
      <c r="A224" s="9"/>
      <c r="B224" s="9"/>
      <c r="C224" s="9"/>
      <c r="D224" s="9"/>
      <c r="E224" s="9"/>
      <c r="F224" s="9"/>
      <c r="L224" s="3"/>
    </row>
    <row r="225" spans="1:12" ht="12.75" customHeight="1">
      <c r="A225" s="9"/>
      <c r="B225" s="9"/>
      <c r="C225" s="9"/>
      <c r="D225" s="9"/>
      <c r="E225" s="9"/>
      <c r="F225" s="9"/>
      <c r="L225" s="3"/>
    </row>
    <row r="226" spans="1:12" ht="12.75" customHeight="1">
      <c r="A226" s="9"/>
      <c r="B226" s="9"/>
      <c r="C226" s="9"/>
      <c r="D226" s="9"/>
      <c r="E226" s="9"/>
      <c r="F226" s="9"/>
      <c r="L226" s="3"/>
    </row>
    <row r="227" spans="1:12" ht="12.75" customHeight="1">
      <c r="A227" s="9"/>
      <c r="B227" s="9"/>
      <c r="C227" s="9"/>
      <c r="D227" s="9"/>
      <c r="E227" s="9"/>
      <c r="F227" s="9"/>
      <c r="L227" s="3"/>
    </row>
    <row r="228" spans="1:12" ht="12.75" customHeight="1">
      <c r="A228" s="9"/>
      <c r="B228" s="9"/>
      <c r="C228" s="9"/>
      <c r="D228" s="9"/>
      <c r="E228" s="9"/>
      <c r="F228" s="9"/>
      <c r="L228" s="3"/>
    </row>
    <row r="229" spans="1:12" ht="12.75" customHeight="1"/>
    <row r="230" spans="1:12" ht="12.75" customHeight="1"/>
    <row r="231" spans="1:12" ht="12.75" customHeight="1"/>
    <row r="232" spans="1:12" ht="12.75" customHeight="1"/>
    <row r="233" spans="1:12" ht="12.75" customHeight="1"/>
    <row r="234" spans="1:12" ht="12.75" customHeight="1"/>
    <row r="235" spans="1:12" ht="12.75" customHeight="1"/>
    <row r="236" spans="1:12" ht="12.75" customHeight="1"/>
    <row r="237" spans="1:12" ht="12.75" customHeight="1"/>
    <row r="238" spans="1:12" ht="12.75" customHeight="1"/>
    <row r="239" spans="1:12" ht="12.75" customHeight="1"/>
    <row r="240" spans="1:12"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A20:F20"/>
    <mergeCell ref="A25:F25"/>
    <mergeCell ref="A1:F1"/>
    <mergeCell ref="A2:F2"/>
    <mergeCell ref="A5:F5"/>
    <mergeCell ref="A10:F10"/>
    <mergeCell ref="A15:F15"/>
  </mergeCells>
  <printOptions horizontalCentered="1"/>
  <pageMargins left="0.25" right="0.25" top="0.25" bottom="0.25" header="0" footer="0"/>
  <pageSetup paperSize="14" pageOrder="overThenDown" orientation="landscape"/>
  <rowBreaks count="4" manualBreakCount="4">
    <brk id="19" man="1"/>
    <brk id="24" man="1"/>
    <brk id="9" man="1"/>
    <brk id="14" man="1"/>
  </rowBreaks>
  <colBreaks count="1" manualBreakCount="1">
    <brk id="6"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pageSetUpPr fitToPage="1"/>
  </sheetPr>
  <dimension ref="A1:F1000"/>
  <sheetViews>
    <sheetView topLeftCell="A13" workbookViewId="0"/>
  </sheetViews>
  <sheetFormatPr defaultColWidth="12.5703125" defaultRowHeight="15" customHeight="1"/>
  <cols>
    <col min="1" max="1" width="2.7109375" customWidth="1"/>
    <col min="2" max="2" width="41.28515625" customWidth="1"/>
    <col min="3" max="3" width="15.42578125" customWidth="1"/>
    <col min="4" max="5" width="18.42578125" customWidth="1"/>
    <col min="6" max="6" width="39.28515625" customWidth="1"/>
  </cols>
  <sheetData>
    <row r="1" spans="1:6" ht="15.75" customHeight="1">
      <c r="A1" s="10"/>
      <c r="B1" s="11" t="s">
        <v>105</v>
      </c>
      <c r="C1" s="584" t="s">
        <v>106</v>
      </c>
      <c r="D1" s="585"/>
      <c r="E1" s="585"/>
      <c r="F1" s="586"/>
    </row>
    <row r="2" spans="1:6" ht="15.75" customHeight="1">
      <c r="A2" s="12"/>
      <c r="B2" s="13" t="s">
        <v>107</v>
      </c>
      <c r="C2" s="587" t="s">
        <v>8</v>
      </c>
      <c r="D2" s="588"/>
      <c r="E2" s="588"/>
      <c r="F2" s="589"/>
    </row>
    <row r="3" spans="1:6" ht="15.75" customHeight="1">
      <c r="A3" s="14"/>
      <c r="B3" s="15" t="s">
        <v>108</v>
      </c>
      <c r="C3" s="590" t="s">
        <v>109</v>
      </c>
      <c r="D3" s="588"/>
      <c r="E3" s="588"/>
      <c r="F3" s="589"/>
    </row>
    <row r="4" spans="1:6" ht="105" customHeight="1">
      <c r="A4" s="17"/>
      <c r="B4" s="13" t="s">
        <v>110</v>
      </c>
      <c r="C4" s="590" t="s">
        <v>111</v>
      </c>
      <c r="D4" s="588"/>
      <c r="E4" s="588"/>
      <c r="F4" s="589"/>
    </row>
    <row r="5" spans="1:6" ht="15.75" customHeight="1">
      <c r="A5" s="12"/>
      <c r="B5" s="13" t="s">
        <v>112</v>
      </c>
      <c r="C5" s="590" t="str">
        <f>'Reference Matrix'!$E6</f>
        <v>Summary Sheets</v>
      </c>
      <c r="D5" s="588"/>
      <c r="E5" s="588"/>
      <c r="F5" s="589"/>
    </row>
    <row r="6" spans="1:6" ht="15.75" customHeight="1">
      <c r="A6" s="12"/>
      <c r="B6" s="13" t="s">
        <v>113</v>
      </c>
      <c r="C6" s="590" t="str">
        <f>'Reference Matrix'!$F6</f>
        <v>1. PRC/MARINA licensure examination results</v>
      </c>
      <c r="D6" s="588"/>
      <c r="E6" s="588"/>
      <c r="F6" s="589"/>
    </row>
    <row r="7" spans="1:6" ht="15.75" customHeight="1">
      <c r="A7" s="18"/>
      <c r="B7" s="19" t="s">
        <v>114</v>
      </c>
      <c r="C7" s="591" t="s">
        <v>115</v>
      </c>
      <c r="D7" s="592"/>
      <c r="E7" s="592"/>
      <c r="F7" s="593"/>
    </row>
    <row r="8" spans="1:6" ht="15.75" customHeight="1">
      <c r="A8" s="20"/>
      <c r="B8" s="20"/>
      <c r="C8" s="590"/>
      <c r="D8" s="588"/>
      <c r="E8" s="588"/>
      <c r="F8" s="588"/>
    </row>
    <row r="9" spans="1:6" ht="15.75" customHeight="1">
      <c r="A9" s="601" t="s">
        <v>116</v>
      </c>
      <c r="B9" s="576"/>
      <c r="C9" s="576"/>
      <c r="D9" s="576"/>
      <c r="E9" s="576"/>
      <c r="F9" s="577"/>
    </row>
    <row r="10" spans="1:6" ht="15.75" customHeight="1">
      <c r="A10" s="602">
        <v>1</v>
      </c>
      <c r="B10" s="595"/>
      <c r="C10" s="21">
        <v>2</v>
      </c>
      <c r="D10" s="21">
        <v>3</v>
      </c>
      <c r="E10" s="22">
        <v>4</v>
      </c>
      <c r="F10" s="23">
        <v>5</v>
      </c>
    </row>
    <row r="11" spans="1:6" ht="40.5" customHeight="1">
      <c r="A11" s="603" t="s">
        <v>117</v>
      </c>
      <c r="B11" s="604"/>
      <c r="C11" s="24" t="s">
        <v>118</v>
      </c>
      <c r="D11" s="24" t="s">
        <v>119</v>
      </c>
      <c r="E11" s="24" t="s">
        <v>120</v>
      </c>
      <c r="F11" s="25" t="s">
        <v>121</v>
      </c>
    </row>
    <row r="12" spans="1:6" ht="15.75" customHeight="1">
      <c r="A12" s="605" t="s">
        <v>122</v>
      </c>
      <c r="B12" s="585"/>
      <c r="C12" s="585"/>
      <c r="D12" s="585"/>
      <c r="E12" s="595"/>
      <c r="F12" s="26"/>
    </row>
    <row r="13" spans="1:6" ht="15.75" customHeight="1">
      <c r="A13" s="27">
        <v>1</v>
      </c>
      <c r="B13" s="28" t="s">
        <v>123</v>
      </c>
      <c r="C13" s="29">
        <v>44562</v>
      </c>
      <c r="D13" s="30">
        <v>83</v>
      </c>
      <c r="E13" s="30">
        <v>72</v>
      </c>
      <c r="F13" s="606" t="s">
        <v>124</v>
      </c>
    </row>
    <row r="14" spans="1:6" ht="15.75" customHeight="1">
      <c r="A14" s="31">
        <v>2</v>
      </c>
      <c r="B14" s="32" t="s">
        <v>125</v>
      </c>
      <c r="C14" s="29">
        <v>44562</v>
      </c>
      <c r="D14" s="30">
        <v>165</v>
      </c>
      <c r="E14" s="30">
        <v>159</v>
      </c>
      <c r="F14" s="589"/>
    </row>
    <row r="15" spans="1:6" ht="15.75" customHeight="1">
      <c r="A15" s="31">
        <v>3</v>
      </c>
      <c r="B15" s="32" t="s">
        <v>126</v>
      </c>
      <c r="C15" s="29">
        <v>44562</v>
      </c>
      <c r="D15" s="30">
        <v>134</v>
      </c>
      <c r="E15" s="30">
        <v>130</v>
      </c>
      <c r="F15" s="589"/>
    </row>
    <row r="16" spans="1:6" ht="15.75" customHeight="1">
      <c r="A16" s="31">
        <v>4</v>
      </c>
      <c r="B16" s="32" t="s">
        <v>127</v>
      </c>
      <c r="C16" s="29">
        <v>44835</v>
      </c>
      <c r="D16" s="30">
        <v>223</v>
      </c>
      <c r="E16" s="30">
        <v>198</v>
      </c>
      <c r="F16" s="589"/>
    </row>
    <row r="17" spans="1:6" ht="15.75" customHeight="1">
      <c r="A17" s="33">
        <v>5</v>
      </c>
      <c r="B17" s="34" t="s">
        <v>128</v>
      </c>
      <c r="C17" s="35">
        <v>44682</v>
      </c>
      <c r="D17" s="36">
        <v>321</v>
      </c>
      <c r="E17" s="36">
        <v>321</v>
      </c>
      <c r="F17" s="580"/>
    </row>
    <row r="18" spans="1:6" ht="15.75" customHeight="1">
      <c r="A18" s="20"/>
      <c r="B18" s="20"/>
      <c r="C18" s="590"/>
      <c r="D18" s="588"/>
      <c r="E18" s="588"/>
      <c r="F18" s="588"/>
    </row>
    <row r="19" spans="1:6" ht="15.75" customHeight="1">
      <c r="A19" s="594">
        <v>1</v>
      </c>
      <c r="B19" s="595"/>
      <c r="C19" s="37">
        <v>2</v>
      </c>
      <c r="D19" s="37">
        <v>3</v>
      </c>
      <c r="E19" s="38">
        <v>4</v>
      </c>
      <c r="F19" s="39">
        <v>5</v>
      </c>
    </row>
    <row r="20" spans="1:6" ht="15.75" customHeight="1">
      <c r="A20" s="596" t="s">
        <v>117</v>
      </c>
      <c r="B20" s="597"/>
      <c r="C20" s="40" t="s">
        <v>129</v>
      </c>
      <c r="D20" s="40" t="s">
        <v>119</v>
      </c>
      <c r="E20" s="40" t="s">
        <v>120</v>
      </c>
      <c r="F20" s="41" t="s">
        <v>121</v>
      </c>
    </row>
    <row r="21" spans="1:6" ht="16.5" customHeight="1">
      <c r="A21" s="598" t="s">
        <v>130</v>
      </c>
      <c r="B21" s="585"/>
      <c r="C21" s="585"/>
      <c r="D21" s="585"/>
      <c r="E21" s="595"/>
      <c r="F21" s="42"/>
    </row>
    <row r="22" spans="1:6" ht="15.75" customHeight="1">
      <c r="A22" s="43">
        <v>1</v>
      </c>
      <c r="B22" s="44" t="s">
        <v>131</v>
      </c>
      <c r="C22" s="45" t="s">
        <v>132</v>
      </c>
      <c r="D22" s="46">
        <v>90</v>
      </c>
      <c r="E22" s="46">
        <v>86</v>
      </c>
      <c r="F22" s="47"/>
    </row>
    <row r="23" spans="1:6" ht="15.75" customHeight="1">
      <c r="A23" s="43">
        <v>2</v>
      </c>
      <c r="B23" s="44" t="s">
        <v>133</v>
      </c>
      <c r="C23" s="48" t="s">
        <v>134</v>
      </c>
      <c r="D23" s="46">
        <v>52</v>
      </c>
      <c r="E23" s="46">
        <v>37</v>
      </c>
      <c r="F23" s="47"/>
    </row>
    <row r="24" spans="1:6" ht="15.75" customHeight="1">
      <c r="A24" s="43">
        <v>3</v>
      </c>
      <c r="B24" s="44" t="s">
        <v>135</v>
      </c>
      <c r="C24" s="45" t="s">
        <v>136</v>
      </c>
      <c r="D24" s="46">
        <v>26</v>
      </c>
      <c r="E24" s="46">
        <v>20</v>
      </c>
      <c r="F24" s="47"/>
    </row>
    <row r="25" spans="1:6" ht="15.75" customHeight="1">
      <c r="A25" s="43">
        <v>4</v>
      </c>
      <c r="B25" s="44" t="s">
        <v>137</v>
      </c>
      <c r="C25" s="45" t="s">
        <v>138</v>
      </c>
      <c r="D25" s="46">
        <v>18</v>
      </c>
      <c r="E25" s="46">
        <v>5</v>
      </c>
      <c r="F25" s="47"/>
    </row>
    <row r="26" spans="1:6" ht="15.75" customHeight="1">
      <c r="A26" s="43">
        <v>5</v>
      </c>
      <c r="B26" s="44" t="s">
        <v>128</v>
      </c>
      <c r="C26" s="45" t="s">
        <v>139</v>
      </c>
      <c r="D26" s="46">
        <v>119</v>
      </c>
      <c r="E26" s="46">
        <v>57</v>
      </c>
      <c r="F26" s="47"/>
    </row>
    <row r="27" spans="1:6" ht="15.75" customHeight="1">
      <c r="A27" s="43">
        <v>6</v>
      </c>
      <c r="B27" s="44" t="s">
        <v>140</v>
      </c>
      <c r="C27" s="45" t="s">
        <v>141</v>
      </c>
      <c r="D27" s="46">
        <v>16</v>
      </c>
      <c r="E27" s="46">
        <v>15</v>
      </c>
      <c r="F27" s="47"/>
    </row>
    <row r="28" spans="1:6" ht="15.75" customHeight="1">
      <c r="A28" s="43">
        <v>7</v>
      </c>
      <c r="B28" s="44" t="s">
        <v>142</v>
      </c>
      <c r="C28" s="45" t="s">
        <v>143</v>
      </c>
      <c r="D28" s="46">
        <v>101</v>
      </c>
      <c r="E28" s="46">
        <v>86</v>
      </c>
      <c r="F28" s="47"/>
    </row>
    <row r="29" spans="1:6" ht="15.75" customHeight="1">
      <c r="A29" s="43">
        <v>8</v>
      </c>
      <c r="B29" s="44" t="s">
        <v>144</v>
      </c>
      <c r="C29" s="45" t="s">
        <v>143</v>
      </c>
      <c r="D29" s="46">
        <v>23</v>
      </c>
      <c r="E29" s="46">
        <v>23</v>
      </c>
      <c r="F29" s="47"/>
    </row>
    <row r="30" spans="1:6" ht="15.75" customHeight="1">
      <c r="A30" s="599" t="s">
        <v>145</v>
      </c>
      <c r="B30" s="582"/>
      <c r="C30" s="582"/>
      <c r="D30" s="582"/>
      <c r="E30" s="583"/>
      <c r="F30" s="47"/>
    </row>
    <row r="31" spans="1:6" ht="15.75" customHeight="1">
      <c r="A31" s="49">
        <v>1</v>
      </c>
      <c r="B31" s="50" t="s">
        <v>146</v>
      </c>
      <c r="C31" s="51" t="s">
        <v>147</v>
      </c>
      <c r="D31" s="46">
        <v>7</v>
      </c>
      <c r="E31" s="46">
        <v>4</v>
      </c>
      <c r="F31" s="47"/>
    </row>
    <row r="32" spans="1:6" ht="15.75" customHeight="1">
      <c r="A32" s="599" t="s">
        <v>148</v>
      </c>
      <c r="B32" s="582"/>
      <c r="C32" s="582"/>
      <c r="D32" s="582"/>
      <c r="E32" s="583"/>
      <c r="F32" s="47"/>
    </row>
    <row r="33" spans="1:6" ht="15.75" customHeight="1">
      <c r="A33" s="49">
        <v>1</v>
      </c>
      <c r="B33" s="52" t="s">
        <v>149</v>
      </c>
      <c r="C33" s="51" t="s">
        <v>150</v>
      </c>
      <c r="D33" s="46">
        <v>16</v>
      </c>
      <c r="E33" s="46">
        <v>11</v>
      </c>
      <c r="F33" s="53"/>
    </row>
    <row r="34" spans="1:6" ht="12.75" hidden="1" customHeight="1">
      <c r="A34" s="54"/>
      <c r="B34" s="55"/>
      <c r="C34" s="56"/>
      <c r="D34" s="57"/>
      <c r="E34" s="57"/>
      <c r="F34" s="47"/>
    </row>
    <row r="35" spans="1:6" ht="15" customHeight="1">
      <c r="A35" s="58"/>
      <c r="B35" s="59"/>
      <c r="C35" s="59" t="s">
        <v>151</v>
      </c>
      <c r="D35" s="60">
        <f t="shared" ref="D35:E35" si="0">SUM(D22:D33)</f>
        <v>468</v>
      </c>
      <c r="E35" s="60">
        <f t="shared" si="0"/>
        <v>344</v>
      </c>
      <c r="F35" s="61"/>
    </row>
    <row r="36" spans="1:6" ht="15.75" customHeight="1">
      <c r="A36" s="62"/>
      <c r="B36" s="63"/>
      <c r="C36" s="63" t="s">
        <v>152</v>
      </c>
      <c r="D36" s="600">
        <f>E35/D35</f>
        <v>0.7350427350427351</v>
      </c>
      <c r="E36" s="593"/>
      <c r="F36" s="61"/>
    </row>
    <row r="37" spans="1:6" ht="15.75" customHeight="1">
      <c r="A37" s="64"/>
      <c r="B37" s="64"/>
      <c r="C37" s="64"/>
      <c r="D37" s="64"/>
      <c r="E37" s="64"/>
      <c r="F37" s="64"/>
    </row>
    <row r="38" spans="1:6" ht="15.75" customHeight="1">
      <c r="A38" s="65" t="s">
        <v>153</v>
      </c>
      <c r="B38" s="66"/>
      <c r="C38" s="64"/>
      <c r="D38" s="64"/>
      <c r="E38" s="64"/>
      <c r="F38" s="64"/>
    </row>
    <row r="39" spans="1:6" ht="15.75" customHeight="1">
      <c r="A39" s="67"/>
      <c r="B39" s="66"/>
      <c r="C39" s="64"/>
      <c r="D39" s="64"/>
      <c r="E39" s="64"/>
      <c r="F39" s="64"/>
    </row>
    <row r="40" spans="1:6" ht="15.75" customHeight="1">
      <c r="A40" s="66"/>
      <c r="B40" s="68"/>
      <c r="C40" s="69"/>
      <c r="D40" s="70"/>
      <c r="E40" s="70"/>
      <c r="F40" s="70"/>
    </row>
    <row r="41" spans="1:6" ht="15.75" customHeight="1">
      <c r="A41" s="66"/>
      <c r="B41" s="71" t="s">
        <v>154</v>
      </c>
      <c r="C41" s="72">
        <v>45348</v>
      </c>
      <c r="D41" s="70"/>
      <c r="E41" s="70"/>
      <c r="F41" s="70"/>
    </row>
    <row r="42" spans="1:6" ht="15.75" customHeight="1">
      <c r="A42" s="73"/>
      <c r="B42" s="74" t="s">
        <v>155</v>
      </c>
      <c r="C42" s="75" t="s">
        <v>156</v>
      </c>
      <c r="D42" s="70"/>
      <c r="E42" s="70"/>
      <c r="F42" s="70"/>
    </row>
    <row r="43" spans="1:6" ht="15.75" customHeight="1">
      <c r="A43" s="64"/>
      <c r="B43" s="64"/>
      <c r="C43" s="64"/>
      <c r="D43" s="70"/>
      <c r="E43" s="70"/>
      <c r="F43" s="70"/>
    </row>
    <row r="44" spans="1:6" ht="15.75" customHeight="1">
      <c r="A44" s="64"/>
      <c r="B44" s="64"/>
      <c r="C44" s="64"/>
      <c r="D44" s="70"/>
      <c r="E44" s="70"/>
      <c r="F44" s="70"/>
    </row>
    <row r="45" spans="1:6" ht="15.75" customHeight="1">
      <c r="A45" s="64" t="s">
        <v>157</v>
      </c>
      <c r="B45" s="64"/>
      <c r="C45" s="64"/>
      <c r="D45" s="70"/>
      <c r="E45" s="70"/>
      <c r="F45" s="70"/>
    </row>
    <row r="46" spans="1:6" ht="15.75" customHeight="1">
      <c r="A46" s="76"/>
      <c r="B46" s="64"/>
      <c r="C46" s="64"/>
      <c r="D46" s="70"/>
      <c r="E46" s="70"/>
      <c r="F46" s="70"/>
    </row>
    <row r="47" spans="1:6" ht="15.75" customHeight="1">
      <c r="A47" s="76"/>
      <c r="B47" s="64"/>
      <c r="C47" s="64"/>
      <c r="D47" s="70"/>
      <c r="E47" s="70"/>
      <c r="F47" s="70"/>
    </row>
    <row r="48" spans="1:6" ht="15.75" customHeight="1">
      <c r="A48" s="66"/>
      <c r="B48" s="71" t="s">
        <v>158</v>
      </c>
      <c r="C48" s="72">
        <v>45348</v>
      </c>
      <c r="D48" s="70"/>
      <c r="E48" s="70"/>
      <c r="F48" s="70"/>
    </row>
    <row r="49" spans="1:6" ht="15.75" customHeight="1">
      <c r="A49" s="74"/>
      <c r="B49" s="77" t="s">
        <v>159</v>
      </c>
      <c r="C49" s="75" t="s">
        <v>156</v>
      </c>
      <c r="D49" s="70"/>
      <c r="E49" s="70"/>
      <c r="F49" s="70"/>
    </row>
    <row r="50" spans="1:6" ht="15.75" customHeight="1"/>
    <row r="51" spans="1:6" ht="15.75" customHeight="1"/>
    <row r="52" spans="1:6" ht="15.75" customHeight="1"/>
    <row r="53" spans="1:6" ht="15.75" customHeight="1"/>
    <row r="54" spans="1:6" ht="15.75" customHeight="1"/>
    <row r="55" spans="1:6" ht="15.75" customHeight="1"/>
    <row r="56" spans="1:6" ht="15.75" customHeight="1"/>
    <row r="57" spans="1:6" ht="15.75" customHeight="1"/>
    <row r="58" spans="1:6" ht="15.75" customHeight="1"/>
    <row r="59" spans="1:6" ht="15.75" customHeight="1"/>
    <row r="60" spans="1:6" ht="15.75" customHeight="1"/>
    <row r="61" spans="1:6" ht="15.75" customHeight="1"/>
    <row r="62" spans="1:6" ht="15.75" customHeight="1"/>
    <row r="63" spans="1:6" ht="15.75" customHeight="1"/>
    <row r="64" spans="1:6"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30:E30"/>
    <mergeCell ref="A32:E32"/>
    <mergeCell ref="D36:E36"/>
    <mergeCell ref="C8:F8"/>
    <mergeCell ref="A9:F9"/>
    <mergeCell ref="A10:B10"/>
    <mergeCell ref="A11:B11"/>
    <mergeCell ref="A12:E12"/>
    <mergeCell ref="F13:F17"/>
    <mergeCell ref="C18:F18"/>
    <mergeCell ref="C6:F6"/>
    <mergeCell ref="C7:F7"/>
    <mergeCell ref="A19:B19"/>
    <mergeCell ref="A20:B20"/>
    <mergeCell ref="A21:E21"/>
    <mergeCell ref="C1:F1"/>
    <mergeCell ref="C2:F2"/>
    <mergeCell ref="C3:F3"/>
    <mergeCell ref="C4:F4"/>
    <mergeCell ref="C5:F5"/>
  </mergeCells>
  <printOptions horizontalCentered="1"/>
  <pageMargins left="0.7" right="0.7" top="0.75" bottom="0.75" header="0" footer="0"/>
  <pageSetup fitToHeight="0" pageOrder="overThenDown"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C4587"/>
    <pageSetUpPr fitToPage="1"/>
  </sheetPr>
  <dimension ref="A1:H1000"/>
  <sheetViews>
    <sheetView topLeftCell="A43" workbookViewId="0"/>
  </sheetViews>
  <sheetFormatPr defaultColWidth="12.5703125" defaultRowHeight="15" customHeight="1"/>
  <cols>
    <col min="1" max="1" width="44.42578125" customWidth="1"/>
    <col min="2" max="2" width="3.7109375" customWidth="1"/>
    <col min="3" max="3" width="29.42578125" customWidth="1"/>
    <col min="4" max="6" width="7.28515625" customWidth="1"/>
    <col min="7" max="7" width="34.85546875" customWidth="1"/>
    <col min="8" max="8" width="18" customWidth="1"/>
  </cols>
  <sheetData>
    <row r="1" spans="1:8" ht="15.75" customHeight="1">
      <c r="A1" s="78" t="s">
        <v>105</v>
      </c>
      <c r="B1" s="584" t="s">
        <v>160</v>
      </c>
      <c r="C1" s="585"/>
      <c r="D1" s="585"/>
      <c r="E1" s="585"/>
      <c r="F1" s="585"/>
      <c r="G1" s="585"/>
      <c r="H1" s="586"/>
    </row>
    <row r="2" spans="1:8" ht="15.75" customHeight="1">
      <c r="A2" s="79" t="s">
        <v>107</v>
      </c>
      <c r="B2" s="611" t="s">
        <v>8</v>
      </c>
      <c r="C2" s="588"/>
      <c r="D2" s="588"/>
      <c r="E2" s="588"/>
      <c r="F2" s="588"/>
      <c r="G2" s="588"/>
      <c r="H2" s="589"/>
    </row>
    <row r="3" spans="1:8" ht="15.75" customHeight="1">
      <c r="A3" s="79" t="s">
        <v>108</v>
      </c>
      <c r="B3" s="612" t="s">
        <v>161</v>
      </c>
      <c r="C3" s="588"/>
      <c r="D3" s="588"/>
      <c r="E3" s="588"/>
      <c r="F3" s="588"/>
      <c r="G3" s="588"/>
      <c r="H3" s="589"/>
    </row>
    <row r="4" spans="1:8" ht="78.75" customHeight="1">
      <c r="A4" s="79" t="s">
        <v>110</v>
      </c>
      <c r="B4" s="613" t="s">
        <v>162</v>
      </c>
      <c r="C4" s="588"/>
      <c r="D4" s="588"/>
      <c r="E4" s="588"/>
      <c r="F4" s="588"/>
      <c r="G4" s="588"/>
      <c r="H4" s="589"/>
    </row>
    <row r="5" spans="1:8" ht="15.75" customHeight="1">
      <c r="A5" s="79" t="s">
        <v>112</v>
      </c>
      <c r="B5" s="612" t="str">
        <f>'Reference Matrix'!$E7</f>
        <v>Summary Sheets</v>
      </c>
      <c r="C5" s="588"/>
      <c r="D5" s="588"/>
      <c r="E5" s="588"/>
      <c r="F5" s="588"/>
      <c r="G5" s="588"/>
      <c r="H5" s="589"/>
    </row>
    <row r="6" spans="1:8" ht="39.75" customHeight="1">
      <c r="A6" s="79" t="s">
        <v>113</v>
      </c>
      <c r="B6" s="590" t="str">
        <f>'Reference Matrix'!$F7</f>
        <v>1. Graduate tracer study
2. Result of survey of employed from the graduates in the 1st semester of FY 2021-2022, certified by the Registrar
3. Total Enrolment in the 1st Semester of AY 2021-2022, certified by the Registrar</v>
      </c>
      <c r="C6" s="588"/>
      <c r="D6" s="588"/>
      <c r="E6" s="588"/>
      <c r="F6" s="588"/>
      <c r="G6" s="588"/>
      <c r="H6" s="589"/>
    </row>
    <row r="7" spans="1:8" ht="15.75" customHeight="1">
      <c r="A7" s="19" t="s">
        <v>114</v>
      </c>
      <c r="B7" s="591" t="s">
        <v>115</v>
      </c>
      <c r="C7" s="592"/>
      <c r="D7" s="592"/>
      <c r="E7" s="592"/>
      <c r="F7" s="592"/>
      <c r="G7" s="592"/>
      <c r="H7" s="593"/>
    </row>
    <row r="8" spans="1:8" ht="12.75" customHeight="1">
      <c r="A8" s="80"/>
      <c r="B8" s="64"/>
      <c r="C8" s="64"/>
      <c r="D8" s="64"/>
      <c r="E8" s="64"/>
      <c r="F8" s="64"/>
      <c r="G8" s="64"/>
      <c r="H8" s="64"/>
    </row>
    <row r="9" spans="1:8" ht="15.75" customHeight="1">
      <c r="A9" s="601" t="s">
        <v>116</v>
      </c>
      <c r="B9" s="576"/>
      <c r="C9" s="576"/>
      <c r="D9" s="576"/>
      <c r="E9" s="576"/>
      <c r="F9" s="576"/>
      <c r="G9" s="576"/>
      <c r="H9" s="577"/>
    </row>
    <row r="10" spans="1:8" ht="15.75" customHeight="1">
      <c r="A10" s="623">
        <v>1</v>
      </c>
      <c r="B10" s="583"/>
      <c r="C10" s="82">
        <v>2</v>
      </c>
      <c r="D10" s="624">
        <v>3</v>
      </c>
      <c r="E10" s="582"/>
      <c r="F10" s="583"/>
      <c r="G10" s="82">
        <v>4</v>
      </c>
      <c r="H10" s="83">
        <v>5</v>
      </c>
    </row>
    <row r="11" spans="1:8" ht="15.75" customHeight="1">
      <c r="A11" s="625" t="s">
        <v>163</v>
      </c>
      <c r="B11" s="597"/>
      <c r="C11" s="84" t="s">
        <v>164</v>
      </c>
      <c r="D11" s="626" t="s">
        <v>165</v>
      </c>
      <c r="E11" s="622"/>
      <c r="F11" s="597"/>
      <c r="G11" s="84" t="s">
        <v>166</v>
      </c>
      <c r="H11" s="25" t="s">
        <v>121</v>
      </c>
    </row>
    <row r="12" spans="1:8" ht="15.75" customHeight="1">
      <c r="A12" s="627" t="s">
        <v>122</v>
      </c>
      <c r="B12" s="628"/>
      <c r="C12" s="628"/>
      <c r="D12" s="628"/>
      <c r="E12" s="628"/>
      <c r="F12" s="628"/>
      <c r="G12" s="629"/>
      <c r="H12" s="630" t="s">
        <v>167</v>
      </c>
    </row>
    <row r="13" spans="1:8" ht="15.75" customHeight="1">
      <c r="A13" s="85" t="s">
        <v>125</v>
      </c>
      <c r="B13" s="86">
        <v>1</v>
      </c>
      <c r="C13" s="87" t="s">
        <v>168</v>
      </c>
      <c r="D13" s="608" t="s">
        <v>169</v>
      </c>
      <c r="E13" s="582"/>
      <c r="F13" s="583"/>
      <c r="G13" s="88" t="s">
        <v>170</v>
      </c>
      <c r="H13" s="610"/>
    </row>
    <row r="14" spans="1:8" ht="15.75" customHeight="1">
      <c r="A14" s="85" t="s">
        <v>126</v>
      </c>
      <c r="B14" s="86">
        <v>2</v>
      </c>
      <c r="C14" s="87" t="s">
        <v>168</v>
      </c>
      <c r="D14" s="608" t="s">
        <v>171</v>
      </c>
      <c r="E14" s="582"/>
      <c r="F14" s="583"/>
      <c r="G14" s="88"/>
      <c r="H14" s="610"/>
    </row>
    <row r="15" spans="1:8" ht="15.75" customHeight="1">
      <c r="A15" s="85" t="s">
        <v>126</v>
      </c>
      <c r="B15" s="86">
        <v>3</v>
      </c>
      <c r="C15" s="87" t="s">
        <v>168</v>
      </c>
      <c r="D15" s="608" t="s">
        <v>172</v>
      </c>
      <c r="E15" s="582"/>
      <c r="F15" s="583"/>
      <c r="G15" s="88"/>
      <c r="H15" s="610"/>
    </row>
    <row r="16" spans="1:8" ht="15.75" customHeight="1">
      <c r="A16" s="85" t="s">
        <v>127</v>
      </c>
      <c r="B16" s="86">
        <v>4</v>
      </c>
      <c r="C16" s="87" t="s">
        <v>168</v>
      </c>
      <c r="D16" s="608" t="s">
        <v>169</v>
      </c>
      <c r="E16" s="582"/>
      <c r="F16" s="583"/>
      <c r="G16" s="88" t="s">
        <v>173</v>
      </c>
      <c r="H16" s="610"/>
    </row>
    <row r="17" spans="1:8" ht="15.75" customHeight="1">
      <c r="A17" s="85" t="s">
        <v>127</v>
      </c>
      <c r="B17" s="86">
        <v>5</v>
      </c>
      <c r="C17" s="87" t="s">
        <v>168</v>
      </c>
      <c r="D17" s="608" t="s">
        <v>169</v>
      </c>
      <c r="E17" s="582"/>
      <c r="F17" s="583"/>
      <c r="G17" s="88" t="s">
        <v>174</v>
      </c>
      <c r="H17" s="610"/>
    </row>
    <row r="18" spans="1:8" ht="13.5" customHeight="1">
      <c r="A18" s="614" t="s">
        <v>175</v>
      </c>
      <c r="B18" s="604"/>
      <c r="C18" s="617">
        <f>COUNTIFS($A13:$A17,"*",$C13:$C17,"*",$D13:$D17,"*")</f>
        <v>5</v>
      </c>
      <c r="D18" s="89" t="s">
        <v>176</v>
      </c>
      <c r="E18" s="89" t="s">
        <v>177</v>
      </c>
      <c r="F18" s="90" t="s">
        <v>178</v>
      </c>
      <c r="G18" s="91"/>
      <c r="H18" s="610"/>
    </row>
    <row r="19" spans="1:8" ht="15.75" customHeight="1">
      <c r="A19" s="615"/>
      <c r="B19" s="616"/>
      <c r="C19" s="618"/>
      <c r="D19" s="92">
        <f>COUNTIFS($A13:$A17,"*",$C13:$C17,"*",$D13:$D17, "Employed")</f>
        <v>3</v>
      </c>
      <c r="E19" s="92">
        <f>COUNTIFS($A13:$A17,"*",$C13:$C17,"*",$D13:$D17, "Unemployed")</f>
        <v>1</v>
      </c>
      <c r="F19" s="92">
        <f>COUNTIFS($A13:$A17,"*",$C13:$C17,"*",$D13:$D17, "Not Tracked")</f>
        <v>1</v>
      </c>
      <c r="G19" s="93"/>
      <c r="H19" s="631"/>
    </row>
    <row r="20" spans="1:8" ht="13.5" customHeight="1">
      <c r="A20" s="77"/>
      <c r="B20" s="64"/>
      <c r="C20" s="77"/>
      <c r="D20" s="77"/>
      <c r="E20" s="77"/>
      <c r="F20" s="77"/>
      <c r="G20" s="77"/>
      <c r="H20" s="77"/>
    </row>
    <row r="21" spans="1:8" ht="15.75" customHeight="1">
      <c r="A21" s="619">
        <v>1</v>
      </c>
      <c r="B21" s="595"/>
      <c r="C21" s="94">
        <v>2</v>
      </c>
      <c r="D21" s="620">
        <v>3</v>
      </c>
      <c r="E21" s="585"/>
      <c r="F21" s="595"/>
      <c r="G21" s="95">
        <v>4</v>
      </c>
      <c r="H21" s="96">
        <v>5</v>
      </c>
    </row>
    <row r="22" spans="1:8" ht="15.75" customHeight="1">
      <c r="A22" s="596" t="s">
        <v>163</v>
      </c>
      <c r="B22" s="597"/>
      <c r="C22" s="97" t="s">
        <v>164</v>
      </c>
      <c r="D22" s="621" t="s">
        <v>179</v>
      </c>
      <c r="E22" s="622"/>
      <c r="F22" s="597"/>
      <c r="G22" s="97" t="s">
        <v>166</v>
      </c>
      <c r="H22" s="41" t="s">
        <v>121</v>
      </c>
    </row>
    <row r="23" spans="1:8" ht="15.75" customHeight="1">
      <c r="A23" s="598" t="s">
        <v>130</v>
      </c>
      <c r="B23" s="585"/>
      <c r="C23" s="585"/>
      <c r="D23" s="585"/>
      <c r="E23" s="585"/>
      <c r="F23" s="585"/>
      <c r="G23" s="595"/>
      <c r="H23" s="609"/>
    </row>
    <row r="24" spans="1:8" ht="15.75" customHeight="1">
      <c r="A24" s="98" t="s">
        <v>128</v>
      </c>
      <c r="B24" s="99">
        <v>1</v>
      </c>
      <c r="C24" s="100" t="s">
        <v>180</v>
      </c>
      <c r="D24" s="607" t="s">
        <v>169</v>
      </c>
      <c r="E24" s="582"/>
      <c r="F24" s="583"/>
      <c r="G24" s="101" t="s">
        <v>181</v>
      </c>
      <c r="H24" s="610"/>
    </row>
    <row r="25" spans="1:8" ht="15.75" customHeight="1">
      <c r="A25" s="98" t="s">
        <v>128</v>
      </c>
      <c r="B25" s="99">
        <v>2</v>
      </c>
      <c r="C25" s="100" t="s">
        <v>182</v>
      </c>
      <c r="D25" s="607" t="s">
        <v>172</v>
      </c>
      <c r="E25" s="582"/>
      <c r="F25" s="583"/>
      <c r="G25" s="101"/>
      <c r="H25" s="610"/>
    </row>
    <row r="26" spans="1:8" ht="15.75" customHeight="1">
      <c r="A26" s="98" t="s">
        <v>128</v>
      </c>
      <c r="B26" s="99">
        <v>3</v>
      </c>
      <c r="C26" s="100" t="s">
        <v>183</v>
      </c>
      <c r="D26" s="607" t="s">
        <v>169</v>
      </c>
      <c r="E26" s="582"/>
      <c r="F26" s="583"/>
      <c r="G26" s="102" t="s">
        <v>184</v>
      </c>
      <c r="H26" s="610"/>
    </row>
    <row r="27" spans="1:8" ht="15.75" customHeight="1">
      <c r="A27" s="98" t="s">
        <v>128</v>
      </c>
      <c r="B27" s="99">
        <v>4</v>
      </c>
      <c r="C27" s="100" t="s">
        <v>185</v>
      </c>
      <c r="D27" s="607" t="s">
        <v>169</v>
      </c>
      <c r="E27" s="582"/>
      <c r="F27" s="583"/>
      <c r="G27" s="102" t="s">
        <v>186</v>
      </c>
      <c r="H27" s="610"/>
    </row>
    <row r="28" spans="1:8" ht="15.75" customHeight="1">
      <c r="A28" s="98" t="s">
        <v>128</v>
      </c>
      <c r="B28" s="99">
        <v>5</v>
      </c>
      <c r="C28" s="100" t="s">
        <v>187</v>
      </c>
      <c r="D28" s="607" t="s">
        <v>172</v>
      </c>
      <c r="E28" s="582"/>
      <c r="F28" s="583"/>
      <c r="G28" s="101"/>
      <c r="H28" s="610"/>
    </row>
    <row r="29" spans="1:8" ht="15.75" customHeight="1">
      <c r="A29" s="98" t="s">
        <v>128</v>
      </c>
      <c r="B29" s="99">
        <v>6</v>
      </c>
      <c r="C29" s="100" t="s">
        <v>188</v>
      </c>
      <c r="D29" s="607" t="s">
        <v>172</v>
      </c>
      <c r="E29" s="582"/>
      <c r="F29" s="583"/>
      <c r="G29" s="101"/>
      <c r="H29" s="610"/>
    </row>
    <row r="30" spans="1:8" ht="15.75" customHeight="1">
      <c r="A30" s="98" t="s">
        <v>128</v>
      </c>
      <c r="B30" s="99">
        <v>7</v>
      </c>
      <c r="C30" s="100" t="s">
        <v>189</v>
      </c>
      <c r="D30" s="607" t="s">
        <v>171</v>
      </c>
      <c r="E30" s="582"/>
      <c r="F30" s="583"/>
      <c r="G30" s="101"/>
      <c r="H30" s="610"/>
    </row>
    <row r="31" spans="1:8" ht="15.75" customHeight="1">
      <c r="A31" s="98" t="s">
        <v>128</v>
      </c>
      <c r="B31" s="99">
        <v>8</v>
      </c>
      <c r="C31" s="103" t="s">
        <v>190</v>
      </c>
      <c r="D31" s="607" t="s">
        <v>172</v>
      </c>
      <c r="E31" s="582"/>
      <c r="F31" s="583"/>
      <c r="G31" s="101"/>
      <c r="H31" s="610"/>
    </row>
    <row r="32" spans="1:8" ht="15.75" customHeight="1">
      <c r="A32" s="98" t="s">
        <v>191</v>
      </c>
      <c r="B32" s="99">
        <v>1</v>
      </c>
      <c r="C32" s="104" t="s">
        <v>192</v>
      </c>
      <c r="D32" s="607" t="s">
        <v>171</v>
      </c>
      <c r="E32" s="582"/>
      <c r="F32" s="583"/>
      <c r="G32" s="105"/>
      <c r="H32" s="610"/>
    </row>
    <row r="33" spans="1:8" ht="15.75" customHeight="1">
      <c r="A33" s="98" t="s">
        <v>193</v>
      </c>
      <c r="B33" s="99">
        <v>1</v>
      </c>
      <c r="C33" s="106" t="s">
        <v>194</v>
      </c>
      <c r="D33" s="607" t="s">
        <v>169</v>
      </c>
      <c r="E33" s="582"/>
      <c r="F33" s="583"/>
      <c r="G33" s="107" t="s">
        <v>195</v>
      </c>
      <c r="H33" s="610"/>
    </row>
    <row r="34" spans="1:8" ht="15.75" customHeight="1">
      <c r="A34" s="98" t="s">
        <v>140</v>
      </c>
      <c r="B34" s="99">
        <v>1</v>
      </c>
      <c r="C34" s="106" t="s">
        <v>196</v>
      </c>
      <c r="D34" s="607" t="s">
        <v>172</v>
      </c>
      <c r="E34" s="582"/>
      <c r="F34" s="583"/>
      <c r="G34" s="105"/>
      <c r="H34" s="610"/>
    </row>
    <row r="35" spans="1:8" ht="15.75" customHeight="1">
      <c r="A35" s="98" t="s">
        <v>140</v>
      </c>
      <c r="B35" s="99">
        <v>2</v>
      </c>
      <c r="C35" s="106" t="s">
        <v>197</v>
      </c>
      <c r="D35" s="607" t="s">
        <v>172</v>
      </c>
      <c r="E35" s="582"/>
      <c r="F35" s="583"/>
      <c r="G35" s="105"/>
      <c r="H35" s="610"/>
    </row>
    <row r="36" spans="1:8" ht="15.75" customHeight="1">
      <c r="A36" s="98" t="s">
        <v>198</v>
      </c>
      <c r="B36" s="99">
        <v>1</v>
      </c>
      <c r="C36" s="105" t="s">
        <v>199</v>
      </c>
      <c r="D36" s="607" t="s">
        <v>169</v>
      </c>
      <c r="E36" s="582"/>
      <c r="F36" s="583"/>
      <c r="G36" s="108" t="s">
        <v>200</v>
      </c>
      <c r="H36" s="610"/>
    </row>
    <row r="37" spans="1:8" ht="15.75" customHeight="1">
      <c r="A37" s="98" t="s">
        <v>198</v>
      </c>
      <c r="B37" s="99">
        <v>2</v>
      </c>
      <c r="C37" s="106" t="s">
        <v>201</v>
      </c>
      <c r="D37" s="607" t="s">
        <v>172</v>
      </c>
      <c r="E37" s="582"/>
      <c r="F37" s="583"/>
      <c r="G37" s="105"/>
      <c r="H37" s="610"/>
    </row>
    <row r="38" spans="1:8" ht="15.75" customHeight="1">
      <c r="A38" s="98" t="s">
        <v>202</v>
      </c>
      <c r="B38" s="99">
        <v>1</v>
      </c>
      <c r="C38" s="104" t="s">
        <v>203</v>
      </c>
      <c r="D38" s="607" t="s">
        <v>169</v>
      </c>
      <c r="E38" s="582"/>
      <c r="F38" s="583"/>
      <c r="G38" s="108" t="s">
        <v>204</v>
      </c>
      <c r="H38" s="610"/>
    </row>
    <row r="39" spans="1:8" ht="15.75" customHeight="1">
      <c r="A39" s="98" t="s">
        <v>202</v>
      </c>
      <c r="B39" s="99">
        <v>2</v>
      </c>
      <c r="C39" s="106" t="s">
        <v>205</v>
      </c>
      <c r="D39" s="607" t="s">
        <v>172</v>
      </c>
      <c r="E39" s="582"/>
      <c r="F39" s="583"/>
      <c r="G39" s="105"/>
      <c r="H39" s="610"/>
    </row>
    <row r="40" spans="1:8" ht="15.75" customHeight="1">
      <c r="A40" s="98" t="s">
        <v>206</v>
      </c>
      <c r="B40" s="99">
        <v>1</v>
      </c>
      <c r="C40" s="104" t="s">
        <v>207</v>
      </c>
      <c r="D40" s="607" t="s">
        <v>169</v>
      </c>
      <c r="E40" s="582"/>
      <c r="F40" s="583"/>
      <c r="G40" s="108" t="s">
        <v>208</v>
      </c>
      <c r="H40" s="610"/>
    </row>
    <row r="41" spans="1:8" ht="15.75" customHeight="1">
      <c r="A41" s="98" t="s">
        <v>206</v>
      </c>
      <c r="B41" s="99">
        <v>2</v>
      </c>
      <c r="C41" s="104" t="s">
        <v>209</v>
      </c>
      <c r="D41" s="607" t="s">
        <v>169</v>
      </c>
      <c r="E41" s="582"/>
      <c r="F41" s="583"/>
      <c r="G41" s="108" t="s">
        <v>210</v>
      </c>
      <c r="H41" s="610"/>
    </row>
    <row r="42" spans="1:8" ht="15.75" customHeight="1">
      <c r="A42" s="98" t="s">
        <v>206</v>
      </c>
      <c r="B42" s="99">
        <v>3</v>
      </c>
      <c r="C42" s="104" t="s">
        <v>211</v>
      </c>
      <c r="D42" s="607" t="s">
        <v>169</v>
      </c>
      <c r="E42" s="582"/>
      <c r="F42" s="583"/>
      <c r="G42" s="108" t="s">
        <v>212</v>
      </c>
      <c r="H42" s="610"/>
    </row>
    <row r="43" spans="1:8" ht="15.75" customHeight="1">
      <c r="A43" s="98" t="s">
        <v>206</v>
      </c>
      <c r="B43" s="99">
        <v>4</v>
      </c>
      <c r="C43" s="104" t="s">
        <v>213</v>
      </c>
      <c r="D43" s="607" t="s">
        <v>171</v>
      </c>
      <c r="E43" s="582"/>
      <c r="F43" s="583"/>
      <c r="G43" s="105"/>
      <c r="H43" s="610"/>
    </row>
    <row r="44" spans="1:8" ht="15.75" customHeight="1">
      <c r="A44" s="98" t="s">
        <v>206</v>
      </c>
      <c r="B44" s="99">
        <v>5</v>
      </c>
      <c r="C44" s="104" t="s">
        <v>214</v>
      </c>
      <c r="D44" s="607" t="s">
        <v>171</v>
      </c>
      <c r="E44" s="582"/>
      <c r="F44" s="583"/>
      <c r="G44" s="109"/>
      <c r="H44" s="610"/>
    </row>
    <row r="45" spans="1:8" ht="15.75" customHeight="1">
      <c r="A45" s="98" t="s">
        <v>206</v>
      </c>
      <c r="B45" s="99">
        <v>6</v>
      </c>
      <c r="C45" s="104" t="s">
        <v>215</v>
      </c>
      <c r="D45" s="607" t="s">
        <v>169</v>
      </c>
      <c r="E45" s="582"/>
      <c r="F45" s="583"/>
      <c r="G45" s="108" t="s">
        <v>216</v>
      </c>
      <c r="H45" s="610"/>
    </row>
    <row r="46" spans="1:8" ht="15.75" customHeight="1">
      <c r="A46" s="98" t="s">
        <v>217</v>
      </c>
      <c r="B46" s="99">
        <v>1</v>
      </c>
      <c r="C46" s="104" t="s">
        <v>218</v>
      </c>
      <c r="D46" s="607" t="s">
        <v>169</v>
      </c>
      <c r="E46" s="582"/>
      <c r="F46" s="583"/>
      <c r="G46" s="108" t="s">
        <v>219</v>
      </c>
      <c r="H46" s="610"/>
    </row>
    <row r="47" spans="1:8" ht="15.75" customHeight="1">
      <c r="A47" s="98" t="s">
        <v>217</v>
      </c>
      <c r="B47" s="99">
        <v>2</v>
      </c>
      <c r="C47" s="104" t="s">
        <v>220</v>
      </c>
      <c r="D47" s="607" t="s">
        <v>169</v>
      </c>
      <c r="E47" s="582"/>
      <c r="F47" s="583"/>
      <c r="G47" s="108" t="s">
        <v>221</v>
      </c>
      <c r="H47" s="610"/>
    </row>
    <row r="48" spans="1:8" ht="15.75" customHeight="1">
      <c r="A48" s="98" t="s">
        <v>217</v>
      </c>
      <c r="B48" s="99">
        <v>3</v>
      </c>
      <c r="C48" s="106" t="s">
        <v>222</v>
      </c>
      <c r="D48" s="632" t="s">
        <v>172</v>
      </c>
      <c r="E48" s="582"/>
      <c r="F48" s="583"/>
      <c r="G48" s="110"/>
      <c r="H48" s="610"/>
    </row>
    <row r="49" spans="1:8" ht="15.75" customHeight="1">
      <c r="A49" s="98" t="s">
        <v>217</v>
      </c>
      <c r="B49" s="99">
        <v>4</v>
      </c>
      <c r="C49" s="104" t="s">
        <v>223</v>
      </c>
      <c r="D49" s="607" t="s">
        <v>169</v>
      </c>
      <c r="E49" s="582"/>
      <c r="F49" s="583"/>
      <c r="G49" s="108" t="s">
        <v>224</v>
      </c>
      <c r="H49" s="610"/>
    </row>
    <row r="50" spans="1:8" ht="15.75" customHeight="1">
      <c r="A50" s="98" t="s">
        <v>217</v>
      </c>
      <c r="B50" s="99">
        <v>5</v>
      </c>
      <c r="C50" s="106" t="s">
        <v>225</v>
      </c>
      <c r="D50" s="607" t="s">
        <v>171</v>
      </c>
      <c r="E50" s="582"/>
      <c r="F50" s="583"/>
      <c r="G50" s="109"/>
      <c r="H50" s="610"/>
    </row>
    <row r="51" spans="1:8" ht="15.75" customHeight="1">
      <c r="A51" s="98" t="s">
        <v>217</v>
      </c>
      <c r="B51" s="99">
        <v>6</v>
      </c>
      <c r="C51" s="106" t="s">
        <v>226</v>
      </c>
      <c r="D51" s="607" t="s">
        <v>169</v>
      </c>
      <c r="E51" s="582"/>
      <c r="F51" s="583"/>
      <c r="G51" s="107" t="s">
        <v>227</v>
      </c>
      <c r="H51" s="610"/>
    </row>
    <row r="52" spans="1:8" ht="15.75" customHeight="1">
      <c r="A52" s="98" t="s">
        <v>217</v>
      </c>
      <c r="B52" s="99">
        <v>7</v>
      </c>
      <c r="C52" s="104" t="s">
        <v>228</v>
      </c>
      <c r="D52" s="607" t="s">
        <v>169</v>
      </c>
      <c r="E52" s="582"/>
      <c r="F52" s="583"/>
      <c r="G52" s="108" t="s">
        <v>229</v>
      </c>
      <c r="H52" s="610"/>
    </row>
    <row r="53" spans="1:8" ht="15.75" customHeight="1">
      <c r="A53" s="98" t="s">
        <v>230</v>
      </c>
      <c r="B53" s="99">
        <v>1</v>
      </c>
      <c r="C53" s="106" t="s">
        <v>231</v>
      </c>
      <c r="D53" s="607" t="s">
        <v>171</v>
      </c>
      <c r="E53" s="582"/>
      <c r="F53" s="583"/>
      <c r="G53" s="105"/>
      <c r="H53" s="610"/>
    </row>
    <row r="54" spans="1:8" ht="15.75" customHeight="1">
      <c r="A54" s="98" t="s">
        <v>230</v>
      </c>
      <c r="B54" s="99">
        <v>2</v>
      </c>
      <c r="C54" s="104" t="s">
        <v>232</v>
      </c>
      <c r="D54" s="607" t="s">
        <v>169</v>
      </c>
      <c r="E54" s="582"/>
      <c r="F54" s="583"/>
      <c r="G54" s="108" t="s">
        <v>233</v>
      </c>
      <c r="H54" s="610"/>
    </row>
    <row r="55" spans="1:8" ht="15.75" customHeight="1">
      <c r="A55" s="98" t="s">
        <v>230</v>
      </c>
      <c r="B55" s="99">
        <v>3</v>
      </c>
      <c r="C55" s="105" t="s">
        <v>234</v>
      </c>
      <c r="D55" s="607" t="s">
        <v>169</v>
      </c>
      <c r="E55" s="582"/>
      <c r="F55" s="583"/>
      <c r="G55" s="108" t="s">
        <v>235</v>
      </c>
      <c r="H55" s="610"/>
    </row>
    <row r="56" spans="1:8" ht="15.75" customHeight="1">
      <c r="A56" s="98" t="s">
        <v>230</v>
      </c>
      <c r="B56" s="99">
        <v>4</v>
      </c>
      <c r="C56" s="106" t="s">
        <v>236</v>
      </c>
      <c r="D56" s="607" t="s">
        <v>172</v>
      </c>
      <c r="E56" s="582"/>
      <c r="F56" s="583"/>
      <c r="G56" s="105"/>
      <c r="H56" s="610"/>
    </row>
    <row r="57" spans="1:8" ht="15.75" customHeight="1">
      <c r="A57" s="98" t="s">
        <v>230</v>
      </c>
      <c r="B57" s="99">
        <v>5</v>
      </c>
      <c r="C57" s="104" t="s">
        <v>237</v>
      </c>
      <c r="D57" s="607" t="s">
        <v>169</v>
      </c>
      <c r="E57" s="582"/>
      <c r="F57" s="583"/>
      <c r="G57" s="108" t="s">
        <v>238</v>
      </c>
      <c r="H57" s="610"/>
    </row>
    <row r="58" spans="1:8" ht="15.75" customHeight="1">
      <c r="A58" s="98" t="s">
        <v>230</v>
      </c>
      <c r="B58" s="99">
        <v>6</v>
      </c>
      <c r="C58" s="104" t="s">
        <v>239</v>
      </c>
      <c r="D58" s="607" t="s">
        <v>169</v>
      </c>
      <c r="E58" s="582"/>
      <c r="F58" s="583"/>
      <c r="G58" s="108" t="s">
        <v>240</v>
      </c>
      <c r="H58" s="610"/>
    </row>
    <row r="59" spans="1:8" ht="15.75" customHeight="1">
      <c r="A59" s="98" t="s">
        <v>230</v>
      </c>
      <c r="B59" s="99">
        <v>7</v>
      </c>
      <c r="C59" s="106" t="s">
        <v>241</v>
      </c>
      <c r="D59" s="607" t="s">
        <v>172</v>
      </c>
      <c r="E59" s="582"/>
      <c r="F59" s="583"/>
      <c r="G59" s="105"/>
      <c r="H59" s="610"/>
    </row>
    <row r="60" spans="1:8" ht="15.75" customHeight="1">
      <c r="A60" s="98" t="s">
        <v>230</v>
      </c>
      <c r="B60" s="99">
        <v>8</v>
      </c>
      <c r="C60" s="106" t="s">
        <v>242</v>
      </c>
      <c r="D60" s="607" t="s">
        <v>169</v>
      </c>
      <c r="E60" s="582"/>
      <c r="F60" s="583"/>
      <c r="G60" s="107" t="s">
        <v>243</v>
      </c>
      <c r="H60" s="610"/>
    </row>
    <row r="61" spans="1:8" ht="15.75" customHeight="1">
      <c r="A61" s="98" t="s">
        <v>230</v>
      </c>
      <c r="B61" s="99">
        <v>9</v>
      </c>
      <c r="C61" s="104" t="s">
        <v>244</v>
      </c>
      <c r="D61" s="607" t="s">
        <v>171</v>
      </c>
      <c r="E61" s="582"/>
      <c r="F61" s="583"/>
      <c r="G61" s="105"/>
      <c r="H61" s="610"/>
    </row>
    <row r="62" spans="1:8" ht="15.75" customHeight="1">
      <c r="A62" s="98" t="s">
        <v>230</v>
      </c>
      <c r="B62" s="99">
        <v>10</v>
      </c>
      <c r="C62" s="106" t="s">
        <v>245</v>
      </c>
      <c r="D62" s="607" t="s">
        <v>172</v>
      </c>
      <c r="E62" s="582"/>
      <c r="F62" s="583"/>
      <c r="G62" s="105"/>
      <c r="H62" s="610"/>
    </row>
    <row r="63" spans="1:8" ht="15.75" customHeight="1">
      <c r="A63" s="98" t="s">
        <v>230</v>
      </c>
      <c r="B63" s="99">
        <v>11</v>
      </c>
      <c r="C63" s="104" t="s">
        <v>246</v>
      </c>
      <c r="D63" s="607" t="s">
        <v>171</v>
      </c>
      <c r="E63" s="582"/>
      <c r="F63" s="583"/>
      <c r="G63" s="105"/>
      <c r="H63" s="610"/>
    </row>
    <row r="64" spans="1:8" ht="15.75" customHeight="1">
      <c r="A64" s="98" t="s">
        <v>230</v>
      </c>
      <c r="B64" s="99">
        <v>12</v>
      </c>
      <c r="C64" s="104" t="s">
        <v>247</v>
      </c>
      <c r="D64" s="607" t="s">
        <v>169</v>
      </c>
      <c r="E64" s="582"/>
      <c r="F64" s="583"/>
      <c r="G64" s="108" t="s">
        <v>248</v>
      </c>
      <c r="H64" s="610"/>
    </row>
    <row r="65" spans="1:8" ht="15.75" customHeight="1">
      <c r="A65" s="98" t="s">
        <v>230</v>
      </c>
      <c r="B65" s="99">
        <v>13</v>
      </c>
      <c r="C65" s="104" t="s">
        <v>249</v>
      </c>
      <c r="D65" s="607" t="s">
        <v>171</v>
      </c>
      <c r="E65" s="582"/>
      <c r="F65" s="583"/>
      <c r="G65" s="105"/>
      <c r="H65" s="610"/>
    </row>
    <row r="66" spans="1:8" ht="15.75" customHeight="1">
      <c r="A66" s="98" t="s">
        <v>230</v>
      </c>
      <c r="B66" s="99">
        <v>14</v>
      </c>
      <c r="C66" s="105" t="s">
        <v>250</v>
      </c>
      <c r="D66" s="607" t="s">
        <v>169</v>
      </c>
      <c r="E66" s="582"/>
      <c r="F66" s="583"/>
      <c r="G66" s="108" t="s">
        <v>251</v>
      </c>
      <c r="H66" s="610"/>
    </row>
    <row r="67" spans="1:8" ht="15.75" customHeight="1">
      <c r="A67" s="98" t="s">
        <v>230</v>
      </c>
      <c r="B67" s="99">
        <v>15</v>
      </c>
      <c r="C67" s="104" t="s">
        <v>252</v>
      </c>
      <c r="D67" s="607" t="s">
        <v>169</v>
      </c>
      <c r="E67" s="582"/>
      <c r="F67" s="583"/>
      <c r="G67" s="108" t="s">
        <v>253</v>
      </c>
      <c r="H67" s="610"/>
    </row>
    <row r="68" spans="1:8" ht="15.75" customHeight="1">
      <c r="A68" s="98" t="s">
        <v>230</v>
      </c>
      <c r="B68" s="99">
        <v>16</v>
      </c>
      <c r="C68" s="104" t="s">
        <v>254</v>
      </c>
      <c r="D68" s="607" t="s">
        <v>171</v>
      </c>
      <c r="E68" s="582"/>
      <c r="F68" s="583"/>
      <c r="G68" s="105"/>
      <c r="H68" s="610"/>
    </row>
    <row r="69" spans="1:8" ht="15.75" customHeight="1">
      <c r="A69" s="98" t="s">
        <v>230</v>
      </c>
      <c r="B69" s="99">
        <v>17</v>
      </c>
      <c r="C69" s="104" t="s">
        <v>255</v>
      </c>
      <c r="D69" s="607" t="s">
        <v>169</v>
      </c>
      <c r="E69" s="582"/>
      <c r="F69" s="583"/>
      <c r="G69" s="108" t="s">
        <v>256</v>
      </c>
      <c r="H69" s="610"/>
    </row>
    <row r="70" spans="1:8" ht="15.75" customHeight="1">
      <c r="A70" s="98" t="s">
        <v>230</v>
      </c>
      <c r="B70" s="99">
        <v>18</v>
      </c>
      <c r="C70" s="106" t="s">
        <v>257</v>
      </c>
      <c r="D70" s="607" t="s">
        <v>172</v>
      </c>
      <c r="E70" s="582"/>
      <c r="F70" s="583"/>
      <c r="G70" s="105"/>
      <c r="H70" s="610"/>
    </row>
    <row r="71" spans="1:8" ht="15.75" customHeight="1">
      <c r="A71" s="98" t="s">
        <v>230</v>
      </c>
      <c r="B71" s="99">
        <v>19</v>
      </c>
      <c r="C71" s="106" t="s">
        <v>258</v>
      </c>
      <c r="D71" s="607" t="s">
        <v>171</v>
      </c>
      <c r="E71" s="582"/>
      <c r="F71" s="583"/>
      <c r="G71" s="105"/>
      <c r="H71" s="610"/>
    </row>
    <row r="72" spans="1:8" ht="15.75" customHeight="1">
      <c r="A72" s="98" t="s">
        <v>230</v>
      </c>
      <c r="B72" s="99">
        <v>20</v>
      </c>
      <c r="C72" s="104" t="s">
        <v>259</v>
      </c>
      <c r="D72" s="607" t="s">
        <v>169</v>
      </c>
      <c r="E72" s="582"/>
      <c r="F72" s="583"/>
      <c r="G72" s="108" t="s">
        <v>260</v>
      </c>
      <c r="H72" s="610"/>
    </row>
    <row r="73" spans="1:8" ht="15.75" customHeight="1">
      <c r="A73" s="98" t="s">
        <v>230</v>
      </c>
      <c r="B73" s="111">
        <v>21</v>
      </c>
      <c r="C73" s="106" t="s">
        <v>261</v>
      </c>
      <c r="D73" s="607" t="s">
        <v>172</v>
      </c>
      <c r="E73" s="582"/>
      <c r="F73" s="583"/>
      <c r="G73" s="112"/>
      <c r="H73" s="610"/>
    </row>
    <row r="74" spans="1:8" ht="15.75" customHeight="1">
      <c r="A74" s="98" t="s">
        <v>230</v>
      </c>
      <c r="B74" s="99">
        <v>22</v>
      </c>
      <c r="C74" s="104" t="s">
        <v>262</v>
      </c>
      <c r="D74" s="607" t="s">
        <v>169</v>
      </c>
      <c r="E74" s="582"/>
      <c r="F74" s="583"/>
      <c r="G74" s="108" t="s">
        <v>263</v>
      </c>
      <c r="H74" s="610"/>
    </row>
    <row r="75" spans="1:8" ht="15.75" customHeight="1">
      <c r="A75" s="98" t="s">
        <v>230</v>
      </c>
      <c r="B75" s="99">
        <v>23</v>
      </c>
      <c r="C75" s="104" t="s">
        <v>264</v>
      </c>
      <c r="D75" s="607" t="s">
        <v>169</v>
      </c>
      <c r="E75" s="582"/>
      <c r="F75" s="583"/>
      <c r="G75" s="108" t="s">
        <v>265</v>
      </c>
      <c r="H75" s="610"/>
    </row>
    <row r="76" spans="1:8" ht="15.75" customHeight="1">
      <c r="A76" s="98" t="s">
        <v>266</v>
      </c>
      <c r="B76" s="99">
        <v>24</v>
      </c>
      <c r="C76" s="104" t="s">
        <v>267</v>
      </c>
      <c r="D76" s="607" t="s">
        <v>169</v>
      </c>
      <c r="E76" s="582"/>
      <c r="F76" s="583"/>
      <c r="G76" s="108" t="s">
        <v>268</v>
      </c>
      <c r="H76" s="610"/>
    </row>
    <row r="77" spans="1:8" ht="15.75" customHeight="1">
      <c r="A77" s="98" t="s">
        <v>266</v>
      </c>
      <c r="B77" s="99">
        <v>1</v>
      </c>
      <c r="C77" s="106" t="s">
        <v>269</v>
      </c>
      <c r="D77" s="607" t="s">
        <v>169</v>
      </c>
      <c r="E77" s="582"/>
      <c r="F77" s="583"/>
      <c r="G77" s="107" t="s">
        <v>270</v>
      </c>
      <c r="H77" s="610"/>
    </row>
    <row r="78" spans="1:8" ht="15.75" customHeight="1">
      <c r="A78" s="98" t="s">
        <v>266</v>
      </c>
      <c r="B78" s="99">
        <v>2</v>
      </c>
      <c r="C78" s="106" t="s">
        <v>271</v>
      </c>
      <c r="D78" s="607" t="s">
        <v>169</v>
      </c>
      <c r="E78" s="582"/>
      <c r="F78" s="583"/>
      <c r="G78" s="107" t="s">
        <v>272</v>
      </c>
      <c r="H78" s="610"/>
    </row>
    <row r="79" spans="1:8" ht="15.75" customHeight="1">
      <c r="A79" s="98" t="s">
        <v>266</v>
      </c>
      <c r="B79" s="99">
        <v>3</v>
      </c>
      <c r="C79" s="106" t="s">
        <v>273</v>
      </c>
      <c r="D79" s="607" t="s">
        <v>169</v>
      </c>
      <c r="E79" s="582"/>
      <c r="F79" s="583"/>
      <c r="G79" s="105" t="s">
        <v>274</v>
      </c>
      <c r="H79" s="610"/>
    </row>
    <row r="80" spans="1:8" ht="15.75" customHeight="1">
      <c r="A80" s="98" t="s">
        <v>266</v>
      </c>
      <c r="B80" s="99">
        <v>4</v>
      </c>
      <c r="C80" s="106" t="s">
        <v>275</v>
      </c>
      <c r="D80" s="607" t="s">
        <v>172</v>
      </c>
      <c r="E80" s="582"/>
      <c r="F80" s="583"/>
      <c r="G80" s="105"/>
      <c r="H80" s="610"/>
    </row>
    <row r="81" spans="1:8" ht="15.75" customHeight="1">
      <c r="A81" s="98" t="s">
        <v>276</v>
      </c>
      <c r="B81" s="99">
        <v>5</v>
      </c>
      <c r="C81" s="106" t="s">
        <v>277</v>
      </c>
      <c r="D81" s="632" t="s">
        <v>169</v>
      </c>
      <c r="E81" s="582"/>
      <c r="F81" s="583"/>
      <c r="G81" s="107" t="s">
        <v>278</v>
      </c>
      <c r="H81" s="610"/>
    </row>
    <row r="82" spans="1:8" ht="15.75" customHeight="1">
      <c r="A82" s="98" t="s">
        <v>276</v>
      </c>
      <c r="B82" s="99">
        <v>1</v>
      </c>
      <c r="C82" s="106" t="s">
        <v>279</v>
      </c>
      <c r="D82" s="632" t="s">
        <v>171</v>
      </c>
      <c r="E82" s="582"/>
      <c r="F82" s="583"/>
      <c r="G82" s="113"/>
      <c r="H82" s="610"/>
    </row>
    <row r="83" spans="1:8" ht="15.75" customHeight="1">
      <c r="A83" s="98" t="s">
        <v>276</v>
      </c>
      <c r="B83" s="99">
        <v>2</v>
      </c>
      <c r="C83" s="105" t="s">
        <v>280</v>
      </c>
      <c r="D83" s="607" t="s">
        <v>169</v>
      </c>
      <c r="E83" s="582"/>
      <c r="F83" s="583"/>
      <c r="G83" s="108" t="s">
        <v>281</v>
      </c>
      <c r="H83" s="610"/>
    </row>
    <row r="84" spans="1:8" ht="15.75" customHeight="1">
      <c r="A84" s="98" t="s">
        <v>276</v>
      </c>
      <c r="B84" s="99">
        <v>3</v>
      </c>
      <c r="C84" s="106" t="s">
        <v>282</v>
      </c>
      <c r="D84" s="607" t="s">
        <v>169</v>
      </c>
      <c r="E84" s="582"/>
      <c r="F84" s="583"/>
      <c r="G84" s="107" t="s">
        <v>283</v>
      </c>
      <c r="H84" s="610"/>
    </row>
    <row r="85" spans="1:8" ht="15.75" customHeight="1">
      <c r="A85" s="98" t="s">
        <v>276</v>
      </c>
      <c r="B85" s="99">
        <v>4</v>
      </c>
      <c r="C85" s="106" t="s">
        <v>284</v>
      </c>
      <c r="D85" s="607" t="s">
        <v>169</v>
      </c>
      <c r="E85" s="582"/>
      <c r="F85" s="583"/>
      <c r="G85" s="107" t="s">
        <v>285</v>
      </c>
      <c r="H85" s="610"/>
    </row>
    <row r="86" spans="1:8" ht="15.75" customHeight="1">
      <c r="A86" s="98" t="s">
        <v>276</v>
      </c>
      <c r="B86" s="99">
        <v>5</v>
      </c>
      <c r="C86" s="105" t="s">
        <v>286</v>
      </c>
      <c r="D86" s="607" t="s">
        <v>171</v>
      </c>
      <c r="E86" s="582"/>
      <c r="F86" s="583"/>
      <c r="G86" s="105"/>
      <c r="H86" s="610"/>
    </row>
    <row r="87" spans="1:8" ht="15.75" customHeight="1">
      <c r="A87" s="98" t="s">
        <v>276</v>
      </c>
      <c r="B87" s="99">
        <v>6</v>
      </c>
      <c r="C87" s="106" t="s">
        <v>287</v>
      </c>
      <c r="D87" s="607" t="s">
        <v>171</v>
      </c>
      <c r="E87" s="582"/>
      <c r="F87" s="583"/>
      <c r="G87" s="105"/>
      <c r="H87" s="610"/>
    </row>
    <row r="88" spans="1:8" ht="15.75" customHeight="1">
      <c r="A88" s="98" t="s">
        <v>276</v>
      </c>
      <c r="B88" s="99">
        <v>7</v>
      </c>
      <c r="C88" s="106" t="s">
        <v>288</v>
      </c>
      <c r="D88" s="607" t="s">
        <v>172</v>
      </c>
      <c r="E88" s="582"/>
      <c r="F88" s="583"/>
      <c r="G88" s="105"/>
      <c r="H88" s="610"/>
    </row>
    <row r="89" spans="1:8" ht="15.75" customHeight="1">
      <c r="A89" s="98" t="s">
        <v>276</v>
      </c>
      <c r="B89" s="99">
        <v>8</v>
      </c>
      <c r="C89" s="106" t="s">
        <v>289</v>
      </c>
      <c r="D89" s="607" t="s">
        <v>169</v>
      </c>
      <c r="E89" s="582"/>
      <c r="F89" s="583"/>
      <c r="G89" s="107" t="s">
        <v>290</v>
      </c>
      <c r="H89" s="610"/>
    </row>
    <row r="90" spans="1:8" ht="15.75" customHeight="1">
      <c r="A90" s="98" t="s">
        <v>276</v>
      </c>
      <c r="B90" s="99">
        <v>9</v>
      </c>
      <c r="C90" s="106" t="s">
        <v>291</v>
      </c>
      <c r="D90" s="607" t="s">
        <v>169</v>
      </c>
      <c r="E90" s="582"/>
      <c r="F90" s="583"/>
      <c r="G90" s="107" t="s">
        <v>292</v>
      </c>
      <c r="H90" s="610"/>
    </row>
    <row r="91" spans="1:8" ht="15.75" customHeight="1">
      <c r="A91" s="98" t="s">
        <v>276</v>
      </c>
      <c r="B91" s="99">
        <v>10</v>
      </c>
      <c r="C91" s="105" t="s">
        <v>293</v>
      </c>
      <c r="D91" s="607" t="s">
        <v>171</v>
      </c>
      <c r="E91" s="582"/>
      <c r="F91" s="583"/>
      <c r="G91" s="105"/>
      <c r="H91" s="610"/>
    </row>
    <row r="92" spans="1:8" ht="15.75" customHeight="1">
      <c r="A92" s="98" t="s">
        <v>276</v>
      </c>
      <c r="B92" s="99">
        <v>11</v>
      </c>
      <c r="C92" s="106" t="s">
        <v>294</v>
      </c>
      <c r="D92" s="607" t="s">
        <v>172</v>
      </c>
      <c r="E92" s="582"/>
      <c r="F92" s="583"/>
      <c r="G92" s="105"/>
      <c r="H92" s="610"/>
    </row>
    <row r="93" spans="1:8" ht="15.75" customHeight="1">
      <c r="A93" s="98" t="s">
        <v>276</v>
      </c>
      <c r="B93" s="99">
        <v>12</v>
      </c>
      <c r="C93" s="105" t="s">
        <v>295</v>
      </c>
      <c r="D93" s="607" t="s">
        <v>171</v>
      </c>
      <c r="E93" s="582"/>
      <c r="F93" s="583"/>
      <c r="G93" s="105"/>
      <c r="H93" s="610"/>
    </row>
    <row r="94" spans="1:8" ht="15.75" customHeight="1">
      <c r="A94" s="98" t="s">
        <v>276</v>
      </c>
      <c r="B94" s="99">
        <v>13</v>
      </c>
      <c r="C94" s="105" t="s">
        <v>296</v>
      </c>
      <c r="D94" s="607" t="s">
        <v>171</v>
      </c>
      <c r="E94" s="582"/>
      <c r="F94" s="583"/>
      <c r="G94" s="105"/>
      <c r="H94" s="610"/>
    </row>
    <row r="95" spans="1:8" ht="15.75" customHeight="1">
      <c r="A95" s="98" t="s">
        <v>276</v>
      </c>
      <c r="B95" s="99">
        <v>14</v>
      </c>
      <c r="C95" s="106" t="s">
        <v>297</v>
      </c>
      <c r="D95" s="607" t="s">
        <v>169</v>
      </c>
      <c r="E95" s="582"/>
      <c r="F95" s="583"/>
      <c r="G95" s="107" t="s">
        <v>298</v>
      </c>
      <c r="H95" s="610"/>
    </row>
    <row r="96" spans="1:8" ht="15.75" customHeight="1">
      <c r="A96" s="98" t="s">
        <v>276</v>
      </c>
      <c r="B96" s="99">
        <v>15</v>
      </c>
      <c r="C96" s="106" t="s">
        <v>299</v>
      </c>
      <c r="D96" s="607" t="s">
        <v>172</v>
      </c>
      <c r="E96" s="582"/>
      <c r="F96" s="583"/>
      <c r="G96" s="105"/>
      <c r="H96" s="610"/>
    </row>
    <row r="97" spans="1:8" ht="15.75" customHeight="1">
      <c r="A97" s="98" t="s">
        <v>276</v>
      </c>
      <c r="B97" s="99">
        <v>16</v>
      </c>
      <c r="C97" s="106" t="s">
        <v>300</v>
      </c>
      <c r="D97" s="607" t="s">
        <v>172</v>
      </c>
      <c r="E97" s="582"/>
      <c r="F97" s="583"/>
      <c r="G97" s="105"/>
      <c r="H97" s="610"/>
    </row>
    <row r="98" spans="1:8" ht="15.75" customHeight="1">
      <c r="A98" s="98" t="s">
        <v>276</v>
      </c>
      <c r="B98" s="99">
        <v>17</v>
      </c>
      <c r="C98" s="106" t="s">
        <v>301</v>
      </c>
      <c r="D98" s="607" t="s">
        <v>169</v>
      </c>
      <c r="E98" s="582"/>
      <c r="F98" s="583"/>
      <c r="G98" s="107" t="s">
        <v>302</v>
      </c>
      <c r="H98" s="610"/>
    </row>
    <row r="99" spans="1:8" ht="15.75" customHeight="1">
      <c r="A99" s="98" t="s">
        <v>276</v>
      </c>
      <c r="B99" s="99">
        <v>18</v>
      </c>
      <c r="C99" s="106" t="s">
        <v>303</v>
      </c>
      <c r="D99" s="607" t="s">
        <v>171</v>
      </c>
      <c r="E99" s="582"/>
      <c r="F99" s="583"/>
      <c r="G99" s="105"/>
      <c r="H99" s="610"/>
    </row>
    <row r="100" spans="1:8" ht="15.75" customHeight="1">
      <c r="A100" s="98" t="s">
        <v>276</v>
      </c>
      <c r="B100" s="99">
        <v>19</v>
      </c>
      <c r="C100" s="106" t="s">
        <v>304</v>
      </c>
      <c r="D100" s="607" t="s">
        <v>169</v>
      </c>
      <c r="E100" s="582"/>
      <c r="F100" s="583"/>
      <c r="G100" s="107" t="s">
        <v>305</v>
      </c>
      <c r="H100" s="610"/>
    </row>
    <row r="101" spans="1:8" ht="15.75" customHeight="1">
      <c r="A101" s="98" t="s">
        <v>276</v>
      </c>
      <c r="B101" s="99">
        <v>20</v>
      </c>
      <c r="C101" s="106" t="s">
        <v>306</v>
      </c>
      <c r="D101" s="607" t="s">
        <v>172</v>
      </c>
      <c r="E101" s="582"/>
      <c r="F101" s="583"/>
      <c r="G101" s="105"/>
      <c r="H101" s="610"/>
    </row>
    <row r="102" spans="1:8" ht="15.75" customHeight="1">
      <c r="A102" s="98" t="s">
        <v>276</v>
      </c>
      <c r="B102" s="99">
        <v>21</v>
      </c>
      <c r="C102" s="106" t="s">
        <v>307</v>
      </c>
      <c r="D102" s="607" t="s">
        <v>172</v>
      </c>
      <c r="E102" s="582"/>
      <c r="F102" s="583"/>
      <c r="G102" s="105"/>
      <c r="H102" s="610"/>
    </row>
    <row r="103" spans="1:8" ht="15.75" customHeight="1">
      <c r="A103" s="98" t="s">
        <v>276</v>
      </c>
      <c r="B103" s="99">
        <v>22</v>
      </c>
      <c r="C103" s="106" t="s">
        <v>308</v>
      </c>
      <c r="D103" s="607" t="s">
        <v>171</v>
      </c>
      <c r="E103" s="582"/>
      <c r="F103" s="583"/>
      <c r="G103" s="105"/>
      <c r="H103" s="610"/>
    </row>
    <row r="104" spans="1:8" ht="15.75" customHeight="1">
      <c r="A104" s="98" t="s">
        <v>276</v>
      </c>
      <c r="B104" s="99">
        <v>23</v>
      </c>
      <c r="C104" s="106" t="s">
        <v>309</v>
      </c>
      <c r="D104" s="607" t="s">
        <v>171</v>
      </c>
      <c r="E104" s="582"/>
      <c r="F104" s="583"/>
      <c r="G104" s="105"/>
      <c r="H104" s="610"/>
    </row>
    <row r="105" spans="1:8" ht="15.75" customHeight="1">
      <c r="A105" s="98" t="s">
        <v>310</v>
      </c>
      <c r="B105" s="99">
        <v>24</v>
      </c>
      <c r="C105" s="106" t="s">
        <v>311</v>
      </c>
      <c r="D105" s="632" t="s">
        <v>172</v>
      </c>
      <c r="E105" s="582"/>
      <c r="F105" s="583"/>
      <c r="G105" s="110"/>
      <c r="H105" s="610"/>
    </row>
    <row r="106" spans="1:8" ht="15.75" customHeight="1">
      <c r="A106" s="98" t="s">
        <v>312</v>
      </c>
      <c r="B106" s="99">
        <v>1</v>
      </c>
      <c r="C106" s="104" t="s">
        <v>313</v>
      </c>
      <c r="D106" s="607" t="s">
        <v>171</v>
      </c>
      <c r="E106" s="582"/>
      <c r="F106" s="583"/>
      <c r="G106" s="114"/>
      <c r="H106" s="610"/>
    </row>
    <row r="107" spans="1:8" ht="15.75" customHeight="1">
      <c r="A107" s="98" t="s">
        <v>314</v>
      </c>
      <c r="B107" s="99">
        <v>1</v>
      </c>
      <c r="C107" s="104" t="s">
        <v>315</v>
      </c>
      <c r="D107" s="607" t="s">
        <v>169</v>
      </c>
      <c r="E107" s="582"/>
      <c r="F107" s="583"/>
      <c r="G107" s="115" t="s">
        <v>316</v>
      </c>
      <c r="H107" s="610"/>
    </row>
    <row r="108" spans="1:8" ht="15.75" customHeight="1">
      <c r="A108" s="98" t="s">
        <v>314</v>
      </c>
      <c r="B108" s="99">
        <v>1</v>
      </c>
      <c r="C108" s="104" t="s">
        <v>317</v>
      </c>
      <c r="D108" s="607" t="s">
        <v>169</v>
      </c>
      <c r="E108" s="582"/>
      <c r="F108" s="583"/>
      <c r="G108" s="108" t="s">
        <v>318</v>
      </c>
      <c r="H108" s="610"/>
    </row>
    <row r="109" spans="1:8" ht="15.75" customHeight="1">
      <c r="A109" s="98" t="s">
        <v>319</v>
      </c>
      <c r="B109" s="99">
        <v>2</v>
      </c>
      <c r="C109" s="104" t="s">
        <v>320</v>
      </c>
      <c r="D109" s="607" t="s">
        <v>171</v>
      </c>
      <c r="E109" s="582"/>
      <c r="F109" s="583"/>
      <c r="G109" s="105"/>
      <c r="H109" s="610"/>
    </row>
    <row r="110" spans="1:8" ht="15.75" customHeight="1">
      <c r="A110" s="98" t="s">
        <v>321</v>
      </c>
      <c r="B110" s="99">
        <v>1</v>
      </c>
      <c r="C110" s="106" t="s">
        <v>322</v>
      </c>
      <c r="D110" s="607" t="s">
        <v>172</v>
      </c>
      <c r="E110" s="582"/>
      <c r="F110" s="583"/>
      <c r="G110" s="105"/>
      <c r="H110" s="610"/>
    </row>
    <row r="111" spans="1:8" ht="15.75" customHeight="1">
      <c r="A111" s="98" t="s">
        <v>323</v>
      </c>
      <c r="B111" s="99">
        <v>1</v>
      </c>
      <c r="C111" s="104" t="s">
        <v>324</v>
      </c>
      <c r="D111" s="607" t="s">
        <v>171</v>
      </c>
      <c r="E111" s="582"/>
      <c r="F111" s="583"/>
      <c r="G111" s="114"/>
      <c r="H111" s="610"/>
    </row>
    <row r="112" spans="1:8" ht="15.75" customHeight="1">
      <c r="A112" s="98" t="s">
        <v>325</v>
      </c>
      <c r="B112" s="99">
        <v>1</v>
      </c>
      <c r="C112" s="104" t="s">
        <v>326</v>
      </c>
      <c r="D112" s="607" t="s">
        <v>169</v>
      </c>
      <c r="E112" s="582"/>
      <c r="F112" s="583"/>
      <c r="G112" s="105" t="s">
        <v>327</v>
      </c>
      <c r="H112" s="610"/>
    </row>
    <row r="113" spans="1:8" ht="15.75" customHeight="1">
      <c r="A113" s="98" t="s">
        <v>328</v>
      </c>
      <c r="B113" s="111">
        <v>1</v>
      </c>
      <c r="C113" s="106" t="s">
        <v>329</v>
      </c>
      <c r="D113" s="607" t="s">
        <v>169</v>
      </c>
      <c r="E113" s="582"/>
      <c r="F113" s="583"/>
      <c r="G113" s="116" t="s">
        <v>330</v>
      </c>
      <c r="H113" s="610"/>
    </row>
    <row r="114" spans="1:8" ht="15.75" customHeight="1">
      <c r="A114" s="98" t="s">
        <v>328</v>
      </c>
      <c r="B114" s="111">
        <v>1</v>
      </c>
      <c r="C114" s="106" t="s">
        <v>331</v>
      </c>
      <c r="D114" s="607" t="s">
        <v>169</v>
      </c>
      <c r="E114" s="582"/>
      <c r="F114" s="583"/>
      <c r="G114" s="116" t="s">
        <v>332</v>
      </c>
      <c r="H114" s="610"/>
    </row>
    <row r="115" spans="1:8" ht="15.75" customHeight="1">
      <c r="A115" s="98" t="s">
        <v>328</v>
      </c>
      <c r="B115" s="111">
        <v>2</v>
      </c>
      <c r="C115" s="106" t="s">
        <v>333</v>
      </c>
      <c r="D115" s="607" t="s">
        <v>169</v>
      </c>
      <c r="E115" s="582"/>
      <c r="F115" s="583"/>
      <c r="G115" s="117" t="s">
        <v>334</v>
      </c>
      <c r="H115" s="610"/>
    </row>
    <row r="116" spans="1:8" ht="15.75" customHeight="1">
      <c r="A116" s="98" t="s">
        <v>328</v>
      </c>
      <c r="B116" s="111">
        <v>3</v>
      </c>
      <c r="C116" s="106" t="s">
        <v>335</v>
      </c>
      <c r="D116" s="607" t="s">
        <v>169</v>
      </c>
      <c r="E116" s="582"/>
      <c r="F116" s="583"/>
      <c r="G116" s="116" t="s">
        <v>336</v>
      </c>
      <c r="H116" s="610"/>
    </row>
    <row r="117" spans="1:8" ht="15.75" customHeight="1">
      <c r="A117" s="98" t="s">
        <v>328</v>
      </c>
      <c r="B117" s="111">
        <v>4</v>
      </c>
      <c r="C117" s="106" t="s">
        <v>337</v>
      </c>
      <c r="D117" s="607" t="s">
        <v>172</v>
      </c>
      <c r="E117" s="582"/>
      <c r="F117" s="583"/>
      <c r="G117" s="118"/>
      <c r="H117" s="610"/>
    </row>
    <row r="118" spans="1:8" ht="15.75" customHeight="1">
      <c r="A118" s="98" t="s">
        <v>328</v>
      </c>
      <c r="B118" s="111">
        <v>5</v>
      </c>
      <c r="C118" s="106" t="s">
        <v>338</v>
      </c>
      <c r="D118" s="607" t="s">
        <v>169</v>
      </c>
      <c r="E118" s="582"/>
      <c r="F118" s="583"/>
      <c r="G118" s="116" t="s">
        <v>339</v>
      </c>
      <c r="H118" s="610"/>
    </row>
    <row r="119" spans="1:8" ht="15.75" customHeight="1">
      <c r="A119" s="98" t="s">
        <v>328</v>
      </c>
      <c r="B119" s="111">
        <v>6</v>
      </c>
      <c r="C119" s="106" t="s">
        <v>340</v>
      </c>
      <c r="D119" s="607" t="s">
        <v>169</v>
      </c>
      <c r="E119" s="582"/>
      <c r="F119" s="583"/>
      <c r="G119" s="116" t="s">
        <v>341</v>
      </c>
      <c r="H119" s="610"/>
    </row>
    <row r="120" spans="1:8" ht="15.75" customHeight="1">
      <c r="A120" s="98" t="s">
        <v>328</v>
      </c>
      <c r="B120" s="111">
        <v>7</v>
      </c>
      <c r="C120" s="106" t="s">
        <v>342</v>
      </c>
      <c r="D120" s="607" t="s">
        <v>169</v>
      </c>
      <c r="E120" s="582"/>
      <c r="F120" s="583"/>
      <c r="G120" s="116" t="s">
        <v>343</v>
      </c>
      <c r="H120" s="610"/>
    </row>
    <row r="121" spans="1:8" ht="15.75" customHeight="1">
      <c r="A121" s="98" t="s">
        <v>328</v>
      </c>
      <c r="B121" s="111">
        <v>8</v>
      </c>
      <c r="C121" s="106" t="s">
        <v>344</v>
      </c>
      <c r="D121" s="607" t="s">
        <v>169</v>
      </c>
      <c r="E121" s="582"/>
      <c r="F121" s="583"/>
      <c r="G121" s="116" t="s">
        <v>345</v>
      </c>
      <c r="H121" s="610"/>
    </row>
    <row r="122" spans="1:8" ht="15.75" customHeight="1">
      <c r="A122" s="98" t="s">
        <v>328</v>
      </c>
      <c r="B122" s="111">
        <v>9</v>
      </c>
      <c r="C122" s="106" t="s">
        <v>346</v>
      </c>
      <c r="D122" s="607" t="s">
        <v>169</v>
      </c>
      <c r="E122" s="582"/>
      <c r="F122" s="583"/>
      <c r="G122" s="116" t="s">
        <v>347</v>
      </c>
      <c r="H122" s="610"/>
    </row>
    <row r="123" spans="1:8" ht="15.75" customHeight="1">
      <c r="A123" s="98" t="s">
        <v>328</v>
      </c>
      <c r="B123" s="111">
        <v>10</v>
      </c>
      <c r="C123" s="106" t="s">
        <v>348</v>
      </c>
      <c r="D123" s="607" t="s">
        <v>169</v>
      </c>
      <c r="E123" s="582"/>
      <c r="F123" s="583"/>
      <c r="G123" s="116" t="s">
        <v>349</v>
      </c>
      <c r="H123" s="610"/>
    </row>
    <row r="124" spans="1:8" ht="15.75" customHeight="1">
      <c r="A124" s="98" t="s">
        <v>328</v>
      </c>
      <c r="B124" s="111">
        <v>11</v>
      </c>
      <c r="C124" s="106" t="s">
        <v>350</v>
      </c>
      <c r="D124" s="607" t="s">
        <v>169</v>
      </c>
      <c r="E124" s="582"/>
      <c r="F124" s="583"/>
      <c r="G124" s="105" t="s">
        <v>351</v>
      </c>
      <c r="H124" s="610"/>
    </row>
    <row r="125" spans="1:8" ht="15.75" customHeight="1">
      <c r="A125" s="98" t="s">
        <v>328</v>
      </c>
      <c r="B125" s="111">
        <v>12</v>
      </c>
      <c r="C125" s="106" t="s">
        <v>352</v>
      </c>
      <c r="D125" s="607" t="s">
        <v>172</v>
      </c>
      <c r="E125" s="582"/>
      <c r="F125" s="583"/>
      <c r="G125" s="105"/>
      <c r="H125" s="610"/>
    </row>
    <row r="126" spans="1:8" ht="15.75" customHeight="1">
      <c r="A126" s="98" t="s">
        <v>328</v>
      </c>
      <c r="B126" s="111">
        <v>13</v>
      </c>
      <c r="C126" s="106" t="s">
        <v>353</v>
      </c>
      <c r="D126" s="607" t="s">
        <v>172</v>
      </c>
      <c r="E126" s="582"/>
      <c r="F126" s="583"/>
      <c r="G126" s="105"/>
      <c r="H126" s="610"/>
    </row>
    <row r="127" spans="1:8" ht="15.75" customHeight="1">
      <c r="A127" s="98" t="s">
        <v>328</v>
      </c>
      <c r="B127" s="111">
        <v>14</v>
      </c>
      <c r="C127" s="106" t="s">
        <v>354</v>
      </c>
      <c r="D127" s="607" t="s">
        <v>169</v>
      </c>
      <c r="E127" s="582"/>
      <c r="F127" s="583"/>
      <c r="G127" s="116" t="s">
        <v>355</v>
      </c>
      <c r="H127" s="610"/>
    </row>
    <row r="128" spans="1:8" ht="15.75" customHeight="1">
      <c r="A128" s="98" t="s">
        <v>328</v>
      </c>
      <c r="B128" s="111">
        <v>15</v>
      </c>
      <c r="C128" s="106" t="s">
        <v>356</v>
      </c>
      <c r="D128" s="607" t="s">
        <v>169</v>
      </c>
      <c r="E128" s="582"/>
      <c r="F128" s="583"/>
      <c r="G128" s="116" t="s">
        <v>357</v>
      </c>
      <c r="H128" s="610"/>
    </row>
    <row r="129" spans="1:8" ht="15.75" customHeight="1">
      <c r="A129" s="98" t="s">
        <v>328</v>
      </c>
      <c r="B129" s="111">
        <v>16</v>
      </c>
      <c r="C129" s="106" t="s">
        <v>358</v>
      </c>
      <c r="D129" s="607" t="s">
        <v>169</v>
      </c>
      <c r="E129" s="582"/>
      <c r="F129" s="583"/>
      <c r="G129" s="116" t="s">
        <v>359</v>
      </c>
      <c r="H129" s="610"/>
    </row>
    <row r="130" spans="1:8" ht="15.75" customHeight="1">
      <c r="A130" s="98" t="s">
        <v>328</v>
      </c>
      <c r="B130" s="111">
        <v>17</v>
      </c>
      <c r="C130" s="106" t="s">
        <v>360</v>
      </c>
      <c r="D130" s="607" t="s">
        <v>169</v>
      </c>
      <c r="E130" s="582"/>
      <c r="F130" s="583"/>
      <c r="G130" s="116" t="s">
        <v>349</v>
      </c>
      <c r="H130" s="610"/>
    </row>
    <row r="131" spans="1:8" ht="15.75" customHeight="1">
      <c r="A131" s="98" t="s">
        <v>328</v>
      </c>
      <c r="B131" s="111">
        <v>18</v>
      </c>
      <c r="C131" s="106" t="s">
        <v>361</v>
      </c>
      <c r="D131" s="607" t="s">
        <v>169</v>
      </c>
      <c r="E131" s="582"/>
      <c r="F131" s="583"/>
      <c r="G131" s="116" t="s">
        <v>362</v>
      </c>
      <c r="H131" s="610"/>
    </row>
    <row r="132" spans="1:8" ht="15.75" customHeight="1">
      <c r="A132" s="98" t="s">
        <v>328</v>
      </c>
      <c r="B132" s="111">
        <v>19</v>
      </c>
      <c r="C132" s="106" t="s">
        <v>363</v>
      </c>
      <c r="D132" s="607" t="s">
        <v>172</v>
      </c>
      <c r="E132" s="582"/>
      <c r="F132" s="583"/>
      <c r="G132" s="105"/>
      <c r="H132" s="610"/>
    </row>
    <row r="133" spans="1:8" ht="15.75" customHeight="1">
      <c r="A133" s="98" t="s">
        <v>328</v>
      </c>
      <c r="B133" s="111">
        <v>20</v>
      </c>
      <c r="C133" s="106" t="s">
        <v>364</v>
      </c>
      <c r="D133" s="607" t="s">
        <v>169</v>
      </c>
      <c r="E133" s="582"/>
      <c r="F133" s="583"/>
      <c r="G133" s="116" t="s">
        <v>365</v>
      </c>
      <c r="H133" s="610"/>
    </row>
    <row r="134" spans="1:8" ht="15.75" customHeight="1">
      <c r="A134" s="98" t="s">
        <v>328</v>
      </c>
      <c r="B134" s="111">
        <v>21</v>
      </c>
      <c r="C134" s="106" t="s">
        <v>366</v>
      </c>
      <c r="D134" s="607" t="s">
        <v>169</v>
      </c>
      <c r="E134" s="582"/>
      <c r="F134" s="583"/>
      <c r="G134" s="116" t="s">
        <v>367</v>
      </c>
      <c r="H134" s="610"/>
    </row>
    <row r="135" spans="1:8" ht="15.75" customHeight="1">
      <c r="A135" s="98" t="s">
        <v>328</v>
      </c>
      <c r="B135" s="111">
        <v>22</v>
      </c>
      <c r="C135" s="106" t="s">
        <v>368</v>
      </c>
      <c r="D135" s="607" t="s">
        <v>169</v>
      </c>
      <c r="E135" s="582"/>
      <c r="F135" s="583"/>
      <c r="G135" s="116" t="s">
        <v>369</v>
      </c>
      <c r="H135" s="610"/>
    </row>
    <row r="136" spans="1:8" ht="15.75" customHeight="1">
      <c r="A136" s="98" t="s">
        <v>328</v>
      </c>
      <c r="B136" s="111">
        <v>23</v>
      </c>
      <c r="C136" s="106" t="s">
        <v>370</v>
      </c>
      <c r="D136" s="607" t="s">
        <v>169</v>
      </c>
      <c r="E136" s="582"/>
      <c r="F136" s="583"/>
      <c r="G136" s="116" t="s">
        <v>371</v>
      </c>
      <c r="H136" s="610"/>
    </row>
    <row r="137" spans="1:8" ht="15.75" customHeight="1">
      <c r="A137" s="98" t="s">
        <v>328</v>
      </c>
      <c r="B137" s="111">
        <v>24</v>
      </c>
      <c r="C137" s="106" t="s">
        <v>372</v>
      </c>
      <c r="D137" s="607" t="s">
        <v>169</v>
      </c>
      <c r="E137" s="582"/>
      <c r="F137" s="583"/>
      <c r="G137" s="116" t="s">
        <v>373</v>
      </c>
      <c r="H137" s="610"/>
    </row>
    <row r="138" spans="1:8" ht="15.75" customHeight="1">
      <c r="A138" s="98" t="s">
        <v>328</v>
      </c>
      <c r="B138" s="111">
        <v>25</v>
      </c>
      <c r="C138" s="106" t="s">
        <v>374</v>
      </c>
      <c r="D138" s="607" t="s">
        <v>172</v>
      </c>
      <c r="E138" s="582"/>
      <c r="F138" s="583"/>
      <c r="G138" s="105"/>
      <c r="H138" s="610"/>
    </row>
    <row r="139" spans="1:8" ht="15.75" customHeight="1">
      <c r="A139" s="98" t="s">
        <v>328</v>
      </c>
      <c r="B139" s="111">
        <v>26</v>
      </c>
      <c r="C139" s="106" t="s">
        <v>375</v>
      </c>
      <c r="D139" s="607" t="s">
        <v>169</v>
      </c>
      <c r="E139" s="582"/>
      <c r="F139" s="583"/>
      <c r="G139" s="116" t="s">
        <v>376</v>
      </c>
      <c r="H139" s="610"/>
    </row>
    <row r="140" spans="1:8" ht="15.75" customHeight="1">
      <c r="A140" s="98" t="s">
        <v>328</v>
      </c>
      <c r="B140" s="111">
        <v>27</v>
      </c>
      <c r="C140" s="106" t="s">
        <v>377</v>
      </c>
      <c r="D140" s="607" t="s">
        <v>169</v>
      </c>
      <c r="E140" s="582"/>
      <c r="F140" s="583"/>
      <c r="G140" s="116" t="s">
        <v>378</v>
      </c>
      <c r="H140" s="610"/>
    </row>
    <row r="141" spans="1:8" ht="25.5" customHeight="1">
      <c r="A141" s="98" t="s">
        <v>379</v>
      </c>
      <c r="B141" s="111">
        <v>28</v>
      </c>
      <c r="C141" s="106" t="s">
        <v>380</v>
      </c>
      <c r="D141" s="607" t="s">
        <v>169</v>
      </c>
      <c r="E141" s="582"/>
      <c r="F141" s="583"/>
      <c r="G141" s="116" t="s">
        <v>381</v>
      </c>
      <c r="H141" s="610"/>
    </row>
    <row r="142" spans="1:8" ht="25.5" customHeight="1">
      <c r="A142" s="98" t="s">
        <v>379</v>
      </c>
      <c r="B142" s="111">
        <v>1</v>
      </c>
      <c r="C142" s="106" t="s">
        <v>382</v>
      </c>
      <c r="D142" s="607" t="s">
        <v>169</v>
      </c>
      <c r="E142" s="582"/>
      <c r="F142" s="583"/>
      <c r="G142" s="105" t="s">
        <v>216</v>
      </c>
      <c r="H142" s="610"/>
    </row>
    <row r="143" spans="1:8" ht="15.75" customHeight="1">
      <c r="A143" s="98" t="s">
        <v>383</v>
      </c>
      <c r="B143" s="111">
        <v>2</v>
      </c>
      <c r="C143" s="106" t="s">
        <v>384</v>
      </c>
      <c r="D143" s="607" t="s">
        <v>169</v>
      </c>
      <c r="E143" s="582"/>
      <c r="F143" s="583"/>
      <c r="G143" s="116" t="s">
        <v>385</v>
      </c>
      <c r="H143" s="610"/>
    </row>
    <row r="144" spans="1:8" ht="15.75" customHeight="1">
      <c r="A144" s="98" t="s">
        <v>383</v>
      </c>
      <c r="B144" s="111">
        <v>1</v>
      </c>
      <c r="C144" s="106" t="s">
        <v>386</v>
      </c>
      <c r="D144" s="607" t="s">
        <v>169</v>
      </c>
      <c r="E144" s="582"/>
      <c r="F144" s="583"/>
      <c r="G144" s="116" t="s">
        <v>387</v>
      </c>
      <c r="H144" s="610"/>
    </row>
    <row r="145" spans="1:8" ht="15.75" customHeight="1">
      <c r="A145" s="98" t="s">
        <v>388</v>
      </c>
      <c r="B145" s="111">
        <v>2</v>
      </c>
      <c r="C145" s="106" t="s">
        <v>389</v>
      </c>
      <c r="D145" s="607" t="s">
        <v>169</v>
      </c>
      <c r="E145" s="582"/>
      <c r="F145" s="583"/>
      <c r="G145" s="116" t="s">
        <v>390</v>
      </c>
      <c r="H145" s="610"/>
    </row>
    <row r="146" spans="1:8" ht="15.75" customHeight="1">
      <c r="A146" s="98" t="s">
        <v>388</v>
      </c>
      <c r="B146" s="111">
        <v>1</v>
      </c>
      <c r="C146" s="106" t="s">
        <v>391</v>
      </c>
      <c r="D146" s="607" t="s">
        <v>169</v>
      </c>
      <c r="E146" s="582"/>
      <c r="F146" s="583"/>
      <c r="G146" s="116" t="s">
        <v>219</v>
      </c>
      <c r="H146" s="610"/>
    </row>
    <row r="147" spans="1:8" ht="15.75" customHeight="1">
      <c r="A147" s="98" t="s">
        <v>392</v>
      </c>
      <c r="B147" s="111">
        <v>2</v>
      </c>
      <c r="C147" s="106" t="s">
        <v>393</v>
      </c>
      <c r="D147" s="607" t="s">
        <v>172</v>
      </c>
      <c r="E147" s="582"/>
      <c r="F147" s="583"/>
      <c r="G147" s="113"/>
      <c r="H147" s="610"/>
    </row>
    <row r="148" spans="1:8" ht="15.75" customHeight="1">
      <c r="A148" s="98" t="s">
        <v>392</v>
      </c>
      <c r="B148" s="111">
        <v>1</v>
      </c>
      <c r="C148" s="106" t="s">
        <v>394</v>
      </c>
      <c r="D148" s="607" t="s">
        <v>172</v>
      </c>
      <c r="E148" s="582"/>
      <c r="F148" s="583"/>
      <c r="G148" s="105"/>
      <c r="H148" s="610"/>
    </row>
    <row r="149" spans="1:8" ht="15.75" customHeight="1">
      <c r="A149" s="98" t="s">
        <v>392</v>
      </c>
      <c r="B149" s="111">
        <v>2</v>
      </c>
      <c r="C149" s="106" t="s">
        <v>395</v>
      </c>
      <c r="D149" s="607" t="s">
        <v>172</v>
      </c>
      <c r="E149" s="582"/>
      <c r="F149" s="583"/>
      <c r="G149" s="105"/>
      <c r="H149" s="610"/>
    </row>
    <row r="150" spans="1:8" ht="15.75" customHeight="1">
      <c r="A150" s="98" t="s">
        <v>392</v>
      </c>
      <c r="B150" s="111">
        <v>3</v>
      </c>
      <c r="C150" s="106" t="s">
        <v>396</v>
      </c>
      <c r="D150" s="607" t="s">
        <v>172</v>
      </c>
      <c r="E150" s="582"/>
      <c r="F150" s="583"/>
      <c r="G150" s="105"/>
      <c r="H150" s="610"/>
    </row>
    <row r="151" spans="1:8" ht="15.75" customHeight="1">
      <c r="A151" s="98" t="s">
        <v>392</v>
      </c>
      <c r="B151" s="111">
        <v>4</v>
      </c>
      <c r="C151" s="106" t="s">
        <v>397</v>
      </c>
      <c r="D151" s="607" t="s">
        <v>172</v>
      </c>
      <c r="E151" s="582"/>
      <c r="F151" s="583"/>
      <c r="G151" s="105"/>
      <c r="H151" s="610"/>
    </row>
    <row r="152" spans="1:8" ht="15.75" customHeight="1">
      <c r="A152" s="98" t="s">
        <v>392</v>
      </c>
      <c r="B152" s="111">
        <v>5</v>
      </c>
      <c r="C152" s="106" t="s">
        <v>398</v>
      </c>
      <c r="D152" s="607" t="s">
        <v>169</v>
      </c>
      <c r="E152" s="582"/>
      <c r="F152" s="583"/>
      <c r="G152" s="116" t="s">
        <v>399</v>
      </c>
      <c r="H152" s="610"/>
    </row>
    <row r="153" spans="1:8" ht="15.75" customHeight="1">
      <c r="A153" s="98" t="s">
        <v>392</v>
      </c>
      <c r="B153" s="111">
        <v>6</v>
      </c>
      <c r="C153" s="106" t="s">
        <v>400</v>
      </c>
      <c r="D153" s="607" t="s">
        <v>172</v>
      </c>
      <c r="E153" s="582"/>
      <c r="F153" s="583"/>
      <c r="G153" s="105"/>
      <c r="H153" s="610"/>
    </row>
    <row r="154" spans="1:8" ht="15.75" customHeight="1">
      <c r="A154" s="98" t="s">
        <v>392</v>
      </c>
      <c r="B154" s="111">
        <v>7</v>
      </c>
      <c r="C154" s="106" t="s">
        <v>401</v>
      </c>
      <c r="D154" s="607" t="s">
        <v>169</v>
      </c>
      <c r="E154" s="582"/>
      <c r="F154" s="583"/>
      <c r="G154" s="116" t="s">
        <v>402</v>
      </c>
      <c r="H154" s="610"/>
    </row>
    <row r="155" spans="1:8" ht="15.75" customHeight="1">
      <c r="A155" s="98" t="s">
        <v>392</v>
      </c>
      <c r="B155" s="111">
        <v>8</v>
      </c>
      <c r="C155" s="106" t="s">
        <v>403</v>
      </c>
      <c r="D155" s="607" t="s">
        <v>169</v>
      </c>
      <c r="E155" s="582"/>
      <c r="F155" s="583"/>
      <c r="G155" s="116" t="s">
        <v>404</v>
      </c>
      <c r="H155" s="610"/>
    </row>
    <row r="156" spans="1:8" ht="15.75" customHeight="1">
      <c r="A156" s="98" t="s">
        <v>392</v>
      </c>
      <c r="B156" s="111">
        <v>9</v>
      </c>
      <c r="C156" s="106" t="s">
        <v>405</v>
      </c>
      <c r="D156" s="607" t="s">
        <v>172</v>
      </c>
      <c r="E156" s="582"/>
      <c r="F156" s="583"/>
      <c r="G156" s="119"/>
      <c r="H156" s="610"/>
    </row>
    <row r="157" spans="1:8" ht="15.75" customHeight="1">
      <c r="A157" s="633" t="s">
        <v>406</v>
      </c>
      <c r="B157" s="604"/>
      <c r="C157" s="641">
        <f>COUNTIFS($A24:$A156,"*",$C24:$C156,"*",$D24:$D156,"*")</f>
        <v>133</v>
      </c>
      <c r="D157" s="120" t="s">
        <v>176</v>
      </c>
      <c r="E157" s="120" t="s">
        <v>177</v>
      </c>
      <c r="F157" s="121" t="s">
        <v>178</v>
      </c>
      <c r="G157" s="122"/>
      <c r="H157" s="610"/>
    </row>
    <row r="158" spans="1:8" ht="15.75" customHeight="1">
      <c r="A158" s="639"/>
      <c r="B158" s="640"/>
      <c r="C158" s="642"/>
      <c r="D158" s="123">
        <f>COUNTIFS($A24:$A156,"*",$C24:$C156,"*",$D24:$D156, "Employed")</f>
        <v>75</v>
      </c>
      <c r="E158" s="123">
        <f>COUNTIFS($A24:$A156,"*",$C24:$C156,"*",$D24:$D156, "Unemployed")</f>
        <v>23</v>
      </c>
      <c r="F158" s="123">
        <f>COUNTIFS($A24:$A156,"*",$C24:$C156,"*",$D24:$D156, "Not Tracked")</f>
        <v>35</v>
      </c>
      <c r="G158" s="124"/>
      <c r="H158" s="610"/>
    </row>
    <row r="159" spans="1:8" ht="15.75" customHeight="1">
      <c r="A159" s="643" t="s">
        <v>148</v>
      </c>
      <c r="B159" s="582"/>
      <c r="C159" s="582"/>
      <c r="D159" s="582"/>
      <c r="E159" s="582"/>
      <c r="F159" s="582"/>
      <c r="G159" s="583"/>
      <c r="H159" s="610"/>
    </row>
    <row r="160" spans="1:8" ht="15.75" customHeight="1">
      <c r="A160" s="125" t="s">
        <v>407</v>
      </c>
      <c r="B160" s="126">
        <v>1</v>
      </c>
      <c r="C160" s="127" t="s">
        <v>408</v>
      </c>
      <c r="D160" s="607" t="s">
        <v>172</v>
      </c>
      <c r="E160" s="582"/>
      <c r="F160" s="583"/>
      <c r="G160" s="125"/>
      <c r="H160" s="610"/>
    </row>
    <row r="161" spans="1:8" ht="15.75" customHeight="1">
      <c r="A161" s="125" t="s">
        <v>409</v>
      </c>
      <c r="B161" s="128">
        <v>1</v>
      </c>
      <c r="C161" s="129" t="s">
        <v>410</v>
      </c>
      <c r="D161" s="607" t="s">
        <v>171</v>
      </c>
      <c r="E161" s="582"/>
      <c r="F161" s="583"/>
      <c r="G161" s="127"/>
      <c r="H161" s="610"/>
    </row>
    <row r="162" spans="1:8" ht="15.75" customHeight="1">
      <c r="A162" s="125" t="s">
        <v>409</v>
      </c>
      <c r="B162" s="128">
        <v>2</v>
      </c>
      <c r="C162" s="129" t="s">
        <v>411</v>
      </c>
      <c r="D162" s="607" t="s">
        <v>171</v>
      </c>
      <c r="E162" s="582"/>
      <c r="F162" s="583"/>
      <c r="G162" s="127"/>
      <c r="H162" s="610"/>
    </row>
    <row r="163" spans="1:8" ht="15.75" customHeight="1">
      <c r="A163" s="125" t="s">
        <v>409</v>
      </c>
      <c r="B163" s="128">
        <v>3</v>
      </c>
      <c r="C163" s="130" t="s">
        <v>412</v>
      </c>
      <c r="D163" s="607" t="s">
        <v>171</v>
      </c>
      <c r="E163" s="582"/>
      <c r="F163" s="583"/>
      <c r="G163" s="127"/>
      <c r="H163" s="610"/>
    </row>
    <row r="164" spans="1:8" ht="15.75" customHeight="1">
      <c r="A164" s="125" t="s">
        <v>409</v>
      </c>
      <c r="B164" s="128">
        <v>4</v>
      </c>
      <c r="C164" s="129" t="s">
        <v>413</v>
      </c>
      <c r="D164" s="607" t="s">
        <v>171</v>
      </c>
      <c r="E164" s="582"/>
      <c r="F164" s="583"/>
      <c r="G164" s="127"/>
      <c r="H164" s="610"/>
    </row>
    <row r="165" spans="1:8" ht="15.75" customHeight="1">
      <c r="A165" s="125" t="s">
        <v>409</v>
      </c>
      <c r="B165" s="128">
        <v>5</v>
      </c>
      <c r="C165" s="127" t="s">
        <v>414</v>
      </c>
      <c r="D165" s="607" t="s">
        <v>172</v>
      </c>
      <c r="E165" s="582"/>
      <c r="F165" s="583"/>
      <c r="G165" s="127"/>
      <c r="H165" s="610"/>
    </row>
    <row r="166" spans="1:8" ht="15.75" customHeight="1">
      <c r="A166" s="125" t="s">
        <v>409</v>
      </c>
      <c r="B166" s="128">
        <v>6</v>
      </c>
      <c r="C166" s="127" t="s">
        <v>415</v>
      </c>
      <c r="D166" s="607" t="s">
        <v>171</v>
      </c>
      <c r="E166" s="582"/>
      <c r="F166" s="583"/>
      <c r="G166" s="125"/>
      <c r="H166" s="610"/>
    </row>
    <row r="167" spans="1:8" ht="15.75" customHeight="1">
      <c r="A167" s="125" t="s">
        <v>409</v>
      </c>
      <c r="B167" s="128">
        <v>7</v>
      </c>
      <c r="C167" s="127" t="s">
        <v>416</v>
      </c>
      <c r="D167" s="607" t="s">
        <v>172</v>
      </c>
      <c r="E167" s="582"/>
      <c r="F167" s="583"/>
      <c r="G167" s="125"/>
      <c r="H167" s="610"/>
    </row>
    <row r="168" spans="1:8" ht="15.75" customHeight="1">
      <c r="A168" s="125" t="s">
        <v>409</v>
      </c>
      <c r="B168" s="128">
        <v>8</v>
      </c>
      <c r="C168" s="127" t="s">
        <v>417</v>
      </c>
      <c r="D168" s="607" t="s">
        <v>171</v>
      </c>
      <c r="E168" s="582"/>
      <c r="F168" s="583"/>
      <c r="G168" s="125"/>
      <c r="H168" s="610"/>
    </row>
    <row r="169" spans="1:8" ht="15.75" customHeight="1">
      <c r="A169" s="125" t="s">
        <v>409</v>
      </c>
      <c r="B169" s="128">
        <v>9</v>
      </c>
      <c r="C169" s="127" t="s">
        <v>418</v>
      </c>
      <c r="D169" s="607" t="s">
        <v>172</v>
      </c>
      <c r="E169" s="582"/>
      <c r="F169" s="583"/>
      <c r="G169" s="125"/>
      <c r="H169" s="610"/>
    </row>
    <row r="170" spans="1:8" ht="15.75" customHeight="1">
      <c r="A170" s="125" t="s">
        <v>409</v>
      </c>
      <c r="B170" s="128">
        <v>10</v>
      </c>
      <c r="C170" s="129" t="s">
        <v>419</v>
      </c>
      <c r="D170" s="607" t="s">
        <v>171</v>
      </c>
      <c r="E170" s="582"/>
      <c r="F170" s="583"/>
      <c r="G170" s="125"/>
      <c r="H170" s="610"/>
    </row>
    <row r="171" spans="1:8" ht="15.75" customHeight="1">
      <c r="A171" s="125" t="s">
        <v>409</v>
      </c>
      <c r="B171" s="128">
        <v>11</v>
      </c>
      <c r="C171" s="125" t="s">
        <v>420</v>
      </c>
      <c r="D171" s="607" t="s">
        <v>169</v>
      </c>
      <c r="E171" s="582"/>
      <c r="F171" s="583"/>
      <c r="G171" s="131" t="s">
        <v>421</v>
      </c>
      <c r="H171" s="610"/>
    </row>
    <row r="172" spans="1:8" ht="15.75" customHeight="1">
      <c r="A172" s="125" t="s">
        <v>409</v>
      </c>
      <c r="B172" s="128">
        <v>12</v>
      </c>
      <c r="C172" s="127" t="s">
        <v>422</v>
      </c>
      <c r="D172" s="607" t="s">
        <v>169</v>
      </c>
      <c r="E172" s="582"/>
      <c r="F172" s="583"/>
      <c r="G172" s="125" t="s">
        <v>423</v>
      </c>
      <c r="H172" s="610"/>
    </row>
    <row r="173" spans="1:8" ht="15.75" customHeight="1">
      <c r="A173" s="125" t="s">
        <v>409</v>
      </c>
      <c r="B173" s="128">
        <v>13</v>
      </c>
      <c r="C173" s="130" t="s">
        <v>424</v>
      </c>
      <c r="D173" s="607" t="s">
        <v>171</v>
      </c>
      <c r="E173" s="582"/>
      <c r="F173" s="583"/>
      <c r="G173" s="125"/>
      <c r="H173" s="610"/>
    </row>
    <row r="174" spans="1:8" ht="15.75" customHeight="1">
      <c r="A174" s="125" t="s">
        <v>409</v>
      </c>
      <c r="B174" s="128">
        <v>14</v>
      </c>
      <c r="C174" s="130" t="s">
        <v>425</v>
      </c>
      <c r="D174" s="607" t="s">
        <v>171</v>
      </c>
      <c r="E174" s="582"/>
      <c r="F174" s="583"/>
      <c r="G174" s="125"/>
      <c r="H174" s="610"/>
    </row>
    <row r="175" spans="1:8" ht="15.75" customHeight="1">
      <c r="A175" s="125" t="s">
        <v>409</v>
      </c>
      <c r="B175" s="128">
        <v>15</v>
      </c>
      <c r="C175" s="129" t="s">
        <v>426</v>
      </c>
      <c r="D175" s="607" t="s">
        <v>171</v>
      </c>
      <c r="E175" s="582"/>
      <c r="F175" s="583"/>
      <c r="G175" s="125"/>
      <c r="H175" s="610"/>
    </row>
    <row r="176" spans="1:8" ht="15.75" customHeight="1">
      <c r="A176" s="125" t="s">
        <v>409</v>
      </c>
      <c r="B176" s="128">
        <v>16</v>
      </c>
      <c r="C176" s="129" t="s">
        <v>427</v>
      </c>
      <c r="D176" s="607" t="s">
        <v>171</v>
      </c>
      <c r="E176" s="582"/>
      <c r="F176" s="583"/>
      <c r="G176" s="125"/>
      <c r="H176" s="610"/>
    </row>
    <row r="177" spans="1:8" ht="15.75" customHeight="1">
      <c r="A177" s="125" t="s">
        <v>409</v>
      </c>
      <c r="B177" s="128">
        <v>17</v>
      </c>
      <c r="C177" s="127" t="s">
        <v>428</v>
      </c>
      <c r="D177" s="607" t="s">
        <v>172</v>
      </c>
      <c r="E177" s="582"/>
      <c r="F177" s="583"/>
      <c r="G177" s="125"/>
      <c r="H177" s="610"/>
    </row>
    <row r="178" spans="1:8" ht="15.75" customHeight="1">
      <c r="A178" s="125" t="s">
        <v>409</v>
      </c>
      <c r="B178" s="128">
        <v>18</v>
      </c>
      <c r="C178" s="129" t="s">
        <v>429</v>
      </c>
      <c r="D178" s="607" t="s">
        <v>171</v>
      </c>
      <c r="E178" s="582"/>
      <c r="F178" s="583"/>
      <c r="G178" s="125"/>
      <c r="H178" s="610"/>
    </row>
    <row r="179" spans="1:8" ht="15.75" customHeight="1">
      <c r="A179" s="125" t="s">
        <v>409</v>
      </c>
      <c r="B179" s="128">
        <v>19</v>
      </c>
      <c r="C179" s="127" t="s">
        <v>430</v>
      </c>
      <c r="D179" s="607" t="s">
        <v>169</v>
      </c>
      <c r="E179" s="582"/>
      <c r="F179" s="583"/>
      <c r="G179" s="132" t="s">
        <v>431</v>
      </c>
      <c r="H179" s="610"/>
    </row>
    <row r="180" spans="1:8" ht="15.75" customHeight="1">
      <c r="A180" s="125" t="s">
        <v>409</v>
      </c>
      <c r="B180" s="128">
        <v>20</v>
      </c>
      <c r="C180" s="127" t="s">
        <v>432</v>
      </c>
      <c r="D180" s="607" t="s">
        <v>171</v>
      </c>
      <c r="E180" s="582"/>
      <c r="F180" s="583"/>
      <c r="G180" s="125"/>
      <c r="H180" s="610"/>
    </row>
    <row r="181" spans="1:8" ht="15.75" customHeight="1">
      <c r="A181" s="125" t="s">
        <v>409</v>
      </c>
      <c r="B181" s="128">
        <v>21</v>
      </c>
      <c r="C181" s="129" t="s">
        <v>433</v>
      </c>
      <c r="D181" s="607" t="s">
        <v>171</v>
      </c>
      <c r="E181" s="582"/>
      <c r="F181" s="583"/>
      <c r="G181" s="125"/>
      <c r="H181" s="610"/>
    </row>
    <row r="182" spans="1:8" ht="15.75" customHeight="1">
      <c r="A182" s="125" t="s">
        <v>409</v>
      </c>
      <c r="B182" s="128">
        <v>22</v>
      </c>
      <c r="C182" s="129" t="s">
        <v>434</v>
      </c>
      <c r="D182" s="607" t="s">
        <v>171</v>
      </c>
      <c r="E182" s="582"/>
      <c r="F182" s="583"/>
      <c r="G182" s="125"/>
      <c r="H182" s="610"/>
    </row>
    <row r="183" spans="1:8" ht="15.75" customHeight="1">
      <c r="A183" s="125" t="s">
        <v>409</v>
      </c>
      <c r="B183" s="128">
        <v>23</v>
      </c>
      <c r="C183" s="127" t="s">
        <v>435</v>
      </c>
      <c r="D183" s="607" t="s">
        <v>171</v>
      </c>
      <c r="E183" s="582"/>
      <c r="F183" s="583"/>
      <c r="G183" s="125"/>
      <c r="H183" s="610"/>
    </row>
    <row r="184" spans="1:8" ht="15.75" customHeight="1">
      <c r="A184" s="125" t="s">
        <v>409</v>
      </c>
      <c r="B184" s="128">
        <v>24</v>
      </c>
      <c r="C184" s="129" t="s">
        <v>436</v>
      </c>
      <c r="D184" s="607" t="s">
        <v>171</v>
      </c>
      <c r="E184" s="582"/>
      <c r="F184" s="583"/>
      <c r="G184" s="125"/>
      <c r="H184" s="610"/>
    </row>
    <row r="185" spans="1:8" ht="15.75" customHeight="1">
      <c r="A185" s="125" t="s">
        <v>409</v>
      </c>
      <c r="B185" s="128">
        <v>25</v>
      </c>
      <c r="C185" s="129" t="s">
        <v>437</v>
      </c>
      <c r="D185" s="607" t="s">
        <v>171</v>
      </c>
      <c r="E185" s="582"/>
      <c r="F185" s="583"/>
      <c r="G185" s="125"/>
      <c r="H185" s="610"/>
    </row>
    <row r="186" spans="1:8" ht="15.75" customHeight="1">
      <c r="A186" s="125" t="s">
        <v>409</v>
      </c>
      <c r="B186" s="128">
        <v>26</v>
      </c>
      <c r="C186" s="127" t="s">
        <v>438</v>
      </c>
      <c r="D186" s="607" t="s">
        <v>172</v>
      </c>
      <c r="E186" s="582"/>
      <c r="F186" s="583"/>
      <c r="G186" s="125"/>
      <c r="H186" s="610"/>
    </row>
    <row r="187" spans="1:8" ht="15.75" customHeight="1">
      <c r="A187" s="125" t="s">
        <v>409</v>
      </c>
      <c r="B187" s="128">
        <v>27</v>
      </c>
      <c r="C187" s="127" t="s">
        <v>439</v>
      </c>
      <c r="D187" s="607" t="s">
        <v>169</v>
      </c>
      <c r="E187" s="582"/>
      <c r="F187" s="583"/>
      <c r="G187" s="133" t="s">
        <v>440</v>
      </c>
      <c r="H187" s="610"/>
    </row>
    <row r="188" spans="1:8" ht="15.75" customHeight="1">
      <c r="A188" s="125" t="s">
        <v>409</v>
      </c>
      <c r="B188" s="128">
        <v>28</v>
      </c>
      <c r="C188" s="127" t="s">
        <v>441</v>
      </c>
      <c r="D188" s="607" t="s">
        <v>172</v>
      </c>
      <c r="E188" s="582"/>
      <c r="F188" s="583"/>
      <c r="G188" s="125"/>
      <c r="H188" s="610"/>
    </row>
    <row r="189" spans="1:8" ht="15.75" customHeight="1">
      <c r="A189" s="125" t="s">
        <v>409</v>
      </c>
      <c r="B189" s="128">
        <v>29</v>
      </c>
      <c r="C189" s="127" t="s">
        <v>442</v>
      </c>
      <c r="D189" s="607" t="s">
        <v>171</v>
      </c>
      <c r="E189" s="582"/>
      <c r="F189" s="583"/>
      <c r="G189" s="125"/>
      <c r="H189" s="610"/>
    </row>
    <row r="190" spans="1:8" ht="15.75" customHeight="1">
      <c r="A190" s="125" t="s">
        <v>409</v>
      </c>
      <c r="B190" s="128">
        <v>30</v>
      </c>
      <c r="C190" s="127" t="s">
        <v>443</v>
      </c>
      <c r="D190" s="607" t="s">
        <v>171</v>
      </c>
      <c r="E190" s="582"/>
      <c r="F190" s="583"/>
      <c r="G190" s="125"/>
      <c r="H190" s="610"/>
    </row>
    <row r="191" spans="1:8" ht="15.75" customHeight="1">
      <c r="A191" s="125" t="s">
        <v>409</v>
      </c>
      <c r="B191" s="128">
        <v>31</v>
      </c>
      <c r="C191" s="127" t="s">
        <v>444</v>
      </c>
      <c r="D191" s="607" t="s">
        <v>171</v>
      </c>
      <c r="E191" s="582"/>
      <c r="F191" s="583"/>
      <c r="G191" s="125"/>
      <c r="H191" s="610"/>
    </row>
    <row r="192" spans="1:8" ht="15.75" customHeight="1">
      <c r="A192" s="125" t="s">
        <v>409</v>
      </c>
      <c r="B192" s="128">
        <v>32</v>
      </c>
      <c r="C192" s="127" t="s">
        <v>445</v>
      </c>
      <c r="D192" s="607" t="s">
        <v>171</v>
      </c>
      <c r="E192" s="582"/>
      <c r="F192" s="583"/>
      <c r="G192" s="125"/>
      <c r="H192" s="610"/>
    </row>
    <row r="193" spans="1:8" ht="15.75" customHeight="1">
      <c r="A193" s="125" t="s">
        <v>409</v>
      </c>
      <c r="B193" s="128">
        <v>33</v>
      </c>
      <c r="C193" s="129" t="s">
        <v>446</v>
      </c>
      <c r="D193" s="607" t="s">
        <v>171</v>
      </c>
      <c r="E193" s="582"/>
      <c r="F193" s="583"/>
      <c r="G193" s="125"/>
      <c r="H193" s="610"/>
    </row>
    <row r="194" spans="1:8" ht="15.75" customHeight="1">
      <c r="A194" s="125" t="s">
        <v>409</v>
      </c>
      <c r="B194" s="128">
        <v>34</v>
      </c>
      <c r="C194" s="127" t="s">
        <v>447</v>
      </c>
      <c r="D194" s="607" t="s">
        <v>169</v>
      </c>
      <c r="E194" s="582"/>
      <c r="F194" s="583"/>
      <c r="G194" s="133" t="s">
        <v>170</v>
      </c>
      <c r="H194" s="610"/>
    </row>
    <row r="195" spans="1:8" ht="15.75" customHeight="1">
      <c r="A195" s="125" t="s">
        <v>409</v>
      </c>
      <c r="B195" s="128">
        <v>35</v>
      </c>
      <c r="C195" s="129" t="s">
        <v>448</v>
      </c>
      <c r="D195" s="607" t="s">
        <v>171</v>
      </c>
      <c r="E195" s="582"/>
      <c r="F195" s="583"/>
      <c r="G195" s="125"/>
      <c r="H195" s="610"/>
    </row>
    <row r="196" spans="1:8" ht="15.75" customHeight="1">
      <c r="A196" s="125" t="s">
        <v>409</v>
      </c>
      <c r="B196" s="128">
        <v>36</v>
      </c>
      <c r="C196" s="130" t="s">
        <v>449</v>
      </c>
      <c r="D196" s="607" t="s">
        <v>169</v>
      </c>
      <c r="E196" s="582"/>
      <c r="F196" s="583"/>
      <c r="G196" s="133" t="s">
        <v>170</v>
      </c>
      <c r="H196" s="610"/>
    </row>
    <row r="197" spans="1:8" ht="15.75" customHeight="1">
      <c r="A197" s="125" t="s">
        <v>409</v>
      </c>
      <c r="B197" s="128">
        <v>37</v>
      </c>
      <c r="C197" s="127" t="s">
        <v>450</v>
      </c>
      <c r="D197" s="607" t="s">
        <v>169</v>
      </c>
      <c r="E197" s="582"/>
      <c r="F197" s="583"/>
      <c r="G197" s="133" t="s">
        <v>451</v>
      </c>
      <c r="H197" s="610"/>
    </row>
    <row r="198" spans="1:8" ht="15.75" customHeight="1">
      <c r="A198" s="125" t="s">
        <v>409</v>
      </c>
      <c r="B198" s="128">
        <v>38</v>
      </c>
      <c r="C198" s="129" t="s">
        <v>452</v>
      </c>
      <c r="D198" s="607" t="s">
        <v>171</v>
      </c>
      <c r="E198" s="582"/>
      <c r="F198" s="583"/>
      <c r="G198" s="125"/>
      <c r="H198" s="610"/>
    </row>
    <row r="199" spans="1:8" ht="15.75" customHeight="1">
      <c r="A199" s="125" t="s">
        <v>409</v>
      </c>
      <c r="B199" s="128">
        <v>39</v>
      </c>
      <c r="C199" s="127" t="s">
        <v>453</v>
      </c>
      <c r="D199" s="607" t="s">
        <v>172</v>
      </c>
      <c r="E199" s="582"/>
      <c r="F199" s="583"/>
      <c r="G199" s="125"/>
      <c r="H199" s="610"/>
    </row>
    <row r="200" spans="1:8" ht="15.75" customHeight="1">
      <c r="A200" s="127" t="s">
        <v>454</v>
      </c>
      <c r="B200" s="128">
        <v>1</v>
      </c>
      <c r="C200" s="127" t="s">
        <v>455</v>
      </c>
      <c r="D200" s="607" t="s">
        <v>171</v>
      </c>
      <c r="E200" s="582"/>
      <c r="F200" s="583"/>
      <c r="G200" s="125"/>
      <c r="H200" s="610"/>
    </row>
    <row r="201" spans="1:8" ht="15.75" customHeight="1">
      <c r="A201" s="127" t="s">
        <v>454</v>
      </c>
      <c r="B201" s="128">
        <v>2</v>
      </c>
      <c r="C201" s="129" t="s">
        <v>456</v>
      </c>
      <c r="D201" s="607" t="s">
        <v>171</v>
      </c>
      <c r="E201" s="582"/>
      <c r="F201" s="583"/>
      <c r="G201" s="125"/>
      <c r="H201" s="610"/>
    </row>
    <row r="202" spans="1:8" ht="15.75" customHeight="1">
      <c r="A202" s="127" t="s">
        <v>454</v>
      </c>
      <c r="B202" s="128">
        <v>3</v>
      </c>
      <c r="C202" s="127" t="s">
        <v>457</v>
      </c>
      <c r="D202" s="607" t="s">
        <v>172</v>
      </c>
      <c r="E202" s="582"/>
      <c r="F202" s="583"/>
      <c r="G202" s="125"/>
      <c r="H202" s="610"/>
    </row>
    <row r="203" spans="1:8" ht="15.75" customHeight="1">
      <c r="A203" s="127" t="s">
        <v>454</v>
      </c>
      <c r="B203" s="128">
        <v>4</v>
      </c>
      <c r="C203" s="129" t="s">
        <v>458</v>
      </c>
      <c r="D203" s="607" t="s">
        <v>171</v>
      </c>
      <c r="E203" s="582"/>
      <c r="F203" s="583"/>
      <c r="G203" s="125"/>
      <c r="H203" s="610"/>
    </row>
    <row r="204" spans="1:8" ht="15.75" customHeight="1">
      <c r="A204" s="127" t="s">
        <v>454</v>
      </c>
      <c r="B204" s="128">
        <v>5</v>
      </c>
      <c r="C204" s="129" t="s">
        <v>459</v>
      </c>
      <c r="D204" s="607" t="s">
        <v>171</v>
      </c>
      <c r="E204" s="582"/>
      <c r="F204" s="583"/>
      <c r="G204" s="125"/>
      <c r="H204" s="610"/>
    </row>
    <row r="205" spans="1:8" ht="15.75" customHeight="1">
      <c r="A205" s="127" t="s">
        <v>454</v>
      </c>
      <c r="B205" s="128">
        <v>6</v>
      </c>
      <c r="C205" s="127" t="s">
        <v>460</v>
      </c>
      <c r="D205" s="607" t="s">
        <v>172</v>
      </c>
      <c r="E205" s="582"/>
      <c r="F205" s="583"/>
      <c r="G205" s="125"/>
      <c r="H205" s="610"/>
    </row>
    <row r="206" spans="1:8" ht="15.75" customHeight="1">
      <c r="A206" s="127" t="s">
        <v>454</v>
      </c>
      <c r="B206" s="128">
        <v>7</v>
      </c>
      <c r="C206" s="127" t="s">
        <v>461</v>
      </c>
      <c r="D206" s="607" t="s">
        <v>172</v>
      </c>
      <c r="E206" s="582"/>
      <c r="F206" s="583"/>
      <c r="G206" s="125"/>
      <c r="H206" s="610"/>
    </row>
    <row r="207" spans="1:8" ht="15.75" customHeight="1">
      <c r="A207" s="127" t="s">
        <v>454</v>
      </c>
      <c r="B207" s="128">
        <v>8</v>
      </c>
      <c r="C207" s="127" t="s">
        <v>462</v>
      </c>
      <c r="D207" s="607" t="s">
        <v>172</v>
      </c>
      <c r="E207" s="582"/>
      <c r="F207" s="583"/>
      <c r="G207" s="125"/>
      <c r="H207" s="610"/>
    </row>
    <row r="208" spans="1:8" ht="15.75" customHeight="1">
      <c r="A208" s="127" t="s">
        <v>454</v>
      </c>
      <c r="B208" s="128">
        <v>9</v>
      </c>
      <c r="C208" s="127" t="s">
        <v>463</v>
      </c>
      <c r="D208" s="607" t="s">
        <v>172</v>
      </c>
      <c r="E208" s="582"/>
      <c r="F208" s="583"/>
      <c r="G208" s="125"/>
      <c r="H208" s="610"/>
    </row>
    <row r="209" spans="1:8" ht="12.75" customHeight="1">
      <c r="A209" s="633" t="s">
        <v>464</v>
      </c>
      <c r="B209" s="604"/>
      <c r="C209" s="644">
        <f>COUNTIFS($A160:$A208,"*",$C160:$C208,"*",$D160:$D208,"*")</f>
        <v>49</v>
      </c>
      <c r="D209" s="134" t="s">
        <v>176</v>
      </c>
      <c r="E209" s="134" t="s">
        <v>177</v>
      </c>
      <c r="F209" s="135" t="s">
        <v>178</v>
      </c>
      <c r="G209" s="136"/>
      <c r="H209" s="610"/>
    </row>
    <row r="210" spans="1:8" ht="15.75" customHeight="1">
      <c r="A210" s="615"/>
      <c r="B210" s="616"/>
      <c r="C210" s="645"/>
      <c r="D210" s="123">
        <f>COUNTIFS($A160:$A208,"*",$C160:$C208,"*",$D160:$D208, "Employed")</f>
        <v>7</v>
      </c>
      <c r="E210" s="123">
        <f>COUNTIFS($A160:$A208,"*",$C160:$C208,"*",$D160:$D208, "Unemployed")</f>
        <v>29</v>
      </c>
      <c r="F210" s="123">
        <f>COUNTIFS($A160:$A208,"*",$C160:$C208,"*",$D160:$D208, "Not Tracked")</f>
        <v>13</v>
      </c>
      <c r="G210" s="124"/>
      <c r="H210" s="610"/>
    </row>
    <row r="211" spans="1:8" ht="12.75" customHeight="1">
      <c r="A211" s="646"/>
      <c r="B211" s="647"/>
      <c r="C211" s="647"/>
      <c r="D211" s="647"/>
      <c r="E211" s="647"/>
      <c r="F211" s="648"/>
      <c r="G211" s="137" t="s">
        <v>152</v>
      </c>
      <c r="H211" s="64"/>
    </row>
    <row r="212" spans="1:8" ht="15.75" customHeight="1">
      <c r="A212" s="634" t="s">
        <v>465</v>
      </c>
      <c r="B212" s="635"/>
      <c r="C212" s="637">
        <f>SUM(D213:F213)</f>
        <v>182</v>
      </c>
      <c r="D212" s="138" t="s">
        <v>176</v>
      </c>
      <c r="E212" s="138" t="s">
        <v>177</v>
      </c>
      <c r="F212" s="138" t="s">
        <v>178</v>
      </c>
      <c r="G212" s="649">
        <f>D213/C212</f>
        <v>0.45054945054945056</v>
      </c>
      <c r="H212" s="64"/>
    </row>
    <row r="213" spans="1:8" ht="17.25" customHeight="1">
      <c r="A213" s="615"/>
      <c r="B213" s="636"/>
      <c r="C213" s="638"/>
      <c r="D213" s="139">
        <f>COUNTIFS($A23:$A210,"*",$C23:$C210,"*",$D23:$D210, "Employed")</f>
        <v>82</v>
      </c>
      <c r="E213" s="139">
        <f>COUNTIFS($A23:$A210,"*",$C23:$C210,"*",$D23:$D210, "Unemployed")</f>
        <v>52</v>
      </c>
      <c r="F213" s="139">
        <f>COUNTIFS($A23:$A210,"*",$C23:$C210,"*",$D23:$D210, "Not Tracked")</f>
        <v>48</v>
      </c>
      <c r="G213" s="650"/>
      <c r="H213" s="64"/>
    </row>
    <row r="214" spans="1:8" ht="15.75" customHeight="1">
      <c r="A214" s="64"/>
      <c r="B214" s="64"/>
      <c r="C214" s="64"/>
      <c r="D214" s="64"/>
      <c r="E214" s="64"/>
      <c r="F214" s="64"/>
      <c r="G214" s="64"/>
      <c r="H214" s="64"/>
    </row>
    <row r="215" spans="1:8" ht="15.75" customHeight="1">
      <c r="A215" s="65" t="s">
        <v>153</v>
      </c>
      <c r="B215" s="65"/>
      <c r="C215" s="64"/>
      <c r="D215" s="64"/>
      <c r="E215" s="64"/>
      <c r="F215" s="64"/>
      <c r="G215" s="64"/>
      <c r="H215" s="64"/>
    </row>
    <row r="216" spans="1:8" ht="15.75" customHeight="1">
      <c r="A216" s="65"/>
      <c r="B216" s="65"/>
      <c r="C216" s="64"/>
      <c r="D216" s="64"/>
      <c r="E216" s="64"/>
      <c r="F216" s="64"/>
      <c r="G216" s="64"/>
      <c r="H216" s="64"/>
    </row>
    <row r="217" spans="1:8" ht="15.75" customHeight="1">
      <c r="A217" s="140"/>
      <c r="B217" s="141"/>
      <c r="C217" s="69"/>
      <c r="D217" s="64"/>
      <c r="E217" s="64"/>
      <c r="F217" s="64"/>
      <c r="G217" s="64"/>
      <c r="H217" s="69"/>
    </row>
    <row r="218" spans="1:8" ht="15.75" customHeight="1">
      <c r="A218" s="71" t="s">
        <v>466</v>
      </c>
      <c r="B218" s="141"/>
      <c r="C218" s="72">
        <v>45348</v>
      </c>
      <c r="D218" s="64"/>
      <c r="E218" s="64"/>
      <c r="F218" s="64"/>
      <c r="G218" s="64"/>
      <c r="H218" s="69"/>
    </row>
    <row r="219" spans="1:8" ht="15.75" customHeight="1">
      <c r="A219" s="77" t="s">
        <v>467</v>
      </c>
      <c r="B219" s="141"/>
      <c r="C219" s="142" t="s">
        <v>156</v>
      </c>
      <c r="D219" s="64"/>
      <c r="E219" s="64"/>
      <c r="F219" s="64"/>
      <c r="G219" s="64"/>
      <c r="H219" s="69"/>
    </row>
    <row r="220" spans="1:8" ht="15.75" customHeight="1">
      <c r="A220" s="64"/>
      <c r="B220" s="141"/>
      <c r="C220" s="77"/>
      <c r="D220" s="64"/>
      <c r="E220" s="64"/>
      <c r="F220" s="64"/>
      <c r="G220" s="64"/>
      <c r="H220" s="77"/>
    </row>
    <row r="221" spans="1:8" ht="15.75" customHeight="1">
      <c r="A221" s="64"/>
      <c r="B221" s="141"/>
      <c r="C221" s="77"/>
      <c r="D221" s="64"/>
      <c r="E221" s="64"/>
      <c r="F221" s="64"/>
      <c r="G221" s="64"/>
      <c r="H221" s="64"/>
    </row>
    <row r="222" spans="1:8" ht="15.75" customHeight="1">
      <c r="A222" s="64" t="s">
        <v>468</v>
      </c>
      <c r="B222" s="141"/>
      <c r="C222" s="77"/>
      <c r="D222" s="64"/>
      <c r="E222" s="64"/>
      <c r="F222" s="64"/>
      <c r="G222" s="64"/>
      <c r="H222" s="64"/>
    </row>
    <row r="223" spans="1:8" ht="15.75" customHeight="1">
      <c r="A223" s="64"/>
      <c r="B223" s="141"/>
      <c r="C223" s="77"/>
      <c r="D223" s="64"/>
      <c r="E223" s="64"/>
      <c r="F223" s="64"/>
      <c r="G223" s="64"/>
      <c r="H223" s="64"/>
    </row>
    <row r="224" spans="1:8" ht="15.75" customHeight="1">
      <c r="A224" s="140"/>
      <c r="B224" s="141"/>
      <c r="C224" s="69"/>
      <c r="D224" s="143"/>
      <c r="E224" s="64"/>
      <c r="F224" s="64"/>
      <c r="G224" s="64"/>
      <c r="H224" s="64"/>
    </row>
    <row r="225" spans="1:8" ht="15.75" customHeight="1">
      <c r="A225" s="144" t="s">
        <v>158</v>
      </c>
      <c r="B225" s="141"/>
      <c r="C225" s="72">
        <v>45348</v>
      </c>
      <c r="D225" s="143"/>
      <c r="E225" s="64"/>
      <c r="F225" s="64"/>
      <c r="G225" s="64"/>
      <c r="H225" s="64"/>
    </row>
    <row r="226" spans="1:8" ht="15.75" customHeight="1">
      <c r="A226" s="77" t="s">
        <v>159</v>
      </c>
      <c r="B226" s="141"/>
      <c r="C226" s="142" t="s">
        <v>156</v>
      </c>
      <c r="D226" s="64"/>
      <c r="E226" s="64"/>
      <c r="F226" s="64"/>
      <c r="G226" s="64"/>
      <c r="H226" s="64"/>
    </row>
    <row r="227" spans="1:8" ht="15.75" customHeight="1"/>
    <row r="228" spans="1:8" ht="15.75" customHeight="1"/>
    <row r="229" spans="1:8" ht="15.75" customHeight="1"/>
    <row r="230" spans="1:8" ht="15.75" customHeight="1"/>
    <row r="231" spans="1:8" ht="15.75" customHeight="1"/>
    <row r="232" spans="1:8" ht="15.75" customHeight="1"/>
    <row r="233" spans="1:8" ht="15.75" customHeight="1"/>
    <row r="234" spans="1:8" ht="15.75" customHeight="1"/>
    <row r="235" spans="1:8" ht="15.75" customHeight="1"/>
    <row r="236" spans="1:8" ht="15.75" customHeight="1"/>
    <row r="237" spans="1:8" ht="15.75" customHeight="1"/>
    <row r="238" spans="1:8" ht="15.75" customHeight="1"/>
    <row r="239" spans="1:8" ht="15.75" customHeight="1"/>
    <row r="240" spans="1:8"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8">
    <mergeCell ref="D109:F109"/>
    <mergeCell ref="D110:F110"/>
    <mergeCell ref="D111:F111"/>
    <mergeCell ref="D112:F112"/>
    <mergeCell ref="D113:F113"/>
    <mergeCell ref="D114:F114"/>
    <mergeCell ref="D115:F115"/>
    <mergeCell ref="A209:B210"/>
    <mergeCell ref="A212:B213"/>
    <mergeCell ref="C212:C213"/>
    <mergeCell ref="D116:F116"/>
    <mergeCell ref="D117:F117"/>
    <mergeCell ref="A157:B158"/>
    <mergeCell ref="C157:C158"/>
    <mergeCell ref="A159:G159"/>
    <mergeCell ref="C209:C210"/>
    <mergeCell ref="A211:F211"/>
    <mergeCell ref="G212:G213"/>
    <mergeCell ref="D100:F100"/>
    <mergeCell ref="D101:F101"/>
    <mergeCell ref="D102:F102"/>
    <mergeCell ref="D103:F103"/>
    <mergeCell ref="D104:F104"/>
    <mergeCell ref="D105:F105"/>
    <mergeCell ref="D106:F106"/>
    <mergeCell ref="D107:F107"/>
    <mergeCell ref="D108:F108"/>
    <mergeCell ref="D91:F91"/>
    <mergeCell ref="D92:F92"/>
    <mergeCell ref="D93:F93"/>
    <mergeCell ref="D94:F94"/>
    <mergeCell ref="D95:F95"/>
    <mergeCell ref="D96:F96"/>
    <mergeCell ref="D97:F97"/>
    <mergeCell ref="D98:F98"/>
    <mergeCell ref="D99:F99"/>
    <mergeCell ref="D82:F82"/>
    <mergeCell ref="D83:F83"/>
    <mergeCell ref="D84:F84"/>
    <mergeCell ref="D85:F85"/>
    <mergeCell ref="D86:F86"/>
    <mergeCell ref="D87:F87"/>
    <mergeCell ref="D88:F88"/>
    <mergeCell ref="D89:F89"/>
    <mergeCell ref="D90:F90"/>
    <mergeCell ref="D73:F73"/>
    <mergeCell ref="D74:F74"/>
    <mergeCell ref="D75:F75"/>
    <mergeCell ref="D76:F76"/>
    <mergeCell ref="D77:F77"/>
    <mergeCell ref="D78:F78"/>
    <mergeCell ref="D79:F79"/>
    <mergeCell ref="D80:F80"/>
    <mergeCell ref="D81:F81"/>
    <mergeCell ref="D64:F64"/>
    <mergeCell ref="D65:F65"/>
    <mergeCell ref="D66:F66"/>
    <mergeCell ref="D67:F67"/>
    <mergeCell ref="D68:F68"/>
    <mergeCell ref="D69:F69"/>
    <mergeCell ref="D70:F70"/>
    <mergeCell ref="D71:F71"/>
    <mergeCell ref="D72:F72"/>
    <mergeCell ref="D55:F55"/>
    <mergeCell ref="D56:F56"/>
    <mergeCell ref="D57:F57"/>
    <mergeCell ref="D58:F58"/>
    <mergeCell ref="D59:F59"/>
    <mergeCell ref="D60:F60"/>
    <mergeCell ref="D61:F61"/>
    <mergeCell ref="D62:F62"/>
    <mergeCell ref="D63:F63"/>
    <mergeCell ref="D46:F46"/>
    <mergeCell ref="D47:F47"/>
    <mergeCell ref="D48:F48"/>
    <mergeCell ref="D49:F49"/>
    <mergeCell ref="D50:F50"/>
    <mergeCell ref="D51:F51"/>
    <mergeCell ref="D52:F52"/>
    <mergeCell ref="D53:F53"/>
    <mergeCell ref="D54:F54"/>
    <mergeCell ref="D37:F37"/>
    <mergeCell ref="D38:F38"/>
    <mergeCell ref="D39:F39"/>
    <mergeCell ref="D40:F40"/>
    <mergeCell ref="D41:F41"/>
    <mergeCell ref="D42:F42"/>
    <mergeCell ref="D43:F43"/>
    <mergeCell ref="D44:F44"/>
    <mergeCell ref="D45:F45"/>
    <mergeCell ref="D28:F28"/>
    <mergeCell ref="D29:F29"/>
    <mergeCell ref="D30:F30"/>
    <mergeCell ref="D31:F31"/>
    <mergeCell ref="D32:F32"/>
    <mergeCell ref="D33:F33"/>
    <mergeCell ref="D34:F34"/>
    <mergeCell ref="D35:F35"/>
    <mergeCell ref="D36:F36"/>
    <mergeCell ref="A18:B19"/>
    <mergeCell ref="C18:C19"/>
    <mergeCell ref="A21:B21"/>
    <mergeCell ref="D21:F21"/>
    <mergeCell ref="A22:B22"/>
    <mergeCell ref="D22:F22"/>
    <mergeCell ref="A23:G23"/>
    <mergeCell ref="A9:H9"/>
    <mergeCell ref="A10:B10"/>
    <mergeCell ref="D10:F10"/>
    <mergeCell ref="A11:B11"/>
    <mergeCell ref="D11:F11"/>
    <mergeCell ref="A12:G12"/>
    <mergeCell ref="H12:H19"/>
    <mergeCell ref="B1:H1"/>
    <mergeCell ref="B2:H2"/>
    <mergeCell ref="B3:H3"/>
    <mergeCell ref="B4:H4"/>
    <mergeCell ref="B5:H5"/>
    <mergeCell ref="B6:H6"/>
    <mergeCell ref="B7:H7"/>
    <mergeCell ref="D13:F13"/>
    <mergeCell ref="D14:F14"/>
    <mergeCell ref="D207:F207"/>
    <mergeCell ref="D208:F208"/>
    <mergeCell ref="D15:F15"/>
    <mergeCell ref="D16:F16"/>
    <mergeCell ref="H23:H210"/>
    <mergeCell ref="D24:F24"/>
    <mergeCell ref="D25:F25"/>
    <mergeCell ref="D26:F26"/>
    <mergeCell ref="D27:F27"/>
    <mergeCell ref="D193:F193"/>
    <mergeCell ref="D194:F194"/>
    <mergeCell ref="D195:F195"/>
    <mergeCell ref="D196:F196"/>
    <mergeCell ref="D197:F197"/>
    <mergeCell ref="D198:F198"/>
    <mergeCell ref="D199:F199"/>
    <mergeCell ref="D200:F200"/>
    <mergeCell ref="D201:F201"/>
    <mergeCell ref="D202:F202"/>
    <mergeCell ref="D203:F203"/>
    <mergeCell ref="D204:F204"/>
    <mergeCell ref="D205:F205"/>
    <mergeCell ref="D206:F206"/>
    <mergeCell ref="D17:F17"/>
    <mergeCell ref="D186:F186"/>
    <mergeCell ref="D187:F187"/>
    <mergeCell ref="D188:F188"/>
    <mergeCell ref="D189:F189"/>
    <mergeCell ref="D190:F190"/>
    <mergeCell ref="D191:F191"/>
    <mergeCell ref="D192:F192"/>
    <mergeCell ref="D156:F156"/>
    <mergeCell ref="D160:F160"/>
    <mergeCell ref="D177:F177"/>
    <mergeCell ref="D178:F178"/>
    <mergeCell ref="D179:F179"/>
    <mergeCell ref="D180:F180"/>
    <mergeCell ref="D181:F181"/>
    <mergeCell ref="D182:F182"/>
    <mergeCell ref="D183:F183"/>
    <mergeCell ref="D184:F184"/>
    <mergeCell ref="D185:F185"/>
    <mergeCell ref="D168:F168"/>
    <mergeCell ref="D169:F169"/>
    <mergeCell ref="D170:F170"/>
    <mergeCell ref="D171:F171"/>
    <mergeCell ref="D172:F172"/>
    <mergeCell ref="D173:F173"/>
    <mergeCell ref="D174:F174"/>
    <mergeCell ref="D175:F175"/>
    <mergeCell ref="D176:F176"/>
    <mergeCell ref="D154:F154"/>
    <mergeCell ref="D155:F155"/>
    <mergeCell ref="D161:F161"/>
    <mergeCell ref="D162:F162"/>
    <mergeCell ref="D163:F163"/>
    <mergeCell ref="D164:F164"/>
    <mergeCell ref="D165:F165"/>
    <mergeCell ref="D166:F166"/>
    <mergeCell ref="D167:F167"/>
    <mergeCell ref="D145:F145"/>
    <mergeCell ref="D146:F146"/>
    <mergeCell ref="D147:F147"/>
    <mergeCell ref="D148:F148"/>
    <mergeCell ref="D149:F149"/>
    <mergeCell ref="D150:F150"/>
    <mergeCell ref="D151:F151"/>
    <mergeCell ref="D152:F152"/>
    <mergeCell ref="D153:F153"/>
    <mergeCell ref="D136:F136"/>
    <mergeCell ref="D137:F137"/>
    <mergeCell ref="D138:F138"/>
    <mergeCell ref="D139:F139"/>
    <mergeCell ref="D140:F140"/>
    <mergeCell ref="D141:F141"/>
    <mergeCell ref="D142:F142"/>
    <mergeCell ref="D143:F143"/>
    <mergeCell ref="D144:F144"/>
    <mergeCell ref="D127:F127"/>
    <mergeCell ref="D128:F128"/>
    <mergeCell ref="D129:F129"/>
    <mergeCell ref="D130:F130"/>
    <mergeCell ref="D131:F131"/>
    <mergeCell ref="D132:F132"/>
    <mergeCell ref="D133:F133"/>
    <mergeCell ref="D134:F134"/>
    <mergeCell ref="D135:F135"/>
    <mergeCell ref="D118:F118"/>
    <mergeCell ref="D119:F119"/>
    <mergeCell ref="D120:F120"/>
    <mergeCell ref="D121:F121"/>
    <mergeCell ref="D122:F122"/>
    <mergeCell ref="D123:F123"/>
    <mergeCell ref="D124:F124"/>
    <mergeCell ref="D125:F125"/>
    <mergeCell ref="D126:F126"/>
  </mergeCells>
  <printOptions horizontalCentered="1"/>
  <pageMargins left="0.7" right="0.7" top="0.75" bottom="0.75" header="0" footer="0"/>
  <pageSetup fitToHeight="0" pageOrder="overThenDown"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C4587"/>
    <pageSetUpPr fitToPage="1"/>
  </sheetPr>
  <dimension ref="A1:E1000"/>
  <sheetViews>
    <sheetView topLeftCell="A22" workbookViewId="0">
      <selection activeCell="C2" sqref="C2:E2"/>
    </sheetView>
  </sheetViews>
  <sheetFormatPr defaultColWidth="12.5703125" defaultRowHeight="15" customHeight="1"/>
  <cols>
    <col min="1" max="1" width="2.7109375" customWidth="1"/>
    <col min="2" max="2" width="47.140625" customWidth="1"/>
    <col min="3" max="4" width="14.7109375" customWidth="1"/>
    <col min="5" max="5" width="39.28515625" customWidth="1"/>
    <col min="6" max="6" width="12.5703125" customWidth="1"/>
  </cols>
  <sheetData>
    <row r="1" spans="1:5" ht="15.75" customHeight="1">
      <c r="A1" s="10"/>
      <c r="B1" s="145" t="s">
        <v>105</v>
      </c>
      <c r="C1" s="584" t="s">
        <v>106</v>
      </c>
      <c r="D1" s="585"/>
      <c r="E1" s="586"/>
    </row>
    <row r="2" spans="1:5" ht="15.75" customHeight="1">
      <c r="A2" s="12"/>
      <c r="B2" s="13" t="s">
        <v>107</v>
      </c>
      <c r="C2" s="587" t="s">
        <v>8</v>
      </c>
      <c r="D2" s="588"/>
      <c r="E2" s="589"/>
    </row>
    <row r="3" spans="1:5" ht="27.75" customHeight="1">
      <c r="A3" s="14"/>
      <c r="B3" s="15" t="s">
        <v>108</v>
      </c>
      <c r="C3" s="590" t="s">
        <v>469</v>
      </c>
      <c r="D3" s="588"/>
      <c r="E3" s="589"/>
    </row>
    <row r="4" spans="1:5" ht="103.5" customHeight="1">
      <c r="A4" s="17"/>
      <c r="B4" s="13" t="s">
        <v>110</v>
      </c>
      <c r="C4" s="590" t="s">
        <v>470</v>
      </c>
      <c r="D4" s="588"/>
      <c r="E4" s="589"/>
    </row>
    <row r="5" spans="1:5" ht="66" customHeight="1">
      <c r="A5" s="12"/>
      <c r="B5" s="13" t="s">
        <v>112</v>
      </c>
      <c r="C5" s="590" t="str">
        <f>'Reference Matrix'!$E8</f>
        <v>References in determining the disciplines/programs identified as priority offerings:
a. CMO No. 5, s. 2019
b. CMO No. 10, s. 2021
c. CMO No. 7, s. 2023
d. RDC Resolutions</v>
      </c>
      <c r="D5" s="588"/>
      <c r="E5" s="589"/>
    </row>
    <row r="6" spans="1:5" ht="103.5" customHeight="1">
      <c r="A6" s="12"/>
      <c r="B6" s="13" t="s">
        <v>113</v>
      </c>
      <c r="C6" s="590" t="str">
        <f>'Reference Matrix'!$F8</f>
        <v>1. Duly certified enrollment report for the 1st Semester of AY 2023-2024 per campus
2. Summary of Enrolment by identified priority undergraduate programs, and all other programs per campus
3. CHED-identified priority programs listed in CHED Memorandum Order (CMO) No. 5, s. 2019 and CMO No. 10, s. 2021
4. For programs considered priority outside those identified by CHED, submit certification, resolution from RDC or similar Government Councils, etc.</v>
      </c>
      <c r="D6" s="588"/>
      <c r="E6" s="589"/>
    </row>
    <row r="7" spans="1:5" ht="15.75" customHeight="1">
      <c r="A7" s="18"/>
      <c r="B7" s="19" t="s">
        <v>114</v>
      </c>
      <c r="C7" s="591" t="s">
        <v>115</v>
      </c>
      <c r="D7" s="592"/>
      <c r="E7" s="593"/>
    </row>
    <row r="8" spans="1:5" ht="15.75" customHeight="1">
      <c r="A8" s="20"/>
      <c r="B8" s="20"/>
      <c r="C8" s="590"/>
      <c r="D8" s="588"/>
      <c r="E8" s="588"/>
    </row>
    <row r="9" spans="1:5" ht="15.75" customHeight="1">
      <c r="A9" s="601" t="s">
        <v>116</v>
      </c>
      <c r="B9" s="576"/>
      <c r="C9" s="576"/>
      <c r="D9" s="576"/>
      <c r="E9" s="577"/>
    </row>
    <row r="10" spans="1:5" ht="15.75" customHeight="1">
      <c r="A10" s="602">
        <v>1</v>
      </c>
      <c r="B10" s="595"/>
      <c r="C10" s="651">
        <v>2</v>
      </c>
      <c r="D10" s="595"/>
      <c r="E10" s="23">
        <v>3</v>
      </c>
    </row>
    <row r="11" spans="1:5" ht="15.75" customHeight="1">
      <c r="A11" s="603" t="s">
        <v>117</v>
      </c>
      <c r="B11" s="604"/>
      <c r="C11" s="654" t="s">
        <v>471</v>
      </c>
      <c r="D11" s="583"/>
      <c r="E11" s="655" t="s">
        <v>121</v>
      </c>
    </row>
    <row r="12" spans="1:5" ht="15.75" customHeight="1">
      <c r="A12" s="652"/>
      <c r="B12" s="653"/>
      <c r="C12" s="146" t="s">
        <v>472</v>
      </c>
      <c r="D12" s="146" t="s">
        <v>473</v>
      </c>
      <c r="E12" s="631"/>
    </row>
    <row r="13" spans="1:5" ht="15.75" customHeight="1">
      <c r="A13" s="605" t="s">
        <v>122</v>
      </c>
      <c r="B13" s="585"/>
      <c r="C13" s="585"/>
      <c r="D13" s="595"/>
      <c r="E13" s="606" t="s">
        <v>474</v>
      </c>
    </row>
    <row r="14" spans="1:5" ht="15.75" customHeight="1">
      <c r="A14" s="27">
        <v>1</v>
      </c>
      <c r="B14" s="28" t="s">
        <v>123</v>
      </c>
      <c r="C14" s="30"/>
      <c r="D14" s="30">
        <v>85</v>
      </c>
      <c r="E14" s="589"/>
    </row>
    <row r="15" spans="1:5" ht="15.75" customHeight="1">
      <c r="A15" s="31">
        <v>2</v>
      </c>
      <c r="B15" s="32" t="s">
        <v>125</v>
      </c>
      <c r="C15" s="30">
        <v>165</v>
      </c>
      <c r="D15" s="30"/>
      <c r="E15" s="589"/>
    </row>
    <row r="16" spans="1:5" ht="15.75" customHeight="1">
      <c r="A16" s="31">
        <v>3</v>
      </c>
      <c r="B16" s="32" t="s">
        <v>126</v>
      </c>
      <c r="C16" s="30">
        <v>134</v>
      </c>
      <c r="D16" s="30"/>
      <c r="E16" s="589"/>
    </row>
    <row r="17" spans="1:5" ht="15.75" customHeight="1">
      <c r="A17" s="31">
        <v>4</v>
      </c>
      <c r="B17" s="32" t="s">
        <v>475</v>
      </c>
      <c r="C17" s="30">
        <v>199</v>
      </c>
      <c r="D17" s="30"/>
      <c r="E17" s="589"/>
    </row>
    <row r="18" spans="1:5" ht="15.75" customHeight="1">
      <c r="A18" s="31">
        <v>5</v>
      </c>
      <c r="B18" s="32" t="s">
        <v>127</v>
      </c>
      <c r="C18" s="30">
        <v>223</v>
      </c>
      <c r="D18" s="30"/>
      <c r="E18" s="589"/>
    </row>
    <row r="19" spans="1:5" ht="15.75" customHeight="1">
      <c r="A19" s="33">
        <v>6</v>
      </c>
      <c r="B19" s="34" t="s">
        <v>128</v>
      </c>
      <c r="C19" s="36">
        <v>321</v>
      </c>
      <c r="D19" s="36"/>
      <c r="E19" s="580"/>
    </row>
    <row r="20" spans="1:5" ht="15.75" customHeight="1">
      <c r="A20" s="20"/>
      <c r="B20" s="20"/>
      <c r="C20" s="590"/>
      <c r="D20" s="588"/>
      <c r="E20" s="588"/>
    </row>
    <row r="21" spans="1:5" ht="15.75" customHeight="1">
      <c r="A21" s="594">
        <v>1</v>
      </c>
      <c r="B21" s="595"/>
      <c r="C21" s="656">
        <v>2</v>
      </c>
      <c r="D21" s="595"/>
      <c r="E21" s="39">
        <v>3</v>
      </c>
    </row>
    <row r="22" spans="1:5" ht="15.75" customHeight="1">
      <c r="A22" s="661" t="s">
        <v>117</v>
      </c>
      <c r="B22" s="604"/>
      <c r="C22" s="657" t="s">
        <v>471</v>
      </c>
      <c r="D22" s="640"/>
      <c r="E22" s="658" t="s">
        <v>121</v>
      </c>
    </row>
    <row r="23" spans="1:5" ht="15.75" customHeight="1">
      <c r="A23" s="652"/>
      <c r="B23" s="653"/>
      <c r="C23" s="148" t="s">
        <v>472</v>
      </c>
      <c r="D23" s="149" t="s">
        <v>473</v>
      </c>
      <c r="E23" s="631"/>
    </row>
    <row r="24" spans="1:5" ht="16.5" customHeight="1">
      <c r="A24" s="598" t="s">
        <v>476</v>
      </c>
      <c r="B24" s="585"/>
      <c r="C24" s="585"/>
      <c r="D24" s="595"/>
      <c r="E24" s="662"/>
    </row>
    <row r="25" spans="1:5" ht="15.75" customHeight="1">
      <c r="A25" s="150">
        <v>1</v>
      </c>
      <c r="B25" s="43" t="s">
        <v>128</v>
      </c>
      <c r="C25" s="151">
        <v>431</v>
      </c>
      <c r="D25" s="151"/>
      <c r="E25" s="610"/>
    </row>
    <row r="26" spans="1:5" ht="15.75" customHeight="1">
      <c r="A26" s="150">
        <v>2</v>
      </c>
      <c r="B26" s="43" t="s">
        <v>477</v>
      </c>
      <c r="C26" s="151">
        <v>144</v>
      </c>
      <c r="D26" s="151"/>
      <c r="E26" s="610"/>
    </row>
    <row r="27" spans="1:5" ht="15.75" customHeight="1">
      <c r="A27" s="150">
        <v>3</v>
      </c>
      <c r="B27" s="43" t="s">
        <v>478</v>
      </c>
      <c r="C27" s="151">
        <v>161</v>
      </c>
      <c r="D27" s="151"/>
      <c r="E27" s="610"/>
    </row>
    <row r="28" spans="1:5" ht="15.75" customHeight="1">
      <c r="A28" s="150">
        <v>4</v>
      </c>
      <c r="B28" s="43" t="s">
        <v>137</v>
      </c>
      <c r="C28" s="151">
        <v>94</v>
      </c>
      <c r="D28" s="151"/>
      <c r="E28" s="610"/>
    </row>
    <row r="29" spans="1:5" ht="15.75" customHeight="1">
      <c r="A29" s="150">
        <v>5</v>
      </c>
      <c r="B29" s="43" t="s">
        <v>140</v>
      </c>
      <c r="C29" s="151">
        <v>161</v>
      </c>
      <c r="D29" s="151"/>
      <c r="E29" s="610"/>
    </row>
    <row r="30" spans="1:5" ht="15.75" customHeight="1">
      <c r="A30" s="150">
        <v>6</v>
      </c>
      <c r="B30" s="43" t="s">
        <v>479</v>
      </c>
      <c r="C30" s="151">
        <v>1673</v>
      </c>
      <c r="D30" s="151"/>
      <c r="E30" s="610"/>
    </row>
    <row r="31" spans="1:5" ht="15.75" customHeight="1">
      <c r="A31" s="150">
        <v>7</v>
      </c>
      <c r="B31" s="43" t="s">
        <v>480</v>
      </c>
      <c r="C31" s="151">
        <v>729</v>
      </c>
      <c r="D31" s="151"/>
      <c r="E31" s="610"/>
    </row>
    <row r="32" spans="1:5" ht="15.75" customHeight="1">
      <c r="A32" s="150">
        <v>8</v>
      </c>
      <c r="B32" s="43" t="s">
        <v>481</v>
      </c>
      <c r="C32" s="151">
        <v>248</v>
      </c>
      <c r="D32" s="151"/>
      <c r="E32" s="610"/>
    </row>
    <row r="33" spans="1:5" ht="15.75" customHeight="1">
      <c r="A33" s="150">
        <v>9</v>
      </c>
      <c r="B33" s="43" t="s">
        <v>142</v>
      </c>
      <c r="C33" s="151">
        <v>306</v>
      </c>
      <c r="D33" s="151"/>
      <c r="E33" s="610"/>
    </row>
    <row r="34" spans="1:5" ht="15.75" customHeight="1">
      <c r="A34" s="150">
        <v>10</v>
      </c>
      <c r="B34" s="43" t="s">
        <v>482</v>
      </c>
      <c r="C34" s="151">
        <v>103</v>
      </c>
      <c r="D34" s="151"/>
      <c r="E34" s="610"/>
    </row>
    <row r="35" spans="1:5" ht="15.75" customHeight="1">
      <c r="A35" s="150">
        <v>11</v>
      </c>
      <c r="B35" s="43" t="s">
        <v>483</v>
      </c>
      <c r="C35" s="151">
        <v>103</v>
      </c>
      <c r="D35" s="151"/>
      <c r="E35" s="610"/>
    </row>
    <row r="36" spans="1:5" ht="15.75" customHeight="1">
      <c r="A36" s="150">
        <v>12</v>
      </c>
      <c r="B36" s="43" t="s">
        <v>484</v>
      </c>
      <c r="C36" s="151"/>
      <c r="D36" s="151">
        <v>162</v>
      </c>
      <c r="E36" s="610"/>
    </row>
    <row r="37" spans="1:5" ht="15.75" customHeight="1">
      <c r="A37" s="150">
        <v>13</v>
      </c>
      <c r="B37" s="43" t="s">
        <v>312</v>
      </c>
      <c r="C37" s="151">
        <v>233</v>
      </c>
      <c r="D37" s="151"/>
      <c r="E37" s="610"/>
    </row>
    <row r="38" spans="1:5" ht="15.75" customHeight="1">
      <c r="A38" s="150">
        <v>14</v>
      </c>
      <c r="B38" s="43" t="s">
        <v>485</v>
      </c>
      <c r="C38" s="151">
        <v>280</v>
      </c>
      <c r="D38" s="151"/>
      <c r="E38" s="610"/>
    </row>
    <row r="39" spans="1:5" ht="15.75" customHeight="1">
      <c r="A39" s="150">
        <v>15</v>
      </c>
      <c r="B39" s="43" t="s">
        <v>486</v>
      </c>
      <c r="C39" s="151">
        <v>248</v>
      </c>
      <c r="D39" s="151"/>
      <c r="E39" s="610"/>
    </row>
    <row r="40" spans="1:5" ht="15.75" customHeight="1">
      <c r="A40" s="150">
        <v>16</v>
      </c>
      <c r="B40" s="43" t="s">
        <v>487</v>
      </c>
      <c r="C40" s="151">
        <v>855</v>
      </c>
      <c r="D40" s="151"/>
      <c r="E40" s="610"/>
    </row>
    <row r="41" spans="1:5" ht="15.75" customHeight="1">
      <c r="A41" s="150">
        <v>17</v>
      </c>
      <c r="B41" s="43" t="s">
        <v>127</v>
      </c>
      <c r="C41" s="151">
        <v>103</v>
      </c>
      <c r="D41" s="151"/>
      <c r="E41" s="610"/>
    </row>
    <row r="42" spans="1:5" ht="15.75" customHeight="1">
      <c r="A42" s="150">
        <v>18</v>
      </c>
      <c r="B42" s="43" t="s">
        <v>488</v>
      </c>
      <c r="C42" s="151"/>
      <c r="D42" s="151">
        <v>290</v>
      </c>
      <c r="E42" s="610"/>
    </row>
    <row r="43" spans="1:5" ht="15.75" customHeight="1">
      <c r="A43" s="150">
        <v>19</v>
      </c>
      <c r="B43" s="43" t="s">
        <v>489</v>
      </c>
      <c r="C43" s="151"/>
      <c r="D43" s="151">
        <v>304</v>
      </c>
      <c r="E43" s="610"/>
    </row>
    <row r="44" spans="1:5" ht="15.75" customHeight="1">
      <c r="A44" s="150">
        <v>20</v>
      </c>
      <c r="B44" s="43" t="s">
        <v>490</v>
      </c>
      <c r="C44" s="151">
        <v>200</v>
      </c>
      <c r="D44" s="151"/>
      <c r="E44" s="610"/>
    </row>
    <row r="45" spans="1:5" ht="15.75" customHeight="1">
      <c r="A45" s="150">
        <v>21</v>
      </c>
      <c r="B45" s="43" t="s">
        <v>131</v>
      </c>
      <c r="C45" s="151">
        <v>428</v>
      </c>
      <c r="D45" s="151"/>
      <c r="E45" s="610"/>
    </row>
    <row r="46" spans="1:5" ht="15.75" customHeight="1">
      <c r="A46" s="150">
        <v>22</v>
      </c>
      <c r="B46" s="43" t="s">
        <v>491</v>
      </c>
      <c r="C46" s="151">
        <v>65</v>
      </c>
      <c r="D46" s="151"/>
      <c r="E46" s="610"/>
    </row>
    <row r="47" spans="1:5" ht="15.75" customHeight="1">
      <c r="A47" s="150">
        <v>23</v>
      </c>
      <c r="B47" s="43" t="s">
        <v>492</v>
      </c>
      <c r="C47" s="151"/>
      <c r="D47" s="151"/>
      <c r="E47" s="610"/>
    </row>
    <row r="48" spans="1:5" ht="15.75" customHeight="1">
      <c r="A48" s="643" t="s">
        <v>493</v>
      </c>
      <c r="B48" s="582"/>
      <c r="C48" s="582"/>
      <c r="D48" s="583"/>
      <c r="E48" s="609"/>
    </row>
    <row r="49" spans="1:5" ht="15.75" customHeight="1">
      <c r="A49" s="150">
        <v>1</v>
      </c>
      <c r="B49" s="43" t="s">
        <v>146</v>
      </c>
      <c r="C49" s="151">
        <v>393</v>
      </c>
      <c r="D49" s="43"/>
      <c r="E49" s="610"/>
    </row>
    <row r="50" spans="1:5" ht="15.75" customHeight="1">
      <c r="A50" s="643" t="s">
        <v>494</v>
      </c>
      <c r="B50" s="582"/>
      <c r="C50" s="582"/>
      <c r="D50" s="583"/>
      <c r="E50" s="609"/>
    </row>
    <row r="51" spans="1:5" ht="15.75" customHeight="1">
      <c r="A51" s="150">
        <v>1</v>
      </c>
      <c r="B51" s="43" t="s">
        <v>144</v>
      </c>
      <c r="C51" s="151">
        <v>121</v>
      </c>
      <c r="D51" s="43"/>
      <c r="E51" s="610"/>
    </row>
    <row r="52" spans="1:5" ht="15.75" customHeight="1">
      <c r="A52" s="150">
        <v>2</v>
      </c>
      <c r="B52" s="43" t="s">
        <v>495</v>
      </c>
      <c r="C52" s="151"/>
      <c r="D52" s="151">
        <v>222</v>
      </c>
      <c r="E52" s="610"/>
    </row>
    <row r="53" spans="1:5" ht="15.75" customHeight="1">
      <c r="A53" s="150">
        <v>3</v>
      </c>
      <c r="B53" s="43" t="s">
        <v>496</v>
      </c>
      <c r="C53" s="151">
        <v>98</v>
      </c>
      <c r="D53" s="43"/>
      <c r="E53" s="610"/>
    </row>
    <row r="54" spans="1:5" ht="15.75" customHeight="1">
      <c r="A54" s="150">
        <v>4</v>
      </c>
      <c r="B54" s="43" t="s">
        <v>497</v>
      </c>
      <c r="C54" s="151">
        <v>399</v>
      </c>
      <c r="D54" s="43"/>
      <c r="E54" s="610"/>
    </row>
    <row r="55" spans="1:5" ht="15.75" customHeight="1">
      <c r="A55" s="54">
        <v>5</v>
      </c>
      <c r="B55" s="43" t="s">
        <v>481</v>
      </c>
      <c r="C55" s="151">
        <v>145</v>
      </c>
      <c r="D55" s="57"/>
      <c r="E55" s="631"/>
    </row>
    <row r="56" spans="1:5" ht="15.75" customHeight="1">
      <c r="A56" s="643" t="s">
        <v>498</v>
      </c>
      <c r="B56" s="582"/>
      <c r="C56" s="582"/>
      <c r="D56" s="583"/>
      <c r="E56" s="609"/>
    </row>
    <row r="57" spans="1:5" ht="15.75" customHeight="1">
      <c r="A57" s="150">
        <v>1</v>
      </c>
      <c r="B57" s="43" t="s">
        <v>149</v>
      </c>
      <c r="C57" s="151"/>
      <c r="D57" s="151">
        <v>145</v>
      </c>
      <c r="E57" s="610"/>
    </row>
    <row r="58" spans="1:5" ht="15.75" customHeight="1">
      <c r="A58" s="150">
        <v>2</v>
      </c>
      <c r="B58" s="43" t="s">
        <v>499</v>
      </c>
      <c r="C58" s="151">
        <v>96</v>
      </c>
      <c r="D58" s="43"/>
      <c r="E58" s="610"/>
    </row>
    <row r="59" spans="1:5" ht="15.75" customHeight="1">
      <c r="A59" s="150">
        <v>3</v>
      </c>
      <c r="B59" s="43" t="s">
        <v>500</v>
      </c>
      <c r="C59" s="151">
        <v>1</v>
      </c>
      <c r="D59" s="43"/>
      <c r="E59" s="610"/>
    </row>
    <row r="60" spans="1:5" ht="15.75" customHeight="1">
      <c r="A60" s="150">
        <v>4</v>
      </c>
      <c r="B60" s="43" t="s">
        <v>409</v>
      </c>
      <c r="C60" s="151"/>
      <c r="D60" s="151"/>
      <c r="E60" s="610"/>
    </row>
    <row r="61" spans="1:5" ht="15.75" customHeight="1">
      <c r="A61" s="54">
        <v>5</v>
      </c>
      <c r="B61" s="43" t="s">
        <v>501</v>
      </c>
      <c r="C61" s="151"/>
      <c r="D61" s="151"/>
      <c r="E61" s="631"/>
    </row>
    <row r="62" spans="1:5" ht="12.75" hidden="1" customHeight="1">
      <c r="A62" s="54"/>
      <c r="B62" s="55"/>
      <c r="C62" s="56"/>
      <c r="D62" s="57"/>
      <c r="E62" s="47"/>
    </row>
    <row r="63" spans="1:5" ht="15" customHeight="1">
      <c r="A63" s="152"/>
      <c r="B63" s="153" t="s">
        <v>502</v>
      </c>
      <c r="C63" s="154">
        <f t="shared" ref="C63:D63" si="0">SUM(C25:C62)</f>
        <v>7818</v>
      </c>
      <c r="D63" s="154">
        <f t="shared" si="0"/>
        <v>1123</v>
      </c>
      <c r="E63" s="61"/>
    </row>
    <row r="64" spans="1:5" ht="15" customHeight="1">
      <c r="A64" s="155"/>
      <c r="B64" s="156" t="s">
        <v>503</v>
      </c>
      <c r="C64" s="659">
        <f>SUM(C63:D63)</f>
        <v>8941</v>
      </c>
      <c r="D64" s="660"/>
      <c r="E64" s="61"/>
    </row>
    <row r="65" spans="1:5" ht="15" customHeight="1">
      <c r="A65" s="62"/>
      <c r="B65" s="63" t="s">
        <v>152</v>
      </c>
      <c r="C65" s="600">
        <f>C63/C64</f>
        <v>0.87439883681914776</v>
      </c>
      <c r="D65" s="593"/>
      <c r="E65" s="61"/>
    </row>
    <row r="66" spans="1:5" ht="15.75" customHeight="1">
      <c r="A66" s="64"/>
      <c r="B66" s="64"/>
      <c r="C66" s="64"/>
      <c r="D66" s="64"/>
      <c r="E66" s="64"/>
    </row>
    <row r="67" spans="1:5" ht="15.75" customHeight="1">
      <c r="A67" s="65" t="s">
        <v>153</v>
      </c>
      <c r="B67" s="66"/>
      <c r="C67" s="64"/>
      <c r="D67" s="64"/>
      <c r="E67" s="64"/>
    </row>
    <row r="68" spans="1:5" ht="15.75" customHeight="1">
      <c r="A68" s="67"/>
      <c r="B68" s="66"/>
      <c r="C68" s="64"/>
      <c r="D68" s="64"/>
      <c r="E68" s="64"/>
    </row>
    <row r="69" spans="1:5" ht="15.75" customHeight="1">
      <c r="A69" s="66"/>
      <c r="B69" s="68"/>
      <c r="C69" s="69"/>
      <c r="D69" s="70"/>
      <c r="E69" s="70"/>
    </row>
    <row r="70" spans="1:5" ht="15.75" customHeight="1">
      <c r="A70" s="66"/>
      <c r="B70" s="71" t="s">
        <v>504</v>
      </c>
      <c r="C70" s="72">
        <v>45348</v>
      </c>
      <c r="D70" s="70"/>
      <c r="E70" s="70"/>
    </row>
    <row r="71" spans="1:5" ht="15.75" customHeight="1">
      <c r="A71" s="73"/>
      <c r="B71" s="74" t="s">
        <v>505</v>
      </c>
      <c r="C71" s="75" t="s">
        <v>156</v>
      </c>
      <c r="D71" s="70"/>
      <c r="E71" s="70"/>
    </row>
    <row r="72" spans="1:5" ht="15.75" customHeight="1">
      <c r="A72" s="64"/>
      <c r="B72" s="64"/>
      <c r="C72" s="64"/>
      <c r="D72" s="70"/>
      <c r="E72" s="70"/>
    </row>
    <row r="73" spans="1:5" ht="15.75" customHeight="1">
      <c r="A73" s="64"/>
      <c r="B73" s="64"/>
      <c r="C73" s="64"/>
      <c r="D73" s="70"/>
      <c r="E73" s="70"/>
    </row>
    <row r="74" spans="1:5" ht="15.75" customHeight="1">
      <c r="A74" s="64" t="s">
        <v>157</v>
      </c>
      <c r="B74" s="64"/>
      <c r="C74" s="64"/>
      <c r="D74" s="70"/>
      <c r="E74" s="70"/>
    </row>
    <row r="75" spans="1:5" ht="15.75" customHeight="1">
      <c r="A75" s="76"/>
      <c r="B75" s="64"/>
      <c r="C75" s="64"/>
      <c r="D75" s="70"/>
      <c r="E75" s="70"/>
    </row>
    <row r="76" spans="1:5" ht="15.75" customHeight="1">
      <c r="A76" s="66"/>
      <c r="B76" s="68"/>
      <c r="C76" s="69"/>
      <c r="D76" s="70"/>
      <c r="E76" s="70"/>
    </row>
    <row r="77" spans="1:5" ht="15.75" customHeight="1">
      <c r="A77" s="66"/>
      <c r="B77" s="71" t="s">
        <v>158</v>
      </c>
      <c r="C77" s="72">
        <v>45348</v>
      </c>
      <c r="D77" s="70"/>
      <c r="E77" s="70"/>
    </row>
    <row r="78" spans="1:5" ht="15.75" customHeight="1">
      <c r="A78" s="74"/>
      <c r="B78" s="77" t="s">
        <v>159</v>
      </c>
      <c r="C78" s="75" t="s">
        <v>156</v>
      </c>
      <c r="D78" s="70"/>
      <c r="E78" s="70"/>
    </row>
    <row r="79" spans="1:5" ht="15.75" customHeight="1"/>
    <row r="80" spans="1:5"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E50:E55"/>
    <mergeCell ref="E56:E61"/>
    <mergeCell ref="C64:D64"/>
    <mergeCell ref="C65:D65"/>
    <mergeCell ref="A22:B23"/>
    <mergeCell ref="A24:D24"/>
    <mergeCell ref="E24:E47"/>
    <mergeCell ref="A48:D48"/>
    <mergeCell ref="E48:E49"/>
    <mergeCell ref="A50:D50"/>
    <mergeCell ref="A56:D56"/>
    <mergeCell ref="C20:E20"/>
    <mergeCell ref="A21:B21"/>
    <mergeCell ref="C21:D21"/>
    <mergeCell ref="C22:D22"/>
    <mergeCell ref="E22:E23"/>
    <mergeCell ref="A11:B12"/>
    <mergeCell ref="C11:D11"/>
    <mergeCell ref="A13:D13"/>
    <mergeCell ref="E11:E12"/>
    <mergeCell ref="E13:E19"/>
    <mergeCell ref="C6:E6"/>
    <mergeCell ref="C7:E7"/>
    <mergeCell ref="C8:E8"/>
    <mergeCell ref="A9:E9"/>
    <mergeCell ref="A10:B10"/>
    <mergeCell ref="C10:D10"/>
    <mergeCell ref="C1:E1"/>
    <mergeCell ref="C2:E2"/>
    <mergeCell ref="C3:E3"/>
    <mergeCell ref="C4:E4"/>
    <mergeCell ref="C5:E5"/>
  </mergeCells>
  <printOptions horizontalCentered="1"/>
  <pageMargins left="0.7" right="0.7" top="0.75" bottom="0.75" header="0" footer="0"/>
  <pageSetup fitToHeight="0" pageOrder="overThenDown"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C4587"/>
    <pageSetUpPr fitToPage="1"/>
  </sheetPr>
  <dimension ref="A1:H1000"/>
  <sheetViews>
    <sheetView tabSelected="1" topLeftCell="A22" workbookViewId="0"/>
  </sheetViews>
  <sheetFormatPr defaultColWidth="12.5703125" defaultRowHeight="15" customHeight="1"/>
  <cols>
    <col min="1" max="1" width="2.7109375" customWidth="1"/>
    <col min="2" max="2" width="41.28515625" customWidth="1"/>
    <col min="3" max="3" width="15.140625" customWidth="1"/>
    <col min="4" max="4" width="29.28515625" bestFit="1" customWidth="1"/>
    <col min="5" max="6" width="17.42578125" bestFit="1" customWidth="1"/>
    <col min="7" max="7" width="43.42578125" customWidth="1"/>
  </cols>
  <sheetData>
    <row r="1" spans="1:8" ht="15.75" customHeight="1">
      <c r="A1" s="10"/>
      <c r="B1" s="145" t="s">
        <v>105</v>
      </c>
      <c r="C1" s="584" t="s">
        <v>106</v>
      </c>
      <c r="D1" s="585"/>
      <c r="E1" s="585"/>
      <c r="F1" s="585"/>
      <c r="G1" s="586"/>
      <c r="H1" s="157"/>
    </row>
    <row r="2" spans="1:8" ht="15.75" customHeight="1">
      <c r="A2" s="12"/>
      <c r="B2" s="13" t="s">
        <v>107</v>
      </c>
      <c r="C2" s="587" t="s">
        <v>8</v>
      </c>
      <c r="D2" s="588"/>
      <c r="E2" s="588"/>
      <c r="F2" s="588"/>
      <c r="G2" s="589"/>
      <c r="H2" s="157"/>
    </row>
    <row r="3" spans="1:8" ht="15.75" customHeight="1">
      <c r="A3" s="14"/>
      <c r="B3" s="15" t="s">
        <v>108</v>
      </c>
      <c r="C3" s="590" t="s">
        <v>506</v>
      </c>
      <c r="D3" s="588"/>
      <c r="E3" s="588"/>
      <c r="F3" s="588"/>
      <c r="G3" s="589"/>
      <c r="H3" s="157"/>
    </row>
    <row r="4" spans="1:8" ht="66" customHeight="1">
      <c r="A4" s="17"/>
      <c r="B4" s="13" t="s">
        <v>110</v>
      </c>
      <c r="C4" s="590" t="s">
        <v>507</v>
      </c>
      <c r="D4" s="588"/>
      <c r="E4" s="588"/>
      <c r="F4" s="588"/>
      <c r="G4" s="589"/>
      <c r="H4" s="157"/>
    </row>
    <row r="5" spans="1:8" ht="27" customHeight="1">
      <c r="A5" s="12"/>
      <c r="B5" s="13" t="s">
        <v>112</v>
      </c>
      <c r="C5" s="590" t="str">
        <f>'Reference Matrix'!$E9</f>
        <v>Accreditation includes those issued by local and international bodies recognized by CHED; CMO No. 1, s. 2005; AACCUP (Level 1 - Level 4)</v>
      </c>
      <c r="D5" s="588"/>
      <c r="E5" s="588"/>
      <c r="F5" s="588"/>
      <c r="G5" s="589"/>
      <c r="H5" s="157"/>
    </row>
    <row r="6" spans="1:8" ht="41.25" customHeight="1">
      <c r="A6" s="12"/>
      <c r="B6" s="13" t="s">
        <v>113</v>
      </c>
      <c r="C6" s="590" t="str">
        <f>'Reference Matrix'!$F9</f>
        <v>1. Accreditation Certificates
2. List of all undergraduate programs per campus with accreditation (include date of validity) or without accreditation (include reasons for non-accreditation), and indicate year of initial operation of each of the programs being offered</v>
      </c>
      <c r="D6" s="588"/>
      <c r="E6" s="588"/>
      <c r="F6" s="588"/>
      <c r="G6" s="589"/>
      <c r="H6" s="157"/>
    </row>
    <row r="7" spans="1:8" ht="15.75" customHeight="1">
      <c r="A7" s="18"/>
      <c r="B7" s="19" t="s">
        <v>114</v>
      </c>
      <c r="C7" s="591" t="s">
        <v>115</v>
      </c>
      <c r="D7" s="592"/>
      <c r="E7" s="592"/>
      <c r="F7" s="592"/>
      <c r="G7" s="593"/>
      <c r="H7" s="157"/>
    </row>
    <row r="8" spans="1:8" ht="15.75" customHeight="1">
      <c r="A8" s="20"/>
      <c r="B8" s="20"/>
      <c r="C8" s="590"/>
      <c r="D8" s="588"/>
      <c r="E8" s="588"/>
      <c r="F8" s="588"/>
      <c r="G8" s="588"/>
      <c r="H8" s="157"/>
    </row>
    <row r="9" spans="1:8" ht="15.75" customHeight="1">
      <c r="A9" s="601" t="s">
        <v>116</v>
      </c>
      <c r="B9" s="576"/>
      <c r="C9" s="576"/>
      <c r="D9" s="576"/>
      <c r="E9" s="576"/>
      <c r="F9" s="576"/>
      <c r="G9" s="577"/>
      <c r="H9" s="157"/>
    </row>
    <row r="10" spans="1:8" ht="15.75" customHeight="1">
      <c r="A10" s="602">
        <v>1</v>
      </c>
      <c r="B10" s="595"/>
      <c r="C10" s="21">
        <v>2</v>
      </c>
      <c r="D10" s="22">
        <v>3</v>
      </c>
      <c r="E10" s="651">
        <v>4</v>
      </c>
      <c r="F10" s="585"/>
      <c r="G10" s="23">
        <v>5</v>
      </c>
      <c r="H10" s="157"/>
    </row>
    <row r="11" spans="1:8" ht="15.75" customHeight="1">
      <c r="A11" s="603" t="s">
        <v>508</v>
      </c>
      <c r="B11" s="604"/>
      <c r="C11" s="663" t="s">
        <v>509</v>
      </c>
      <c r="D11" s="663" t="s">
        <v>510</v>
      </c>
      <c r="E11" s="666" t="s">
        <v>511</v>
      </c>
      <c r="F11" s="588"/>
      <c r="G11" s="655" t="s">
        <v>512</v>
      </c>
      <c r="H11" s="157"/>
    </row>
    <row r="12" spans="1:8" ht="15.75" customHeight="1">
      <c r="A12" s="652"/>
      <c r="B12" s="653"/>
      <c r="C12" s="664"/>
      <c r="D12" s="664"/>
      <c r="E12" s="158" t="s">
        <v>513</v>
      </c>
      <c r="F12" s="158" t="s">
        <v>514</v>
      </c>
      <c r="G12" s="631"/>
      <c r="H12" s="157"/>
    </row>
    <row r="13" spans="1:8" ht="15.75" customHeight="1">
      <c r="A13" s="605" t="s">
        <v>122</v>
      </c>
      <c r="B13" s="585"/>
      <c r="C13" s="585"/>
      <c r="D13" s="585"/>
      <c r="E13" s="585"/>
      <c r="F13" s="585"/>
      <c r="G13" s="586"/>
      <c r="H13" s="157"/>
    </row>
    <row r="14" spans="1:8" ht="15.75" customHeight="1">
      <c r="A14" s="27">
        <v>1</v>
      </c>
      <c r="B14" s="28" t="s">
        <v>123</v>
      </c>
      <c r="C14" s="159">
        <v>2012</v>
      </c>
      <c r="D14" s="30" t="s">
        <v>515</v>
      </c>
      <c r="E14" s="160"/>
      <c r="F14" s="160"/>
      <c r="G14" s="161" t="s">
        <v>516</v>
      </c>
      <c r="H14" s="157"/>
    </row>
    <row r="15" spans="1:8" ht="15.75" customHeight="1">
      <c r="A15" s="27">
        <v>2</v>
      </c>
      <c r="B15" s="32" t="s">
        <v>125</v>
      </c>
      <c r="C15" s="159">
        <v>2003</v>
      </c>
      <c r="D15" s="30" t="s">
        <v>517</v>
      </c>
      <c r="E15" s="162">
        <v>43312</v>
      </c>
      <c r="F15" s="162">
        <v>44043</v>
      </c>
      <c r="G15" s="161" t="s">
        <v>518</v>
      </c>
      <c r="H15" s="157"/>
    </row>
    <row r="16" spans="1:8" ht="15.75" customHeight="1">
      <c r="A16" s="27">
        <v>3</v>
      </c>
      <c r="B16" s="32" t="s">
        <v>126</v>
      </c>
      <c r="C16" s="159">
        <v>2000</v>
      </c>
      <c r="D16" s="30" t="s">
        <v>519</v>
      </c>
      <c r="E16" s="160">
        <v>44926</v>
      </c>
      <c r="F16" s="160">
        <v>45657</v>
      </c>
      <c r="G16" s="163" t="s">
        <v>520</v>
      </c>
      <c r="H16" s="157"/>
    </row>
    <row r="17" spans="1:8" ht="15.75" customHeight="1">
      <c r="A17" s="27">
        <v>4</v>
      </c>
      <c r="B17" s="32" t="s">
        <v>475</v>
      </c>
      <c r="C17" s="159">
        <v>1999</v>
      </c>
      <c r="D17" s="30" t="s">
        <v>521</v>
      </c>
      <c r="E17" s="160">
        <v>44926</v>
      </c>
      <c r="F17" s="160">
        <v>45657</v>
      </c>
      <c r="G17" s="163" t="s">
        <v>520</v>
      </c>
      <c r="H17" s="157"/>
    </row>
    <row r="18" spans="1:8" ht="15.75" customHeight="1">
      <c r="A18" s="27">
        <v>5</v>
      </c>
      <c r="B18" s="32" t="s">
        <v>127</v>
      </c>
      <c r="C18" s="159">
        <v>1984</v>
      </c>
      <c r="D18" s="30" t="s">
        <v>522</v>
      </c>
      <c r="E18" s="160">
        <v>44927</v>
      </c>
      <c r="F18" s="160">
        <v>46752</v>
      </c>
      <c r="G18" s="163" t="s">
        <v>520</v>
      </c>
      <c r="H18" s="157"/>
    </row>
    <row r="19" spans="1:8" ht="15.75" customHeight="1">
      <c r="A19" s="164">
        <v>6</v>
      </c>
      <c r="B19" s="34" t="s">
        <v>128</v>
      </c>
      <c r="C19" s="165">
        <v>2022</v>
      </c>
      <c r="D19" s="166" t="s">
        <v>523</v>
      </c>
      <c r="E19" s="167"/>
      <c r="F19" s="167"/>
      <c r="G19" s="168" t="s">
        <v>524</v>
      </c>
      <c r="H19" s="157"/>
    </row>
    <row r="20" spans="1:8" ht="15.75" customHeight="1">
      <c r="A20" s="20"/>
      <c r="B20" s="20"/>
      <c r="C20" s="590"/>
      <c r="D20" s="588"/>
      <c r="E20" s="588"/>
      <c r="F20" s="588"/>
      <c r="G20" s="588"/>
      <c r="H20" s="157"/>
    </row>
    <row r="21" spans="1:8" ht="15.75" customHeight="1">
      <c r="A21" s="594">
        <v>1</v>
      </c>
      <c r="B21" s="595"/>
      <c r="C21" s="37">
        <v>2</v>
      </c>
      <c r="D21" s="38">
        <v>3</v>
      </c>
      <c r="E21" s="656">
        <v>4</v>
      </c>
      <c r="F21" s="585"/>
      <c r="G21" s="39">
        <v>5</v>
      </c>
      <c r="H21" s="157"/>
    </row>
    <row r="22" spans="1:8" ht="15.75" customHeight="1">
      <c r="A22" s="674" t="s">
        <v>508</v>
      </c>
      <c r="B22" s="604"/>
      <c r="C22" s="667" t="s">
        <v>509</v>
      </c>
      <c r="D22" s="667" t="s">
        <v>510</v>
      </c>
      <c r="E22" s="665" t="s">
        <v>525</v>
      </c>
      <c r="F22" s="588"/>
      <c r="G22" s="668" t="s">
        <v>121</v>
      </c>
      <c r="H22" s="157"/>
    </row>
    <row r="23" spans="1:8" ht="15.75" customHeight="1">
      <c r="A23" s="652"/>
      <c r="B23" s="653"/>
      <c r="C23" s="664"/>
      <c r="D23" s="664"/>
      <c r="E23" s="169" t="s">
        <v>526</v>
      </c>
      <c r="F23" s="169" t="s">
        <v>527</v>
      </c>
      <c r="G23" s="631"/>
      <c r="H23" s="157"/>
    </row>
    <row r="24" spans="1:8" ht="16.5" customHeight="1">
      <c r="A24" s="598" t="s">
        <v>528</v>
      </c>
      <c r="B24" s="585"/>
      <c r="C24" s="585"/>
      <c r="D24" s="585"/>
      <c r="E24" s="585"/>
      <c r="F24" s="585"/>
      <c r="G24" s="586"/>
      <c r="H24" s="157"/>
    </row>
    <row r="25" spans="1:8" ht="15.75" customHeight="1">
      <c r="A25" s="170">
        <v>1</v>
      </c>
      <c r="B25" s="171" t="s">
        <v>142</v>
      </c>
      <c r="C25" s="172" t="s">
        <v>529</v>
      </c>
      <c r="D25" s="173" t="s">
        <v>530</v>
      </c>
      <c r="E25" s="173" t="s">
        <v>531</v>
      </c>
      <c r="F25" s="174">
        <v>45170</v>
      </c>
      <c r="G25" s="175" t="s">
        <v>532</v>
      </c>
      <c r="H25" s="157"/>
    </row>
    <row r="26" spans="1:8" ht="15.75" customHeight="1">
      <c r="A26" s="150">
        <v>2</v>
      </c>
      <c r="B26" s="176" t="s">
        <v>533</v>
      </c>
      <c r="C26" s="177" t="s">
        <v>534</v>
      </c>
      <c r="D26" s="178" t="s">
        <v>530</v>
      </c>
      <c r="E26" s="178" t="s">
        <v>535</v>
      </c>
      <c r="F26" s="178" t="s">
        <v>536</v>
      </c>
      <c r="G26" s="175" t="s">
        <v>537</v>
      </c>
      <c r="H26" s="157"/>
    </row>
    <row r="27" spans="1:8" ht="15.75" customHeight="1">
      <c r="A27" s="150">
        <v>3</v>
      </c>
      <c r="B27" s="176" t="s">
        <v>538</v>
      </c>
      <c r="C27" s="177" t="s">
        <v>534</v>
      </c>
      <c r="D27" s="178" t="s">
        <v>530</v>
      </c>
      <c r="E27" s="178" t="s">
        <v>535</v>
      </c>
      <c r="F27" s="178" t="s">
        <v>536</v>
      </c>
      <c r="G27" s="175" t="s">
        <v>539</v>
      </c>
      <c r="H27" s="157"/>
    </row>
    <row r="28" spans="1:8" ht="15.75" customHeight="1">
      <c r="A28" s="150">
        <v>4</v>
      </c>
      <c r="B28" s="176" t="s">
        <v>540</v>
      </c>
      <c r="C28" s="177" t="s">
        <v>541</v>
      </c>
      <c r="D28" s="178" t="s">
        <v>530</v>
      </c>
      <c r="E28" s="178" t="s">
        <v>542</v>
      </c>
      <c r="F28" s="178" t="s">
        <v>543</v>
      </c>
      <c r="G28" s="175" t="s">
        <v>544</v>
      </c>
      <c r="H28" s="157"/>
    </row>
    <row r="29" spans="1:8" ht="15.75" customHeight="1">
      <c r="A29" s="54">
        <v>5</v>
      </c>
      <c r="B29" s="179" t="s">
        <v>545</v>
      </c>
      <c r="C29" s="180" t="s">
        <v>541</v>
      </c>
      <c r="D29" s="178" t="s">
        <v>530</v>
      </c>
      <c r="E29" s="178" t="s">
        <v>542</v>
      </c>
      <c r="F29" s="178" t="s">
        <v>543</v>
      </c>
      <c r="G29" s="181" t="s">
        <v>546</v>
      </c>
      <c r="H29" s="157"/>
    </row>
    <row r="30" spans="1:8" ht="15.75" customHeight="1">
      <c r="A30" s="43">
        <v>6</v>
      </c>
      <c r="B30" s="176" t="s">
        <v>547</v>
      </c>
      <c r="C30" s="177" t="s">
        <v>534</v>
      </c>
      <c r="D30" s="178" t="s">
        <v>530</v>
      </c>
      <c r="E30" s="178" t="s">
        <v>548</v>
      </c>
      <c r="F30" s="178" t="s">
        <v>549</v>
      </c>
      <c r="G30" s="182" t="s">
        <v>550</v>
      </c>
      <c r="H30" s="157"/>
    </row>
    <row r="31" spans="1:8" ht="15.75" customHeight="1">
      <c r="A31" s="43">
        <v>7</v>
      </c>
      <c r="B31" s="176" t="s">
        <v>551</v>
      </c>
      <c r="C31" s="177" t="s">
        <v>534</v>
      </c>
      <c r="D31" s="178" t="s">
        <v>530</v>
      </c>
      <c r="E31" s="178" t="s">
        <v>548</v>
      </c>
      <c r="F31" s="178" t="s">
        <v>549</v>
      </c>
      <c r="G31" s="175" t="s">
        <v>552</v>
      </c>
      <c r="H31" s="157"/>
    </row>
    <row r="32" spans="1:8" ht="15.75" customHeight="1">
      <c r="A32" s="128">
        <v>8</v>
      </c>
      <c r="B32" s="183" t="s">
        <v>553</v>
      </c>
      <c r="C32" s="177" t="s">
        <v>554</v>
      </c>
      <c r="D32" s="178" t="s">
        <v>530</v>
      </c>
      <c r="E32" s="178" t="s">
        <v>548</v>
      </c>
      <c r="F32" s="178" t="s">
        <v>549</v>
      </c>
      <c r="G32" s="175" t="s">
        <v>555</v>
      </c>
      <c r="H32" s="157"/>
    </row>
    <row r="33" spans="1:8" ht="15.75" customHeight="1">
      <c r="A33" s="43">
        <v>9</v>
      </c>
      <c r="B33" s="176" t="s">
        <v>556</v>
      </c>
      <c r="C33" s="177" t="s">
        <v>557</v>
      </c>
      <c r="D33" s="178" t="s">
        <v>530</v>
      </c>
      <c r="E33" s="178" t="s">
        <v>558</v>
      </c>
      <c r="F33" s="178" t="s">
        <v>559</v>
      </c>
      <c r="G33" s="175" t="s">
        <v>560</v>
      </c>
      <c r="H33" s="157"/>
    </row>
    <row r="34" spans="1:8" ht="15.75" customHeight="1">
      <c r="A34" s="43">
        <v>10</v>
      </c>
      <c r="B34" s="184" t="s">
        <v>561</v>
      </c>
      <c r="C34" s="177" t="s">
        <v>562</v>
      </c>
      <c r="D34" s="178" t="s">
        <v>530</v>
      </c>
      <c r="E34" s="178" t="s">
        <v>558</v>
      </c>
      <c r="F34" s="178" t="s">
        <v>559</v>
      </c>
      <c r="G34" s="182" t="s">
        <v>563</v>
      </c>
      <c r="H34" s="157"/>
    </row>
    <row r="35" spans="1:8" ht="15.75" customHeight="1">
      <c r="A35" s="185">
        <v>11</v>
      </c>
      <c r="B35" s="186" t="s">
        <v>564</v>
      </c>
      <c r="C35" s="187" t="s">
        <v>562</v>
      </c>
      <c r="D35" s="188" t="s">
        <v>530</v>
      </c>
      <c r="E35" s="189" t="s">
        <v>542</v>
      </c>
      <c r="F35" s="190" t="s">
        <v>543</v>
      </c>
      <c r="G35" s="191" t="s">
        <v>565</v>
      </c>
      <c r="H35" s="157"/>
    </row>
    <row r="36" spans="1:8" ht="15.75" customHeight="1">
      <c r="A36" s="150">
        <v>12</v>
      </c>
      <c r="B36" s="43" t="s">
        <v>566</v>
      </c>
      <c r="C36" s="192" t="s">
        <v>562</v>
      </c>
      <c r="D36" s="188" t="s">
        <v>530</v>
      </c>
      <c r="E36" s="189" t="s">
        <v>542</v>
      </c>
      <c r="F36" s="190" t="s">
        <v>543</v>
      </c>
      <c r="G36" s="191" t="s">
        <v>567</v>
      </c>
      <c r="H36" s="157"/>
    </row>
    <row r="37" spans="1:8" ht="15.75" customHeight="1">
      <c r="A37" s="193">
        <v>13</v>
      </c>
      <c r="B37" s="194" t="s">
        <v>266</v>
      </c>
      <c r="C37" s="192" t="s">
        <v>568</v>
      </c>
      <c r="D37" s="188" t="s">
        <v>569</v>
      </c>
      <c r="E37" s="189" t="s">
        <v>570</v>
      </c>
      <c r="F37" s="190" t="s">
        <v>571</v>
      </c>
      <c r="G37" s="191" t="s">
        <v>572</v>
      </c>
      <c r="H37" s="157"/>
    </row>
    <row r="38" spans="1:8" ht="15.75" customHeight="1">
      <c r="A38" s="193">
        <v>14</v>
      </c>
      <c r="B38" s="194" t="s">
        <v>573</v>
      </c>
      <c r="C38" s="192" t="s">
        <v>574</v>
      </c>
      <c r="D38" s="188" t="s">
        <v>569</v>
      </c>
      <c r="E38" s="189" t="s">
        <v>570</v>
      </c>
      <c r="F38" s="190" t="s">
        <v>571</v>
      </c>
      <c r="G38" s="195" t="s">
        <v>575</v>
      </c>
      <c r="H38" s="157"/>
    </row>
    <row r="39" spans="1:8" ht="15.75" customHeight="1">
      <c r="A39" s="193">
        <v>15</v>
      </c>
      <c r="B39" s="194" t="s">
        <v>576</v>
      </c>
      <c r="C39" s="192" t="s">
        <v>574</v>
      </c>
      <c r="D39" s="188" t="s">
        <v>569</v>
      </c>
      <c r="E39" s="189" t="s">
        <v>570</v>
      </c>
      <c r="F39" s="190" t="s">
        <v>571</v>
      </c>
      <c r="G39" s="195" t="s">
        <v>577</v>
      </c>
      <c r="H39" s="157"/>
    </row>
    <row r="40" spans="1:8" ht="15.75" customHeight="1">
      <c r="A40" s="43">
        <v>16</v>
      </c>
      <c r="B40" s="196" t="s">
        <v>578</v>
      </c>
      <c r="C40" s="192" t="s">
        <v>574</v>
      </c>
      <c r="D40" s="188" t="s">
        <v>569</v>
      </c>
      <c r="E40" s="189" t="s">
        <v>570</v>
      </c>
      <c r="F40" s="190" t="s">
        <v>571</v>
      </c>
      <c r="G40" s="195" t="s">
        <v>579</v>
      </c>
      <c r="H40" s="157"/>
    </row>
    <row r="41" spans="1:8" ht="15.75" customHeight="1">
      <c r="A41" s="43">
        <v>17</v>
      </c>
      <c r="B41" s="55" t="s">
        <v>580</v>
      </c>
      <c r="C41" s="197" t="s">
        <v>541</v>
      </c>
      <c r="D41" s="198" t="s">
        <v>581</v>
      </c>
      <c r="E41" s="198" t="s">
        <v>582</v>
      </c>
      <c r="F41" s="189" t="s">
        <v>582</v>
      </c>
      <c r="G41" s="178" t="s">
        <v>583</v>
      </c>
      <c r="H41" s="157"/>
    </row>
    <row r="42" spans="1:8" ht="15.75" customHeight="1">
      <c r="A42" s="43">
        <v>18</v>
      </c>
      <c r="B42" s="194" t="s">
        <v>584</v>
      </c>
      <c r="C42" s="197" t="s">
        <v>574</v>
      </c>
      <c r="D42" s="198" t="s">
        <v>581</v>
      </c>
      <c r="E42" s="198" t="s">
        <v>582</v>
      </c>
      <c r="F42" s="189" t="s">
        <v>582</v>
      </c>
      <c r="G42" s="178" t="s">
        <v>585</v>
      </c>
      <c r="H42" s="157"/>
    </row>
    <row r="43" spans="1:8" ht="15.75" customHeight="1">
      <c r="A43" s="43">
        <v>19</v>
      </c>
      <c r="B43" s="194" t="s">
        <v>586</v>
      </c>
      <c r="C43" s="197" t="s">
        <v>587</v>
      </c>
      <c r="D43" s="198" t="s">
        <v>581</v>
      </c>
      <c r="E43" s="198" t="s">
        <v>582</v>
      </c>
      <c r="F43" s="189" t="s">
        <v>582</v>
      </c>
      <c r="G43" s="178" t="s">
        <v>588</v>
      </c>
      <c r="H43" s="157"/>
    </row>
    <row r="44" spans="1:8" ht="15.75" customHeight="1">
      <c r="A44" s="43">
        <v>20</v>
      </c>
      <c r="B44" s="194" t="s">
        <v>589</v>
      </c>
      <c r="C44" s="197" t="s">
        <v>587</v>
      </c>
      <c r="D44" s="198" t="s">
        <v>581</v>
      </c>
      <c r="E44" s="198" t="s">
        <v>582</v>
      </c>
      <c r="F44" s="189" t="s">
        <v>582</v>
      </c>
      <c r="G44" s="178" t="s">
        <v>588</v>
      </c>
      <c r="H44" s="157"/>
    </row>
    <row r="45" spans="1:8" ht="15.75" customHeight="1">
      <c r="A45" s="43">
        <v>21</v>
      </c>
      <c r="B45" s="194" t="s">
        <v>590</v>
      </c>
      <c r="C45" s="197" t="s">
        <v>587</v>
      </c>
      <c r="D45" s="198" t="s">
        <v>581</v>
      </c>
      <c r="E45" s="198" t="s">
        <v>582</v>
      </c>
      <c r="F45" s="189" t="s">
        <v>582</v>
      </c>
      <c r="G45" s="178" t="s">
        <v>588</v>
      </c>
      <c r="H45" s="157"/>
    </row>
    <row r="46" spans="1:8" ht="15.75" customHeight="1">
      <c r="A46" s="43">
        <v>22</v>
      </c>
      <c r="B46" s="194" t="s">
        <v>591</v>
      </c>
      <c r="C46" s="197" t="s">
        <v>587</v>
      </c>
      <c r="D46" s="198" t="s">
        <v>581</v>
      </c>
      <c r="E46" s="189" t="s">
        <v>582</v>
      </c>
      <c r="F46" s="189" t="s">
        <v>582</v>
      </c>
      <c r="G46" s="178" t="s">
        <v>588</v>
      </c>
      <c r="H46" s="157"/>
    </row>
    <row r="47" spans="1:8" ht="15.75" customHeight="1">
      <c r="A47" s="675" t="s">
        <v>592</v>
      </c>
      <c r="B47" s="582"/>
      <c r="C47" s="582"/>
      <c r="D47" s="582"/>
      <c r="E47" s="582"/>
      <c r="F47" s="582"/>
      <c r="G47" s="676"/>
      <c r="H47" s="157"/>
    </row>
    <row r="48" spans="1:8" ht="15.75" customHeight="1">
      <c r="A48" s="150">
        <v>1</v>
      </c>
      <c r="B48" s="194" t="s">
        <v>593</v>
      </c>
      <c r="C48" s="197" t="s">
        <v>594</v>
      </c>
      <c r="D48" s="196" t="s">
        <v>521</v>
      </c>
      <c r="E48" s="199" t="s">
        <v>595</v>
      </c>
      <c r="F48" s="199" t="s">
        <v>596</v>
      </c>
      <c r="G48" s="677" t="s">
        <v>597</v>
      </c>
      <c r="H48" s="679"/>
    </row>
    <row r="49" spans="1:8" ht="15.75" customHeight="1">
      <c r="A49" s="150">
        <v>2</v>
      </c>
      <c r="B49" s="43" t="s">
        <v>598</v>
      </c>
      <c r="C49" s="197" t="s">
        <v>594</v>
      </c>
      <c r="D49" s="196" t="s">
        <v>519</v>
      </c>
      <c r="E49" s="189" t="s">
        <v>531</v>
      </c>
      <c r="F49" s="189">
        <v>45170</v>
      </c>
      <c r="G49" s="664"/>
      <c r="H49" s="588"/>
    </row>
    <row r="50" spans="1:8" ht="15.75" customHeight="1">
      <c r="A50" s="150">
        <v>3</v>
      </c>
      <c r="B50" s="43" t="s">
        <v>599</v>
      </c>
      <c r="C50" s="197" t="s">
        <v>534</v>
      </c>
      <c r="D50" s="196" t="s">
        <v>519</v>
      </c>
      <c r="E50" s="189">
        <v>44378</v>
      </c>
      <c r="F50" s="189">
        <v>46174</v>
      </c>
      <c r="G50" s="678"/>
      <c r="H50" s="588"/>
    </row>
    <row r="51" spans="1:8" ht="15.75" customHeight="1">
      <c r="A51" s="150">
        <v>4</v>
      </c>
      <c r="B51" s="55" t="s">
        <v>600</v>
      </c>
      <c r="C51" s="200" t="s">
        <v>601</v>
      </c>
      <c r="D51" s="188" t="s">
        <v>521</v>
      </c>
      <c r="E51" s="198" t="s">
        <v>542</v>
      </c>
      <c r="F51" s="201" t="s">
        <v>543</v>
      </c>
      <c r="G51" s="202" t="s">
        <v>602</v>
      </c>
      <c r="H51" s="157"/>
    </row>
    <row r="52" spans="1:8" ht="15.75" customHeight="1">
      <c r="A52" s="675" t="s">
        <v>451</v>
      </c>
      <c r="B52" s="582"/>
      <c r="C52" s="582"/>
      <c r="D52" s="582"/>
      <c r="E52" s="582"/>
      <c r="F52" s="582"/>
      <c r="G52" s="676"/>
      <c r="H52" s="157"/>
    </row>
    <row r="53" spans="1:8" ht="15.75" customHeight="1">
      <c r="A53" s="150">
        <v>1</v>
      </c>
      <c r="B53" s="43" t="s">
        <v>603</v>
      </c>
      <c r="C53" s="151" t="s">
        <v>568</v>
      </c>
      <c r="D53" s="43" t="s">
        <v>519</v>
      </c>
      <c r="E53" s="43" t="s">
        <v>582</v>
      </c>
      <c r="F53" s="43" t="s">
        <v>582</v>
      </c>
      <c r="G53" s="178" t="s">
        <v>604</v>
      </c>
      <c r="H53" s="157"/>
    </row>
    <row r="54" spans="1:8" ht="15.75" customHeight="1">
      <c r="A54" s="150">
        <v>2</v>
      </c>
      <c r="B54" s="43" t="s">
        <v>605</v>
      </c>
      <c r="C54" s="151" t="s">
        <v>568</v>
      </c>
      <c r="D54" s="43" t="s">
        <v>519</v>
      </c>
      <c r="E54" s="43" t="s">
        <v>606</v>
      </c>
      <c r="F54" s="43" t="s">
        <v>607</v>
      </c>
      <c r="G54" s="182" t="s">
        <v>608</v>
      </c>
      <c r="H54" s="157"/>
    </row>
    <row r="55" spans="1:8" ht="15.75" customHeight="1">
      <c r="A55" s="150">
        <v>3</v>
      </c>
      <c r="B55" s="44" t="s">
        <v>609</v>
      </c>
      <c r="C55" s="203" t="s">
        <v>562</v>
      </c>
      <c r="D55" s="126" t="s">
        <v>519</v>
      </c>
      <c r="E55" s="199" t="s">
        <v>570</v>
      </c>
      <c r="F55" s="199" t="s">
        <v>571</v>
      </c>
      <c r="G55" s="182" t="s">
        <v>610</v>
      </c>
      <c r="H55" s="157"/>
    </row>
    <row r="56" spans="1:8" ht="15.75" customHeight="1">
      <c r="A56" s="675" t="s">
        <v>611</v>
      </c>
      <c r="B56" s="582"/>
      <c r="C56" s="582"/>
      <c r="D56" s="582"/>
      <c r="E56" s="582"/>
      <c r="F56" s="582"/>
      <c r="G56" s="676"/>
      <c r="H56" s="157"/>
    </row>
    <row r="57" spans="1:8" ht="15.75" customHeight="1">
      <c r="A57" s="150">
        <v>1</v>
      </c>
      <c r="B57" s="52" t="s">
        <v>612</v>
      </c>
      <c r="C57" s="203" t="s">
        <v>613</v>
      </c>
      <c r="D57" s="126" t="s">
        <v>521</v>
      </c>
      <c r="E57" s="204" t="s">
        <v>542</v>
      </c>
      <c r="F57" s="204" t="s">
        <v>543</v>
      </c>
      <c r="G57" s="205" t="s">
        <v>614</v>
      </c>
      <c r="H57" s="157"/>
    </row>
    <row r="58" spans="1:8" ht="12.75" hidden="1" customHeight="1">
      <c r="A58" s="206"/>
      <c r="B58" s="207"/>
      <c r="C58" s="208"/>
      <c r="D58" s="209"/>
      <c r="E58" s="210"/>
      <c r="F58" s="210"/>
      <c r="G58" s="47"/>
      <c r="H58" s="157"/>
    </row>
    <row r="59" spans="1:8" ht="15" customHeight="1">
      <c r="A59" s="211"/>
      <c r="B59" s="669" t="s">
        <v>615</v>
      </c>
      <c r="C59" s="648"/>
      <c r="D59" s="212">
        <f>COUNTIFS($B25:B58,"&lt;&gt;",D25:D58,"&lt;&gt;")</f>
        <v>30</v>
      </c>
      <c r="E59" s="213"/>
      <c r="F59" s="213"/>
      <c r="G59" s="213"/>
      <c r="H59" s="157"/>
    </row>
    <row r="60" spans="1:8" ht="15" customHeight="1">
      <c r="A60" s="214"/>
      <c r="B60" s="670" t="s">
        <v>616</v>
      </c>
      <c r="C60" s="671"/>
      <c r="D60" s="215">
        <v>23</v>
      </c>
      <c r="E60" s="64"/>
      <c r="F60" s="64"/>
      <c r="G60" s="64"/>
      <c r="H60" s="157"/>
    </row>
    <row r="61" spans="1:8" ht="15" customHeight="1">
      <c r="A61" s="214"/>
      <c r="B61" s="670" t="s">
        <v>617</v>
      </c>
      <c r="C61" s="671"/>
      <c r="D61" s="215">
        <v>30</v>
      </c>
      <c r="E61" s="64"/>
      <c r="F61" s="64"/>
      <c r="G61" s="64"/>
      <c r="H61" s="157"/>
    </row>
    <row r="62" spans="1:8" ht="15" customHeight="1">
      <c r="A62" s="216"/>
      <c r="B62" s="672" t="s">
        <v>152</v>
      </c>
      <c r="C62" s="673"/>
      <c r="D62" s="217">
        <f>D60/D61</f>
        <v>0.76666666666666672</v>
      </c>
      <c r="E62" s="64"/>
      <c r="F62" s="64"/>
      <c r="G62" s="64"/>
      <c r="H62" s="157"/>
    </row>
    <row r="63" spans="1:8" ht="15.75" customHeight="1">
      <c r="A63" s="64"/>
      <c r="B63" s="64"/>
      <c r="C63" s="64"/>
      <c r="D63" s="64"/>
      <c r="E63" s="64"/>
      <c r="F63" s="64"/>
      <c r="G63" s="64"/>
      <c r="H63" s="157"/>
    </row>
    <row r="64" spans="1:8" ht="15.75" customHeight="1">
      <c r="A64" s="65" t="s">
        <v>153</v>
      </c>
      <c r="B64" s="66"/>
      <c r="C64" s="64"/>
      <c r="D64" s="64"/>
      <c r="E64" s="64"/>
      <c r="F64" s="64"/>
      <c r="G64" s="64"/>
      <c r="H64" s="157"/>
    </row>
    <row r="65" spans="1:8" ht="15.75" customHeight="1">
      <c r="A65" s="67"/>
      <c r="B65" s="66"/>
      <c r="C65" s="64"/>
      <c r="D65" s="64"/>
      <c r="E65" s="64"/>
      <c r="F65" s="64"/>
      <c r="G65" s="64"/>
      <c r="H65" s="157"/>
    </row>
    <row r="66" spans="1:8" ht="15.75" customHeight="1">
      <c r="A66" s="66"/>
      <c r="B66" s="68"/>
      <c r="C66" s="69"/>
      <c r="D66" s="70"/>
      <c r="E66" s="70"/>
      <c r="F66" s="70"/>
      <c r="G66" s="70"/>
      <c r="H66" s="157"/>
    </row>
    <row r="67" spans="1:8" ht="15.75" customHeight="1">
      <c r="A67" s="66"/>
      <c r="B67" s="71" t="s">
        <v>618</v>
      </c>
      <c r="C67" s="72">
        <v>45348</v>
      </c>
      <c r="D67" s="70"/>
      <c r="E67" s="70"/>
      <c r="F67" s="70"/>
      <c r="G67" s="70"/>
      <c r="H67" s="157"/>
    </row>
    <row r="68" spans="1:8" ht="15.75" customHeight="1">
      <c r="A68" s="73"/>
      <c r="B68" s="74" t="s">
        <v>619</v>
      </c>
      <c r="C68" s="75" t="s">
        <v>156</v>
      </c>
      <c r="D68" s="70"/>
      <c r="E68" s="70"/>
      <c r="F68" s="70"/>
      <c r="G68" s="70"/>
      <c r="H68" s="157"/>
    </row>
    <row r="69" spans="1:8" ht="15.75" customHeight="1">
      <c r="A69" s="64"/>
      <c r="B69" s="64"/>
      <c r="C69" s="64"/>
      <c r="D69" s="70"/>
      <c r="E69" s="70"/>
      <c r="F69" s="70"/>
      <c r="G69" s="70"/>
      <c r="H69" s="157"/>
    </row>
    <row r="70" spans="1:8" ht="15.75" customHeight="1">
      <c r="A70" s="64"/>
      <c r="B70" s="64"/>
      <c r="C70" s="64"/>
      <c r="D70" s="70"/>
      <c r="E70" s="70"/>
      <c r="F70" s="70"/>
      <c r="G70" s="70"/>
      <c r="H70" s="157"/>
    </row>
    <row r="71" spans="1:8" ht="15.75" customHeight="1">
      <c r="A71" s="64" t="s">
        <v>157</v>
      </c>
      <c r="B71" s="64"/>
      <c r="C71" s="64"/>
      <c r="D71" s="70"/>
      <c r="E71" s="70"/>
      <c r="F71" s="70"/>
      <c r="G71" s="70"/>
      <c r="H71" s="157"/>
    </row>
    <row r="72" spans="1:8" ht="15.75" customHeight="1">
      <c r="A72" s="76"/>
      <c r="B72" s="64"/>
      <c r="C72" s="64"/>
      <c r="D72" s="70"/>
      <c r="E72" s="70"/>
      <c r="F72" s="70"/>
      <c r="G72" s="70"/>
      <c r="H72" s="157"/>
    </row>
    <row r="73" spans="1:8" ht="15.75" customHeight="1">
      <c r="A73" s="66"/>
      <c r="B73" s="68"/>
      <c r="C73" s="69"/>
      <c r="D73" s="70"/>
      <c r="E73" s="70"/>
      <c r="F73" s="70"/>
      <c r="G73" s="70"/>
      <c r="H73" s="157"/>
    </row>
    <row r="74" spans="1:8" ht="15.75" customHeight="1">
      <c r="A74" s="66"/>
      <c r="B74" s="71" t="s">
        <v>158</v>
      </c>
      <c r="C74" s="72">
        <v>45348</v>
      </c>
      <c r="D74" s="70"/>
      <c r="E74" s="70"/>
      <c r="F74" s="70"/>
      <c r="G74" s="70"/>
      <c r="H74" s="157"/>
    </row>
    <row r="75" spans="1:8" ht="15.75" customHeight="1">
      <c r="A75" s="74"/>
      <c r="B75" s="77" t="s">
        <v>159</v>
      </c>
      <c r="C75" s="75" t="s">
        <v>156</v>
      </c>
      <c r="D75" s="70"/>
      <c r="E75" s="70"/>
      <c r="F75" s="70"/>
      <c r="G75" s="70"/>
      <c r="H75" s="157"/>
    </row>
    <row r="76" spans="1:8" ht="15.75" customHeight="1">
      <c r="H76" s="157"/>
    </row>
    <row r="77" spans="1:8" ht="15.75" customHeight="1">
      <c r="H77" s="157"/>
    </row>
    <row r="78" spans="1:8" ht="15.75" customHeight="1">
      <c r="H78" s="157"/>
    </row>
    <row r="79" spans="1:8" ht="15.75" customHeight="1">
      <c r="H79" s="157"/>
    </row>
    <row r="80" spans="1:8" ht="15.75" customHeight="1">
      <c r="H80" s="157"/>
    </row>
    <row r="81" spans="8:8" ht="15.75" customHeight="1">
      <c r="H81" s="157"/>
    </row>
    <row r="82" spans="8:8" ht="15.75" customHeight="1">
      <c r="H82" s="157"/>
    </row>
    <row r="83" spans="8:8" ht="15.75" customHeight="1">
      <c r="H83" s="157"/>
    </row>
    <row r="84" spans="8:8" ht="15.75" customHeight="1">
      <c r="H84" s="157"/>
    </row>
    <row r="85" spans="8:8" ht="15.75" customHeight="1">
      <c r="H85" s="157"/>
    </row>
    <row r="86" spans="8:8" ht="15.75" customHeight="1">
      <c r="H86" s="157"/>
    </row>
    <row r="87" spans="8:8" ht="15.75" customHeight="1">
      <c r="H87" s="157"/>
    </row>
    <row r="88" spans="8:8" ht="15.75" customHeight="1">
      <c r="H88" s="157"/>
    </row>
    <row r="89" spans="8:8" ht="15.75" customHeight="1">
      <c r="H89" s="157"/>
    </row>
    <row r="90" spans="8:8" ht="15.75" customHeight="1">
      <c r="H90" s="157"/>
    </row>
    <row r="91" spans="8:8" ht="15.75" customHeight="1">
      <c r="H91" s="157"/>
    </row>
    <row r="92" spans="8:8" ht="15.75" customHeight="1">
      <c r="H92" s="157"/>
    </row>
    <row r="93" spans="8:8" ht="15.75" customHeight="1">
      <c r="H93" s="157"/>
    </row>
    <row r="94" spans="8:8" ht="15.75" customHeight="1">
      <c r="H94" s="157"/>
    </row>
    <row r="95" spans="8:8" ht="15.75" customHeight="1">
      <c r="H95" s="157"/>
    </row>
    <row r="96" spans="8:8" ht="15.75" customHeight="1">
      <c r="H96" s="157"/>
    </row>
    <row r="97" spans="8:8" ht="15.75" customHeight="1">
      <c r="H97" s="157"/>
    </row>
    <row r="98" spans="8:8" ht="15.75" customHeight="1">
      <c r="H98" s="157"/>
    </row>
    <row r="99" spans="8:8" ht="15.75" customHeight="1">
      <c r="H99" s="157"/>
    </row>
    <row r="100" spans="8:8" ht="15.75" customHeight="1">
      <c r="H100" s="157"/>
    </row>
    <row r="101" spans="8:8" ht="15.75" customHeight="1">
      <c r="H101" s="157"/>
    </row>
    <row r="102" spans="8:8" ht="15.75" customHeight="1">
      <c r="H102" s="157"/>
    </row>
    <row r="103" spans="8:8" ht="15.75" customHeight="1">
      <c r="H103" s="157"/>
    </row>
    <row r="104" spans="8:8" ht="15.75" customHeight="1">
      <c r="H104" s="157"/>
    </row>
    <row r="105" spans="8:8" ht="15.75" customHeight="1">
      <c r="H105" s="157"/>
    </row>
    <row r="106" spans="8:8" ht="15.75" customHeight="1">
      <c r="H106" s="157"/>
    </row>
    <row r="107" spans="8:8" ht="15.75" customHeight="1">
      <c r="H107" s="157"/>
    </row>
    <row r="108" spans="8:8" ht="15.75" customHeight="1">
      <c r="H108" s="157"/>
    </row>
    <row r="109" spans="8:8" ht="15.75" customHeight="1">
      <c r="H109" s="157"/>
    </row>
    <row r="110" spans="8:8" ht="15.75" customHeight="1">
      <c r="H110" s="157"/>
    </row>
    <row r="111" spans="8:8" ht="15.75" customHeight="1">
      <c r="H111" s="157"/>
    </row>
    <row r="112" spans="8:8" ht="15.75" customHeight="1">
      <c r="H112" s="157"/>
    </row>
    <row r="113" spans="8:8" ht="15.75" customHeight="1">
      <c r="H113" s="157"/>
    </row>
    <row r="114" spans="8:8" ht="15.75" customHeight="1">
      <c r="H114" s="157"/>
    </row>
    <row r="115" spans="8:8" ht="15.75" customHeight="1">
      <c r="H115" s="157"/>
    </row>
    <row r="116" spans="8:8" ht="15.75" customHeight="1">
      <c r="H116" s="157"/>
    </row>
    <row r="117" spans="8:8" ht="15.75" customHeight="1">
      <c r="H117" s="157"/>
    </row>
    <row r="118" spans="8:8" ht="15.75" customHeight="1">
      <c r="H118" s="157"/>
    </row>
    <row r="119" spans="8:8" ht="15.75" customHeight="1">
      <c r="H119" s="157"/>
    </row>
    <row r="120" spans="8:8" ht="15.75" customHeight="1">
      <c r="H120" s="157"/>
    </row>
    <row r="121" spans="8:8" ht="15.75" customHeight="1">
      <c r="H121" s="157"/>
    </row>
    <row r="122" spans="8:8" ht="15.75" customHeight="1">
      <c r="H122" s="157"/>
    </row>
    <row r="123" spans="8:8" ht="15.75" customHeight="1">
      <c r="H123" s="157"/>
    </row>
    <row r="124" spans="8:8" ht="15.75" customHeight="1">
      <c r="H124" s="157"/>
    </row>
    <row r="125" spans="8:8" ht="15.75" customHeight="1">
      <c r="H125" s="157"/>
    </row>
    <row r="126" spans="8:8" ht="15.75" customHeight="1">
      <c r="H126" s="157"/>
    </row>
    <row r="127" spans="8:8" ht="15.75" customHeight="1">
      <c r="H127" s="157"/>
    </row>
    <row r="128" spans="8:8" ht="15.75" customHeight="1">
      <c r="H128" s="157"/>
    </row>
    <row r="129" spans="8:8" ht="15.75" customHeight="1">
      <c r="H129" s="157"/>
    </row>
    <row r="130" spans="8:8" ht="15.75" customHeight="1">
      <c r="H130" s="157"/>
    </row>
    <row r="131" spans="8:8" ht="15.75" customHeight="1">
      <c r="H131" s="157"/>
    </row>
    <row r="132" spans="8:8" ht="15.75" customHeight="1">
      <c r="H132" s="157"/>
    </row>
    <row r="133" spans="8:8" ht="15.75" customHeight="1">
      <c r="H133" s="157"/>
    </row>
    <row r="134" spans="8:8" ht="15.75" customHeight="1">
      <c r="H134" s="157"/>
    </row>
    <row r="135" spans="8:8" ht="15.75" customHeight="1">
      <c r="H135" s="157"/>
    </row>
    <row r="136" spans="8:8" ht="15.75" customHeight="1">
      <c r="H136" s="157"/>
    </row>
    <row r="137" spans="8:8" ht="15.75" customHeight="1">
      <c r="H137" s="157"/>
    </row>
    <row r="138" spans="8:8" ht="15.75" customHeight="1">
      <c r="H138" s="157"/>
    </row>
    <row r="139" spans="8:8" ht="15.75" customHeight="1">
      <c r="H139" s="157"/>
    </row>
    <row r="140" spans="8:8" ht="15.75" customHeight="1">
      <c r="H140" s="157"/>
    </row>
    <row r="141" spans="8:8" ht="15.75" customHeight="1">
      <c r="H141" s="157"/>
    </row>
    <row r="142" spans="8:8" ht="15.75" customHeight="1">
      <c r="H142" s="157"/>
    </row>
    <row r="143" spans="8:8" ht="15.75" customHeight="1">
      <c r="H143" s="157"/>
    </row>
    <row r="144" spans="8:8" ht="15.75" customHeight="1">
      <c r="H144" s="157"/>
    </row>
    <row r="145" spans="8:8" ht="15.75" customHeight="1">
      <c r="H145" s="157"/>
    </row>
    <row r="146" spans="8:8" ht="15.75" customHeight="1">
      <c r="H146" s="157"/>
    </row>
    <row r="147" spans="8:8" ht="15.75" customHeight="1">
      <c r="H147" s="157"/>
    </row>
    <row r="148" spans="8:8" ht="15.75" customHeight="1">
      <c r="H148" s="157"/>
    </row>
    <row r="149" spans="8:8" ht="15.75" customHeight="1">
      <c r="H149" s="157"/>
    </row>
    <row r="150" spans="8:8" ht="15.75" customHeight="1">
      <c r="H150" s="157"/>
    </row>
    <row r="151" spans="8:8" ht="15.75" customHeight="1">
      <c r="H151" s="157"/>
    </row>
    <row r="152" spans="8:8" ht="15.75" customHeight="1">
      <c r="H152" s="157"/>
    </row>
    <row r="153" spans="8:8" ht="15.75" customHeight="1">
      <c r="H153" s="157"/>
    </row>
    <row r="154" spans="8:8" ht="15.75" customHeight="1">
      <c r="H154" s="157"/>
    </row>
    <row r="155" spans="8:8" ht="15.75" customHeight="1">
      <c r="H155" s="157"/>
    </row>
    <row r="156" spans="8:8" ht="15.75" customHeight="1">
      <c r="H156" s="157"/>
    </row>
    <row r="157" spans="8:8" ht="15.75" customHeight="1">
      <c r="H157" s="157"/>
    </row>
    <row r="158" spans="8:8" ht="15.75" customHeight="1">
      <c r="H158" s="157"/>
    </row>
    <row r="159" spans="8:8" ht="15.75" customHeight="1">
      <c r="H159" s="157"/>
    </row>
    <row r="160" spans="8:8" ht="15.75" customHeight="1">
      <c r="H160" s="157"/>
    </row>
    <row r="161" spans="8:8" ht="15.75" customHeight="1">
      <c r="H161" s="157"/>
    </row>
    <row r="162" spans="8:8" ht="15.75" customHeight="1">
      <c r="H162" s="157"/>
    </row>
    <row r="163" spans="8:8" ht="15.75" customHeight="1">
      <c r="H163" s="157"/>
    </row>
    <row r="164" spans="8:8" ht="15.75" customHeight="1">
      <c r="H164" s="157"/>
    </row>
    <row r="165" spans="8:8" ht="15.75" customHeight="1">
      <c r="H165" s="157"/>
    </row>
    <row r="166" spans="8:8" ht="15.75" customHeight="1">
      <c r="H166" s="157"/>
    </row>
    <row r="167" spans="8:8" ht="15.75" customHeight="1">
      <c r="H167" s="157"/>
    </row>
    <row r="168" spans="8:8" ht="15.75" customHeight="1">
      <c r="H168" s="157"/>
    </row>
    <row r="169" spans="8:8" ht="15.75" customHeight="1">
      <c r="H169" s="157"/>
    </row>
    <row r="170" spans="8:8" ht="15.75" customHeight="1">
      <c r="H170" s="157"/>
    </row>
    <row r="171" spans="8:8" ht="15.75" customHeight="1">
      <c r="H171" s="157"/>
    </row>
    <row r="172" spans="8:8" ht="15.75" customHeight="1">
      <c r="H172" s="157"/>
    </row>
    <row r="173" spans="8:8" ht="15.75" customHeight="1">
      <c r="H173" s="157"/>
    </row>
    <row r="174" spans="8:8" ht="15.75" customHeight="1">
      <c r="H174" s="157"/>
    </row>
    <row r="175" spans="8:8" ht="15.75" customHeight="1">
      <c r="H175" s="157"/>
    </row>
    <row r="176" spans="8:8" ht="15.75" customHeight="1">
      <c r="H176" s="157"/>
    </row>
    <row r="177" spans="8:8" ht="15.75" customHeight="1">
      <c r="H177" s="157"/>
    </row>
    <row r="178" spans="8:8" ht="15.75" customHeight="1">
      <c r="H178" s="157"/>
    </row>
    <row r="179" spans="8:8" ht="15.75" customHeight="1">
      <c r="H179" s="157"/>
    </row>
    <row r="180" spans="8:8" ht="15.75" customHeight="1">
      <c r="H180" s="157"/>
    </row>
    <row r="181" spans="8:8" ht="15.75" customHeight="1">
      <c r="H181" s="157"/>
    </row>
    <row r="182" spans="8:8" ht="15.75" customHeight="1">
      <c r="H182" s="157"/>
    </row>
    <row r="183" spans="8:8" ht="15.75" customHeight="1">
      <c r="H183" s="157"/>
    </row>
    <row r="184" spans="8:8" ht="15.75" customHeight="1">
      <c r="H184" s="157"/>
    </row>
    <row r="185" spans="8:8" ht="15.75" customHeight="1">
      <c r="H185" s="157"/>
    </row>
    <row r="186" spans="8:8" ht="15.75" customHeight="1">
      <c r="H186" s="157"/>
    </row>
    <row r="187" spans="8:8" ht="15.75" customHeight="1">
      <c r="H187" s="157"/>
    </row>
    <row r="188" spans="8:8" ht="15.75" customHeight="1">
      <c r="H188" s="157"/>
    </row>
    <row r="189" spans="8:8" ht="15.75" customHeight="1">
      <c r="H189" s="157"/>
    </row>
    <row r="190" spans="8:8" ht="15.75" customHeight="1">
      <c r="H190" s="157"/>
    </row>
    <row r="191" spans="8:8" ht="15.75" customHeight="1">
      <c r="H191" s="157"/>
    </row>
    <row r="192" spans="8:8" ht="15.75" customHeight="1">
      <c r="H192" s="157"/>
    </row>
    <row r="193" spans="8:8" ht="15.75" customHeight="1">
      <c r="H193" s="157"/>
    </row>
    <row r="194" spans="8:8" ht="15.75" customHeight="1">
      <c r="H194" s="157"/>
    </row>
    <row r="195" spans="8:8" ht="15.75" customHeight="1">
      <c r="H195" s="157"/>
    </row>
    <row r="196" spans="8:8" ht="15.75" customHeight="1">
      <c r="H196" s="157"/>
    </row>
    <row r="197" spans="8:8" ht="15.75" customHeight="1">
      <c r="H197" s="157"/>
    </row>
    <row r="198" spans="8:8" ht="15.75" customHeight="1">
      <c r="H198" s="157"/>
    </row>
    <row r="199" spans="8:8" ht="15.75" customHeight="1">
      <c r="H199" s="157"/>
    </row>
    <row r="200" spans="8:8" ht="15.75" customHeight="1">
      <c r="H200" s="157"/>
    </row>
    <row r="201" spans="8:8" ht="15.75" customHeight="1">
      <c r="H201" s="157"/>
    </row>
    <row r="202" spans="8:8" ht="15.75" customHeight="1">
      <c r="H202" s="157"/>
    </row>
    <row r="203" spans="8:8" ht="15.75" customHeight="1">
      <c r="H203" s="157"/>
    </row>
    <row r="204" spans="8:8" ht="15.75" customHeight="1">
      <c r="H204" s="157"/>
    </row>
    <row r="205" spans="8:8" ht="15.75" customHeight="1">
      <c r="H205" s="157"/>
    </row>
    <row r="206" spans="8:8" ht="15.75" customHeight="1">
      <c r="H206" s="157"/>
    </row>
    <row r="207" spans="8:8" ht="15.75" customHeight="1">
      <c r="H207" s="157"/>
    </row>
    <row r="208" spans="8:8" ht="15.75" customHeight="1">
      <c r="H208" s="157"/>
    </row>
    <row r="209" spans="8:8" ht="15.75" customHeight="1">
      <c r="H209" s="157"/>
    </row>
    <row r="210" spans="8:8" ht="15.75" customHeight="1">
      <c r="H210" s="157"/>
    </row>
    <row r="211" spans="8:8" ht="15.75" customHeight="1">
      <c r="H211" s="157"/>
    </row>
    <row r="212" spans="8:8" ht="15.75" customHeight="1">
      <c r="H212" s="157"/>
    </row>
    <row r="213" spans="8:8" ht="15.75" customHeight="1">
      <c r="H213" s="157"/>
    </row>
    <row r="214" spans="8:8" ht="15.75" customHeight="1">
      <c r="H214" s="157"/>
    </row>
    <row r="215" spans="8:8" ht="15.75" customHeight="1">
      <c r="H215" s="157"/>
    </row>
    <row r="216" spans="8:8" ht="15.75" customHeight="1">
      <c r="H216" s="157"/>
    </row>
    <row r="217" spans="8:8" ht="15.75" customHeight="1">
      <c r="H217" s="157"/>
    </row>
    <row r="218" spans="8:8" ht="15.75" customHeight="1">
      <c r="H218" s="157"/>
    </row>
    <row r="219" spans="8:8" ht="15.75" customHeight="1">
      <c r="H219" s="157"/>
    </row>
    <row r="220" spans="8:8" ht="15.75" customHeight="1">
      <c r="H220" s="157"/>
    </row>
    <row r="221" spans="8:8" ht="15.75" customHeight="1">
      <c r="H221" s="157"/>
    </row>
    <row r="222" spans="8:8" ht="15.75" customHeight="1">
      <c r="H222" s="157"/>
    </row>
    <row r="223" spans="8:8" ht="15.75" customHeight="1">
      <c r="H223" s="157"/>
    </row>
    <row r="224" spans="8:8" ht="15.75" customHeight="1">
      <c r="H224" s="157"/>
    </row>
    <row r="225" spans="8:8" ht="15.75" customHeight="1">
      <c r="H225" s="157"/>
    </row>
    <row r="226" spans="8:8" ht="15.75" customHeight="1">
      <c r="H226" s="157"/>
    </row>
    <row r="227" spans="8:8" ht="15.75" customHeight="1">
      <c r="H227" s="157"/>
    </row>
    <row r="228" spans="8:8" ht="15.75" customHeight="1">
      <c r="H228" s="157"/>
    </row>
    <row r="229" spans="8:8" ht="15.75" customHeight="1">
      <c r="H229" s="157"/>
    </row>
    <row r="230" spans="8:8" ht="15.75" customHeight="1">
      <c r="H230" s="157"/>
    </row>
    <row r="231" spans="8:8" ht="15.75" customHeight="1">
      <c r="H231" s="157"/>
    </row>
    <row r="232" spans="8:8" ht="15.75" customHeight="1">
      <c r="H232" s="157"/>
    </row>
    <row r="233" spans="8:8" ht="15.75" customHeight="1">
      <c r="H233" s="157"/>
    </row>
    <row r="234" spans="8:8" ht="15.75" customHeight="1">
      <c r="H234" s="157"/>
    </row>
    <row r="235" spans="8:8" ht="15.75" customHeight="1">
      <c r="H235" s="157"/>
    </row>
    <row r="236" spans="8:8" ht="15.75" customHeight="1">
      <c r="H236" s="157"/>
    </row>
    <row r="237" spans="8:8" ht="15.75" customHeight="1">
      <c r="H237" s="157"/>
    </row>
    <row r="238" spans="8:8" ht="15.75" customHeight="1">
      <c r="H238" s="157"/>
    </row>
    <row r="239" spans="8:8" ht="15.75" customHeight="1">
      <c r="H239" s="157"/>
    </row>
    <row r="240" spans="8:8" ht="15.75" customHeight="1">
      <c r="H240" s="157"/>
    </row>
    <row r="241" spans="8:8" ht="15.75" customHeight="1">
      <c r="H241" s="157"/>
    </row>
    <row r="242" spans="8:8" ht="15.75" customHeight="1">
      <c r="H242" s="157"/>
    </row>
    <row r="243" spans="8:8" ht="15.75" customHeight="1">
      <c r="H243" s="157"/>
    </row>
    <row r="244" spans="8:8" ht="15.75" customHeight="1">
      <c r="H244" s="157"/>
    </row>
    <row r="245" spans="8:8" ht="15.75" customHeight="1">
      <c r="H245" s="157"/>
    </row>
    <row r="246" spans="8:8" ht="15.75" customHeight="1">
      <c r="H246" s="157"/>
    </row>
    <row r="247" spans="8:8" ht="15.75" customHeight="1">
      <c r="H247" s="157"/>
    </row>
    <row r="248" spans="8:8" ht="15.75" customHeight="1">
      <c r="H248" s="157"/>
    </row>
    <row r="249" spans="8:8" ht="15.75" customHeight="1">
      <c r="H249" s="157"/>
    </row>
    <row r="250" spans="8:8" ht="15.75" customHeight="1">
      <c r="H250" s="157"/>
    </row>
    <row r="251" spans="8:8" ht="15.75" customHeight="1">
      <c r="H251" s="157"/>
    </row>
    <row r="252" spans="8:8" ht="15.75" customHeight="1">
      <c r="H252" s="157"/>
    </row>
    <row r="253" spans="8:8" ht="15.75" customHeight="1">
      <c r="H253" s="157"/>
    </row>
    <row r="254" spans="8:8" ht="15.75" customHeight="1">
      <c r="H254" s="157"/>
    </row>
    <row r="255" spans="8:8" ht="15.75" customHeight="1">
      <c r="H255" s="157"/>
    </row>
    <row r="256" spans="8:8" ht="15.75" customHeight="1">
      <c r="H256" s="157"/>
    </row>
    <row r="257" spans="8:8" ht="15.75" customHeight="1">
      <c r="H257" s="157"/>
    </row>
    <row r="258" spans="8:8" ht="15.75" customHeight="1">
      <c r="H258" s="157"/>
    </row>
    <row r="259" spans="8:8" ht="15.75" customHeight="1">
      <c r="H259" s="157"/>
    </row>
    <row r="260" spans="8:8" ht="15.75" customHeight="1">
      <c r="H260" s="157"/>
    </row>
    <row r="261" spans="8:8" ht="15.75" customHeight="1">
      <c r="H261" s="157"/>
    </row>
    <row r="262" spans="8:8" ht="15.75" customHeight="1">
      <c r="H262" s="157"/>
    </row>
    <row r="263" spans="8:8" ht="15.75" customHeight="1">
      <c r="H263" s="157"/>
    </row>
    <row r="264" spans="8:8" ht="15.75" customHeight="1">
      <c r="H264" s="157"/>
    </row>
    <row r="265" spans="8:8" ht="15.75" customHeight="1">
      <c r="H265" s="157"/>
    </row>
    <row r="266" spans="8:8" ht="15.75" customHeight="1">
      <c r="H266" s="157"/>
    </row>
    <row r="267" spans="8:8" ht="15.75" customHeight="1">
      <c r="H267" s="157"/>
    </row>
    <row r="268" spans="8:8" ht="15.75" customHeight="1">
      <c r="H268" s="157"/>
    </row>
    <row r="269" spans="8:8" ht="15.75" customHeight="1">
      <c r="H269" s="157"/>
    </row>
    <row r="270" spans="8:8" ht="15.75" customHeight="1">
      <c r="H270" s="157"/>
    </row>
    <row r="271" spans="8:8" ht="15.75" customHeight="1">
      <c r="H271" s="157"/>
    </row>
    <row r="272" spans="8:8" ht="15.75" customHeight="1">
      <c r="H272" s="157"/>
    </row>
    <row r="273" spans="8:8" ht="15.75" customHeight="1">
      <c r="H273" s="157"/>
    </row>
    <row r="274" spans="8:8" ht="15.75" customHeight="1">
      <c r="H274" s="157"/>
    </row>
    <row r="275" spans="8:8" ht="15.75" customHeight="1">
      <c r="H275" s="157"/>
    </row>
    <row r="276" spans="8:8" ht="15.75" customHeight="1">
      <c r="H276" s="157"/>
    </row>
    <row r="277" spans="8:8" ht="15.75" customHeight="1">
      <c r="H277" s="157"/>
    </row>
    <row r="278" spans="8:8" ht="15.75" customHeight="1">
      <c r="H278" s="157"/>
    </row>
    <row r="279" spans="8:8" ht="15.75" customHeight="1">
      <c r="H279" s="157"/>
    </row>
    <row r="280" spans="8:8" ht="15.75" customHeight="1">
      <c r="H280" s="157"/>
    </row>
    <row r="281" spans="8:8" ht="15.75" customHeight="1">
      <c r="H281" s="157"/>
    </row>
    <row r="282" spans="8:8" ht="15.75" customHeight="1">
      <c r="H282" s="157"/>
    </row>
    <row r="283" spans="8:8" ht="15.75" customHeight="1">
      <c r="H283" s="157"/>
    </row>
    <row r="284" spans="8:8" ht="15.75" customHeight="1">
      <c r="H284" s="157"/>
    </row>
    <row r="285" spans="8:8" ht="15.75" customHeight="1">
      <c r="H285" s="157"/>
    </row>
    <row r="286" spans="8:8" ht="15.75" customHeight="1">
      <c r="H286" s="157"/>
    </row>
    <row r="287" spans="8:8" ht="15.75" customHeight="1">
      <c r="H287" s="157"/>
    </row>
    <row r="288" spans="8:8" ht="15.75" customHeight="1">
      <c r="H288" s="157"/>
    </row>
    <row r="289" spans="8:8" ht="15.75" customHeight="1">
      <c r="H289" s="157"/>
    </row>
    <row r="290" spans="8:8" ht="15.75" customHeight="1">
      <c r="H290" s="157"/>
    </row>
    <row r="291" spans="8:8" ht="15.75" customHeight="1">
      <c r="H291" s="157"/>
    </row>
    <row r="292" spans="8:8" ht="15.75" customHeight="1">
      <c r="H292" s="157"/>
    </row>
    <row r="293" spans="8:8" ht="15.75" customHeight="1">
      <c r="H293" s="157"/>
    </row>
    <row r="294" spans="8:8" ht="15.75" customHeight="1">
      <c r="H294" s="157"/>
    </row>
    <row r="295" spans="8:8" ht="15.75" customHeight="1">
      <c r="H295" s="157"/>
    </row>
    <row r="296" spans="8:8" ht="15.75" customHeight="1">
      <c r="H296" s="157"/>
    </row>
    <row r="297" spans="8:8" ht="15.75" customHeight="1">
      <c r="H297" s="157"/>
    </row>
    <row r="298" spans="8:8" ht="15.75" customHeight="1">
      <c r="H298" s="157"/>
    </row>
    <row r="299" spans="8:8" ht="15.75" customHeight="1">
      <c r="H299" s="157"/>
    </row>
    <row r="300" spans="8:8" ht="15.75" customHeight="1">
      <c r="H300" s="157"/>
    </row>
    <row r="301" spans="8:8" ht="15.75" customHeight="1">
      <c r="H301" s="157"/>
    </row>
    <row r="302" spans="8:8" ht="15.75" customHeight="1">
      <c r="H302" s="157"/>
    </row>
    <row r="303" spans="8:8" ht="15.75" customHeight="1">
      <c r="H303" s="157"/>
    </row>
    <row r="304" spans="8:8" ht="15.75" customHeight="1">
      <c r="H304" s="157"/>
    </row>
    <row r="305" spans="8:8" ht="15.75" customHeight="1">
      <c r="H305" s="157"/>
    </row>
    <row r="306" spans="8:8" ht="15.75" customHeight="1">
      <c r="H306" s="157"/>
    </row>
    <row r="307" spans="8:8" ht="15.75" customHeight="1">
      <c r="H307" s="157"/>
    </row>
    <row r="308" spans="8:8" ht="15.75" customHeight="1">
      <c r="H308" s="157"/>
    </row>
    <row r="309" spans="8:8" ht="15.75" customHeight="1">
      <c r="H309" s="157"/>
    </row>
    <row r="310" spans="8:8" ht="15.75" customHeight="1">
      <c r="H310" s="157"/>
    </row>
    <row r="311" spans="8:8" ht="15.75" customHeight="1">
      <c r="H311" s="157"/>
    </row>
    <row r="312" spans="8:8" ht="15.75" customHeight="1">
      <c r="H312" s="157"/>
    </row>
    <row r="313" spans="8:8" ht="15.75" customHeight="1">
      <c r="H313" s="157"/>
    </row>
    <row r="314" spans="8:8" ht="15.75" customHeight="1">
      <c r="H314" s="157"/>
    </row>
    <row r="315" spans="8:8" ht="15.75" customHeight="1">
      <c r="H315" s="157"/>
    </row>
    <row r="316" spans="8:8" ht="15.75" customHeight="1">
      <c r="H316" s="157"/>
    </row>
    <row r="317" spans="8:8" ht="15.75" customHeight="1">
      <c r="H317" s="157"/>
    </row>
    <row r="318" spans="8:8" ht="15.75" customHeight="1">
      <c r="H318" s="157"/>
    </row>
    <row r="319" spans="8:8" ht="15.75" customHeight="1">
      <c r="H319" s="157"/>
    </row>
    <row r="320" spans="8:8" ht="15.75" customHeight="1">
      <c r="H320" s="157"/>
    </row>
    <row r="321" spans="8:8" ht="15.75" customHeight="1">
      <c r="H321" s="157"/>
    </row>
    <row r="322" spans="8:8" ht="15.75" customHeight="1">
      <c r="H322" s="157"/>
    </row>
    <row r="323" spans="8:8" ht="15.75" customHeight="1">
      <c r="H323" s="157"/>
    </row>
    <row r="324" spans="8:8" ht="15.75" customHeight="1">
      <c r="H324" s="157"/>
    </row>
    <row r="325" spans="8:8" ht="15.75" customHeight="1">
      <c r="H325" s="157"/>
    </row>
    <row r="326" spans="8:8" ht="15.75" customHeight="1">
      <c r="H326" s="157"/>
    </row>
    <row r="327" spans="8:8" ht="15.75" customHeight="1">
      <c r="H327" s="157"/>
    </row>
    <row r="328" spans="8:8" ht="15.75" customHeight="1">
      <c r="H328" s="157"/>
    </row>
    <row r="329" spans="8:8" ht="15.75" customHeight="1">
      <c r="H329" s="157"/>
    </row>
    <row r="330" spans="8:8" ht="15.75" customHeight="1">
      <c r="H330" s="157"/>
    </row>
    <row r="331" spans="8:8" ht="15.75" customHeight="1">
      <c r="H331" s="157"/>
    </row>
    <row r="332" spans="8:8" ht="15.75" customHeight="1">
      <c r="H332" s="157"/>
    </row>
    <row r="333" spans="8:8" ht="15.75" customHeight="1">
      <c r="H333" s="157"/>
    </row>
    <row r="334" spans="8:8" ht="15.75" customHeight="1">
      <c r="H334" s="157"/>
    </row>
    <row r="335" spans="8:8" ht="15.75" customHeight="1">
      <c r="H335" s="157"/>
    </row>
    <row r="336" spans="8:8" ht="15.75" customHeight="1">
      <c r="H336" s="157"/>
    </row>
    <row r="337" spans="8:8" ht="15.75" customHeight="1">
      <c r="H337" s="157"/>
    </row>
    <row r="338" spans="8:8" ht="15.75" customHeight="1">
      <c r="H338" s="157"/>
    </row>
    <row r="339" spans="8:8" ht="15.75" customHeight="1">
      <c r="H339" s="157"/>
    </row>
    <row r="340" spans="8:8" ht="15.75" customHeight="1">
      <c r="H340" s="157"/>
    </row>
    <row r="341" spans="8:8" ht="15.75" customHeight="1">
      <c r="H341" s="157"/>
    </row>
    <row r="342" spans="8:8" ht="15.75" customHeight="1">
      <c r="H342" s="157"/>
    </row>
    <row r="343" spans="8:8" ht="15.75" customHeight="1">
      <c r="H343" s="157"/>
    </row>
    <row r="344" spans="8:8" ht="15.75" customHeight="1">
      <c r="H344" s="157"/>
    </row>
    <row r="345" spans="8:8" ht="15.75" customHeight="1">
      <c r="H345" s="157"/>
    </row>
    <row r="346" spans="8:8" ht="15.75" customHeight="1">
      <c r="H346" s="157"/>
    </row>
    <row r="347" spans="8:8" ht="15.75" customHeight="1">
      <c r="H347" s="157"/>
    </row>
    <row r="348" spans="8:8" ht="15.75" customHeight="1">
      <c r="H348" s="157"/>
    </row>
    <row r="349" spans="8:8" ht="15.75" customHeight="1">
      <c r="H349" s="157"/>
    </row>
    <row r="350" spans="8:8" ht="15.75" customHeight="1">
      <c r="H350" s="157"/>
    </row>
    <row r="351" spans="8:8" ht="15.75" customHeight="1">
      <c r="H351" s="157"/>
    </row>
    <row r="352" spans="8:8" ht="15.75" customHeight="1">
      <c r="H352" s="157"/>
    </row>
    <row r="353" spans="8:8" ht="15.75" customHeight="1">
      <c r="H353" s="157"/>
    </row>
    <row r="354" spans="8:8" ht="15.75" customHeight="1">
      <c r="H354" s="157"/>
    </row>
    <row r="355" spans="8:8" ht="15.75" customHeight="1">
      <c r="H355" s="157"/>
    </row>
    <row r="356" spans="8:8" ht="15.75" customHeight="1">
      <c r="H356" s="157"/>
    </row>
    <row r="357" spans="8:8" ht="15.75" customHeight="1">
      <c r="H357" s="157"/>
    </row>
    <row r="358" spans="8:8" ht="15.75" customHeight="1">
      <c r="H358" s="157"/>
    </row>
    <row r="359" spans="8:8" ht="15.75" customHeight="1">
      <c r="H359" s="157"/>
    </row>
    <row r="360" spans="8:8" ht="15.75" customHeight="1">
      <c r="H360" s="157"/>
    </row>
    <row r="361" spans="8:8" ht="15.75" customHeight="1">
      <c r="H361" s="157"/>
    </row>
    <row r="362" spans="8:8" ht="15.75" customHeight="1">
      <c r="H362" s="157"/>
    </row>
    <row r="363" spans="8:8" ht="15.75" customHeight="1">
      <c r="H363" s="157"/>
    </row>
    <row r="364" spans="8:8" ht="15.75" customHeight="1">
      <c r="H364" s="157"/>
    </row>
    <row r="365" spans="8:8" ht="15.75" customHeight="1">
      <c r="H365" s="157"/>
    </row>
    <row r="366" spans="8:8" ht="15.75" customHeight="1">
      <c r="H366" s="157"/>
    </row>
    <row r="367" spans="8:8" ht="15.75" customHeight="1">
      <c r="H367" s="157"/>
    </row>
    <row r="368" spans="8:8" ht="15.75" customHeight="1">
      <c r="H368" s="157"/>
    </row>
    <row r="369" spans="8:8" ht="15.75" customHeight="1">
      <c r="H369" s="157"/>
    </row>
    <row r="370" spans="8:8" ht="15.75" customHeight="1">
      <c r="H370" s="157"/>
    </row>
    <row r="371" spans="8:8" ht="15.75" customHeight="1">
      <c r="H371" s="157"/>
    </row>
    <row r="372" spans="8:8" ht="15.75" customHeight="1">
      <c r="H372" s="157"/>
    </row>
    <row r="373" spans="8:8" ht="15.75" customHeight="1">
      <c r="H373" s="157"/>
    </row>
    <row r="374" spans="8:8" ht="15.75" customHeight="1">
      <c r="H374" s="157"/>
    </row>
    <row r="375" spans="8:8" ht="15.75" customHeight="1">
      <c r="H375" s="157"/>
    </row>
    <row r="376" spans="8:8" ht="15.75" customHeight="1">
      <c r="H376" s="157"/>
    </row>
    <row r="377" spans="8:8" ht="15.75" customHeight="1">
      <c r="H377" s="157"/>
    </row>
    <row r="378" spans="8:8" ht="15.75" customHeight="1">
      <c r="H378" s="157"/>
    </row>
    <row r="379" spans="8:8" ht="15.75" customHeight="1">
      <c r="H379" s="157"/>
    </row>
    <row r="380" spans="8:8" ht="15.75" customHeight="1">
      <c r="H380" s="157"/>
    </row>
    <row r="381" spans="8:8" ht="15.75" customHeight="1">
      <c r="H381" s="157"/>
    </row>
    <row r="382" spans="8:8" ht="15.75" customHeight="1">
      <c r="H382" s="157"/>
    </row>
    <row r="383" spans="8:8" ht="15.75" customHeight="1">
      <c r="H383" s="157"/>
    </row>
    <row r="384" spans="8:8" ht="15.75" customHeight="1">
      <c r="H384" s="157"/>
    </row>
    <row r="385" spans="8:8" ht="15.75" customHeight="1">
      <c r="H385" s="157"/>
    </row>
    <row r="386" spans="8:8" ht="15.75" customHeight="1">
      <c r="H386" s="157"/>
    </row>
    <row r="387" spans="8:8" ht="15.75" customHeight="1">
      <c r="H387" s="157"/>
    </row>
    <row r="388" spans="8:8" ht="15.75" customHeight="1">
      <c r="H388" s="157"/>
    </row>
    <row r="389" spans="8:8" ht="15.75" customHeight="1">
      <c r="H389" s="157"/>
    </row>
    <row r="390" spans="8:8" ht="15.75" customHeight="1">
      <c r="H390" s="157"/>
    </row>
    <row r="391" spans="8:8" ht="15.75" customHeight="1">
      <c r="H391" s="157"/>
    </row>
    <row r="392" spans="8:8" ht="15.75" customHeight="1">
      <c r="H392" s="157"/>
    </row>
    <row r="393" spans="8:8" ht="15.75" customHeight="1">
      <c r="H393" s="157"/>
    </row>
    <row r="394" spans="8:8" ht="15.75" customHeight="1">
      <c r="H394" s="157"/>
    </row>
    <row r="395" spans="8:8" ht="15.75" customHeight="1">
      <c r="H395" s="157"/>
    </row>
    <row r="396" spans="8:8" ht="15.75" customHeight="1">
      <c r="H396" s="157"/>
    </row>
    <row r="397" spans="8:8" ht="15.75" customHeight="1">
      <c r="H397" s="157"/>
    </row>
    <row r="398" spans="8:8" ht="15.75" customHeight="1">
      <c r="H398" s="157"/>
    </row>
    <row r="399" spans="8:8" ht="15.75" customHeight="1">
      <c r="H399" s="157"/>
    </row>
    <row r="400" spans="8:8" ht="15.75" customHeight="1">
      <c r="H400" s="157"/>
    </row>
    <row r="401" spans="8:8" ht="15.75" customHeight="1">
      <c r="H401" s="157"/>
    </row>
    <row r="402" spans="8:8" ht="15.75" customHeight="1">
      <c r="H402" s="157"/>
    </row>
    <row r="403" spans="8:8" ht="15.75" customHeight="1">
      <c r="H403" s="157"/>
    </row>
    <row r="404" spans="8:8" ht="15.75" customHeight="1">
      <c r="H404" s="157"/>
    </row>
    <row r="405" spans="8:8" ht="15.75" customHeight="1">
      <c r="H405" s="157"/>
    </row>
    <row r="406" spans="8:8" ht="15.75" customHeight="1">
      <c r="H406" s="157"/>
    </row>
    <row r="407" spans="8:8" ht="15.75" customHeight="1">
      <c r="H407" s="157"/>
    </row>
    <row r="408" spans="8:8" ht="15.75" customHeight="1">
      <c r="H408" s="157"/>
    </row>
    <row r="409" spans="8:8" ht="15.75" customHeight="1">
      <c r="H409" s="157"/>
    </row>
    <row r="410" spans="8:8" ht="15.75" customHeight="1">
      <c r="H410" s="157"/>
    </row>
    <row r="411" spans="8:8" ht="15.75" customHeight="1">
      <c r="H411" s="157"/>
    </row>
    <row r="412" spans="8:8" ht="15.75" customHeight="1">
      <c r="H412" s="157"/>
    </row>
    <row r="413" spans="8:8" ht="15.75" customHeight="1">
      <c r="H413" s="157"/>
    </row>
    <row r="414" spans="8:8" ht="15.75" customHeight="1">
      <c r="H414" s="157"/>
    </row>
    <row r="415" spans="8:8" ht="15.75" customHeight="1">
      <c r="H415" s="157"/>
    </row>
    <row r="416" spans="8:8" ht="15.75" customHeight="1">
      <c r="H416" s="157"/>
    </row>
    <row r="417" spans="8:8" ht="15.75" customHeight="1">
      <c r="H417" s="157"/>
    </row>
    <row r="418" spans="8:8" ht="15.75" customHeight="1">
      <c r="H418" s="157"/>
    </row>
    <row r="419" spans="8:8" ht="15.75" customHeight="1">
      <c r="H419" s="157"/>
    </row>
    <row r="420" spans="8:8" ht="15.75" customHeight="1">
      <c r="H420" s="157"/>
    </row>
    <row r="421" spans="8:8" ht="15.75" customHeight="1">
      <c r="H421" s="157"/>
    </row>
    <row r="422" spans="8:8" ht="15.75" customHeight="1">
      <c r="H422" s="157"/>
    </row>
    <row r="423" spans="8:8" ht="15.75" customHeight="1">
      <c r="H423" s="157"/>
    </row>
    <row r="424" spans="8:8" ht="15.75" customHeight="1">
      <c r="H424" s="157"/>
    </row>
    <row r="425" spans="8:8" ht="15.75" customHeight="1">
      <c r="H425" s="157"/>
    </row>
    <row r="426" spans="8:8" ht="15.75" customHeight="1">
      <c r="H426" s="157"/>
    </row>
    <row r="427" spans="8:8" ht="15.75" customHeight="1">
      <c r="H427" s="157"/>
    </row>
    <row r="428" spans="8:8" ht="15.75" customHeight="1">
      <c r="H428" s="157"/>
    </row>
    <row r="429" spans="8:8" ht="15.75" customHeight="1">
      <c r="H429" s="157"/>
    </row>
    <row r="430" spans="8:8" ht="15.75" customHeight="1">
      <c r="H430" s="157"/>
    </row>
    <row r="431" spans="8:8" ht="15.75" customHeight="1">
      <c r="H431" s="157"/>
    </row>
    <row r="432" spans="8:8" ht="15.75" customHeight="1">
      <c r="H432" s="157"/>
    </row>
    <row r="433" spans="8:8" ht="15.75" customHeight="1">
      <c r="H433" s="157"/>
    </row>
    <row r="434" spans="8:8" ht="15.75" customHeight="1">
      <c r="H434" s="157"/>
    </row>
    <row r="435" spans="8:8" ht="15.75" customHeight="1">
      <c r="H435" s="157"/>
    </row>
    <row r="436" spans="8:8" ht="15.75" customHeight="1">
      <c r="H436" s="157"/>
    </row>
    <row r="437" spans="8:8" ht="15.75" customHeight="1">
      <c r="H437" s="157"/>
    </row>
    <row r="438" spans="8:8" ht="15.75" customHeight="1">
      <c r="H438" s="157"/>
    </row>
    <row r="439" spans="8:8" ht="15.75" customHeight="1">
      <c r="H439" s="157"/>
    </row>
    <row r="440" spans="8:8" ht="15.75" customHeight="1">
      <c r="H440" s="157"/>
    </row>
    <row r="441" spans="8:8" ht="15.75" customHeight="1">
      <c r="H441" s="157"/>
    </row>
    <row r="442" spans="8:8" ht="15.75" customHeight="1">
      <c r="H442" s="157"/>
    </row>
    <row r="443" spans="8:8" ht="15.75" customHeight="1">
      <c r="H443" s="157"/>
    </row>
    <row r="444" spans="8:8" ht="15.75" customHeight="1">
      <c r="H444" s="157"/>
    </row>
    <row r="445" spans="8:8" ht="15.75" customHeight="1">
      <c r="H445" s="157"/>
    </row>
    <row r="446" spans="8:8" ht="15.75" customHeight="1">
      <c r="H446" s="157"/>
    </row>
    <row r="447" spans="8:8" ht="15.75" customHeight="1">
      <c r="H447" s="157"/>
    </row>
    <row r="448" spans="8:8" ht="15.75" customHeight="1">
      <c r="H448" s="157"/>
    </row>
    <row r="449" spans="8:8" ht="15.75" customHeight="1">
      <c r="H449" s="157"/>
    </row>
    <row r="450" spans="8:8" ht="15.75" customHeight="1">
      <c r="H450" s="157"/>
    </row>
    <row r="451" spans="8:8" ht="15.75" customHeight="1">
      <c r="H451" s="157"/>
    </row>
    <row r="452" spans="8:8" ht="15.75" customHeight="1">
      <c r="H452" s="157"/>
    </row>
    <row r="453" spans="8:8" ht="15.75" customHeight="1">
      <c r="H453" s="157"/>
    </row>
    <row r="454" spans="8:8" ht="15.75" customHeight="1">
      <c r="H454" s="157"/>
    </row>
    <row r="455" spans="8:8" ht="15.75" customHeight="1">
      <c r="H455" s="157"/>
    </row>
    <row r="456" spans="8:8" ht="15.75" customHeight="1">
      <c r="H456" s="157"/>
    </row>
    <row r="457" spans="8:8" ht="15.75" customHeight="1">
      <c r="H457" s="157"/>
    </row>
    <row r="458" spans="8:8" ht="15.75" customHeight="1">
      <c r="H458" s="157"/>
    </row>
    <row r="459" spans="8:8" ht="15.75" customHeight="1">
      <c r="H459" s="157"/>
    </row>
    <row r="460" spans="8:8" ht="15.75" customHeight="1">
      <c r="H460" s="157"/>
    </row>
    <row r="461" spans="8:8" ht="15.75" customHeight="1">
      <c r="H461" s="157"/>
    </row>
    <row r="462" spans="8:8" ht="15.75" customHeight="1">
      <c r="H462" s="157"/>
    </row>
    <row r="463" spans="8:8" ht="15.75" customHeight="1">
      <c r="H463" s="157"/>
    </row>
    <row r="464" spans="8:8" ht="15.75" customHeight="1">
      <c r="H464" s="157"/>
    </row>
    <row r="465" spans="8:8" ht="15.75" customHeight="1">
      <c r="H465" s="157"/>
    </row>
    <row r="466" spans="8:8" ht="15.75" customHeight="1">
      <c r="H466" s="157"/>
    </row>
    <row r="467" spans="8:8" ht="15.75" customHeight="1">
      <c r="H467" s="157"/>
    </row>
    <row r="468" spans="8:8" ht="15.75" customHeight="1">
      <c r="H468" s="157"/>
    </row>
    <row r="469" spans="8:8" ht="15.75" customHeight="1">
      <c r="H469" s="157"/>
    </row>
    <row r="470" spans="8:8" ht="15.75" customHeight="1">
      <c r="H470" s="157"/>
    </row>
    <row r="471" spans="8:8" ht="15.75" customHeight="1">
      <c r="H471" s="157"/>
    </row>
    <row r="472" spans="8:8" ht="15.75" customHeight="1">
      <c r="H472" s="157"/>
    </row>
    <row r="473" spans="8:8" ht="15.75" customHeight="1">
      <c r="H473" s="157"/>
    </row>
    <row r="474" spans="8:8" ht="15.75" customHeight="1">
      <c r="H474" s="157"/>
    </row>
    <row r="475" spans="8:8" ht="15.75" customHeight="1">
      <c r="H475" s="157"/>
    </row>
    <row r="476" spans="8:8" ht="15.75" customHeight="1">
      <c r="H476" s="157"/>
    </row>
    <row r="477" spans="8:8" ht="15.75" customHeight="1">
      <c r="H477" s="157"/>
    </row>
    <row r="478" spans="8:8" ht="15.75" customHeight="1">
      <c r="H478" s="157"/>
    </row>
    <row r="479" spans="8:8" ht="15.75" customHeight="1">
      <c r="H479" s="157"/>
    </row>
    <row r="480" spans="8:8" ht="15.75" customHeight="1">
      <c r="H480" s="157"/>
    </row>
    <row r="481" spans="8:8" ht="15.75" customHeight="1">
      <c r="H481" s="157"/>
    </row>
    <row r="482" spans="8:8" ht="15.75" customHeight="1">
      <c r="H482" s="157"/>
    </row>
    <row r="483" spans="8:8" ht="15.75" customHeight="1">
      <c r="H483" s="157"/>
    </row>
    <row r="484" spans="8:8" ht="15.75" customHeight="1">
      <c r="H484" s="157"/>
    </row>
    <row r="485" spans="8:8" ht="15.75" customHeight="1">
      <c r="H485" s="157"/>
    </row>
    <row r="486" spans="8:8" ht="15.75" customHeight="1">
      <c r="H486" s="157"/>
    </row>
    <row r="487" spans="8:8" ht="15.75" customHeight="1">
      <c r="H487" s="157"/>
    </row>
    <row r="488" spans="8:8" ht="15.75" customHeight="1">
      <c r="H488" s="157"/>
    </row>
    <row r="489" spans="8:8" ht="15.75" customHeight="1">
      <c r="H489" s="157"/>
    </row>
    <row r="490" spans="8:8" ht="15.75" customHeight="1">
      <c r="H490" s="157"/>
    </row>
    <row r="491" spans="8:8" ht="15.75" customHeight="1">
      <c r="H491" s="157"/>
    </row>
    <row r="492" spans="8:8" ht="15.75" customHeight="1">
      <c r="H492" s="157"/>
    </row>
    <row r="493" spans="8:8" ht="15.75" customHeight="1">
      <c r="H493" s="157"/>
    </row>
    <row r="494" spans="8:8" ht="15.75" customHeight="1">
      <c r="H494" s="157"/>
    </row>
    <row r="495" spans="8:8" ht="15.75" customHeight="1">
      <c r="H495" s="157"/>
    </row>
    <row r="496" spans="8:8" ht="15.75" customHeight="1">
      <c r="H496" s="157"/>
    </row>
    <row r="497" spans="8:8" ht="15.75" customHeight="1">
      <c r="H497" s="157"/>
    </row>
    <row r="498" spans="8:8" ht="15.75" customHeight="1">
      <c r="H498" s="157"/>
    </row>
    <row r="499" spans="8:8" ht="15.75" customHeight="1">
      <c r="H499" s="157"/>
    </row>
    <row r="500" spans="8:8" ht="15.75" customHeight="1">
      <c r="H500" s="157"/>
    </row>
    <row r="501" spans="8:8" ht="15.75" customHeight="1">
      <c r="H501" s="157"/>
    </row>
    <row r="502" spans="8:8" ht="15.75" customHeight="1">
      <c r="H502" s="157"/>
    </row>
    <row r="503" spans="8:8" ht="15.75" customHeight="1">
      <c r="H503" s="157"/>
    </row>
    <row r="504" spans="8:8" ht="15.75" customHeight="1">
      <c r="H504" s="157"/>
    </row>
    <row r="505" spans="8:8" ht="15.75" customHeight="1">
      <c r="H505" s="157"/>
    </row>
    <row r="506" spans="8:8" ht="15.75" customHeight="1">
      <c r="H506" s="157"/>
    </row>
    <row r="507" spans="8:8" ht="15.75" customHeight="1">
      <c r="H507" s="157"/>
    </row>
    <row r="508" spans="8:8" ht="15.75" customHeight="1">
      <c r="H508" s="157"/>
    </row>
    <row r="509" spans="8:8" ht="15.75" customHeight="1">
      <c r="H509" s="157"/>
    </row>
    <row r="510" spans="8:8" ht="15.75" customHeight="1">
      <c r="H510" s="157"/>
    </row>
    <row r="511" spans="8:8" ht="15.75" customHeight="1">
      <c r="H511" s="157"/>
    </row>
    <row r="512" spans="8:8" ht="15.75" customHeight="1">
      <c r="H512" s="157"/>
    </row>
    <row r="513" spans="8:8" ht="15.75" customHeight="1">
      <c r="H513" s="157"/>
    </row>
    <row r="514" spans="8:8" ht="15.75" customHeight="1">
      <c r="H514" s="157"/>
    </row>
    <row r="515" spans="8:8" ht="15.75" customHeight="1">
      <c r="H515" s="157"/>
    </row>
    <row r="516" spans="8:8" ht="15.75" customHeight="1">
      <c r="H516" s="157"/>
    </row>
    <row r="517" spans="8:8" ht="15.75" customHeight="1">
      <c r="H517" s="157"/>
    </row>
    <row r="518" spans="8:8" ht="15.75" customHeight="1">
      <c r="H518" s="157"/>
    </row>
    <row r="519" spans="8:8" ht="15.75" customHeight="1">
      <c r="H519" s="157"/>
    </row>
    <row r="520" spans="8:8" ht="15.75" customHeight="1">
      <c r="H520" s="157"/>
    </row>
    <row r="521" spans="8:8" ht="15.75" customHeight="1">
      <c r="H521" s="157"/>
    </row>
    <row r="522" spans="8:8" ht="15.75" customHeight="1">
      <c r="H522" s="157"/>
    </row>
    <row r="523" spans="8:8" ht="15.75" customHeight="1">
      <c r="H523" s="157"/>
    </row>
    <row r="524" spans="8:8" ht="15.75" customHeight="1">
      <c r="H524" s="157"/>
    </row>
    <row r="525" spans="8:8" ht="15.75" customHeight="1">
      <c r="H525" s="157"/>
    </row>
    <row r="526" spans="8:8" ht="15.75" customHeight="1">
      <c r="H526" s="157"/>
    </row>
    <row r="527" spans="8:8" ht="15.75" customHeight="1">
      <c r="H527" s="157"/>
    </row>
    <row r="528" spans="8:8" ht="15.75" customHeight="1">
      <c r="H528" s="157"/>
    </row>
    <row r="529" spans="8:8" ht="15.75" customHeight="1">
      <c r="H529" s="157"/>
    </row>
    <row r="530" spans="8:8" ht="15.75" customHeight="1">
      <c r="H530" s="157"/>
    </row>
    <row r="531" spans="8:8" ht="15.75" customHeight="1">
      <c r="H531" s="157"/>
    </row>
    <row r="532" spans="8:8" ht="15.75" customHeight="1">
      <c r="H532" s="157"/>
    </row>
    <row r="533" spans="8:8" ht="15.75" customHeight="1">
      <c r="H533" s="157"/>
    </row>
    <row r="534" spans="8:8" ht="15.75" customHeight="1">
      <c r="H534" s="157"/>
    </row>
    <row r="535" spans="8:8" ht="15.75" customHeight="1">
      <c r="H535" s="157"/>
    </row>
    <row r="536" spans="8:8" ht="15.75" customHeight="1">
      <c r="H536" s="157"/>
    </row>
    <row r="537" spans="8:8" ht="15.75" customHeight="1">
      <c r="H537" s="157"/>
    </row>
    <row r="538" spans="8:8" ht="15.75" customHeight="1">
      <c r="H538" s="157"/>
    </row>
    <row r="539" spans="8:8" ht="15.75" customHeight="1">
      <c r="H539" s="157"/>
    </row>
    <row r="540" spans="8:8" ht="15.75" customHeight="1">
      <c r="H540" s="157"/>
    </row>
    <row r="541" spans="8:8" ht="15.75" customHeight="1">
      <c r="H541" s="157"/>
    </row>
    <row r="542" spans="8:8" ht="15.75" customHeight="1">
      <c r="H542" s="157"/>
    </row>
    <row r="543" spans="8:8" ht="15.75" customHeight="1">
      <c r="H543" s="157"/>
    </row>
    <row r="544" spans="8:8" ht="15.75" customHeight="1">
      <c r="H544" s="157"/>
    </row>
    <row r="545" spans="8:8" ht="15.75" customHeight="1">
      <c r="H545" s="157"/>
    </row>
    <row r="546" spans="8:8" ht="15.75" customHeight="1">
      <c r="H546" s="157"/>
    </row>
    <row r="547" spans="8:8" ht="15.75" customHeight="1">
      <c r="H547" s="157"/>
    </row>
    <row r="548" spans="8:8" ht="15.75" customHeight="1">
      <c r="H548" s="157"/>
    </row>
    <row r="549" spans="8:8" ht="15.75" customHeight="1">
      <c r="H549" s="157"/>
    </row>
    <row r="550" spans="8:8" ht="15.75" customHeight="1">
      <c r="H550" s="157"/>
    </row>
    <row r="551" spans="8:8" ht="15.75" customHeight="1">
      <c r="H551" s="157"/>
    </row>
    <row r="552" spans="8:8" ht="15.75" customHeight="1">
      <c r="H552" s="157"/>
    </row>
    <row r="553" spans="8:8" ht="15.75" customHeight="1">
      <c r="H553" s="157"/>
    </row>
    <row r="554" spans="8:8" ht="15.75" customHeight="1">
      <c r="H554" s="157"/>
    </row>
    <row r="555" spans="8:8" ht="15.75" customHeight="1">
      <c r="H555" s="157"/>
    </row>
    <row r="556" spans="8:8" ht="15.75" customHeight="1">
      <c r="H556" s="157"/>
    </row>
    <row r="557" spans="8:8" ht="15.75" customHeight="1">
      <c r="H557" s="157"/>
    </row>
    <row r="558" spans="8:8" ht="15.75" customHeight="1">
      <c r="H558" s="157"/>
    </row>
    <row r="559" spans="8:8" ht="15.75" customHeight="1">
      <c r="H559" s="157"/>
    </row>
    <row r="560" spans="8:8" ht="15.75" customHeight="1">
      <c r="H560" s="157"/>
    </row>
    <row r="561" spans="8:8" ht="15.75" customHeight="1">
      <c r="H561" s="157"/>
    </row>
    <row r="562" spans="8:8" ht="15.75" customHeight="1">
      <c r="H562" s="157"/>
    </row>
    <row r="563" spans="8:8" ht="15.75" customHeight="1">
      <c r="H563" s="157"/>
    </row>
    <row r="564" spans="8:8" ht="15.75" customHeight="1">
      <c r="H564" s="157"/>
    </row>
    <row r="565" spans="8:8" ht="15.75" customHeight="1">
      <c r="H565" s="157"/>
    </row>
    <row r="566" spans="8:8" ht="15.75" customHeight="1">
      <c r="H566" s="157"/>
    </row>
    <row r="567" spans="8:8" ht="15.75" customHeight="1">
      <c r="H567" s="157"/>
    </row>
    <row r="568" spans="8:8" ht="15.75" customHeight="1">
      <c r="H568" s="157"/>
    </row>
    <row r="569" spans="8:8" ht="15.75" customHeight="1">
      <c r="H569" s="157"/>
    </row>
    <row r="570" spans="8:8" ht="15.75" customHeight="1">
      <c r="H570" s="157"/>
    </row>
    <row r="571" spans="8:8" ht="15.75" customHeight="1">
      <c r="H571" s="157"/>
    </row>
    <row r="572" spans="8:8" ht="15.75" customHeight="1">
      <c r="H572" s="157"/>
    </row>
    <row r="573" spans="8:8" ht="15.75" customHeight="1">
      <c r="H573" s="157"/>
    </row>
    <row r="574" spans="8:8" ht="15.75" customHeight="1">
      <c r="H574" s="157"/>
    </row>
    <row r="575" spans="8:8" ht="15.75" customHeight="1">
      <c r="H575" s="157"/>
    </row>
    <row r="576" spans="8:8" ht="15.75" customHeight="1">
      <c r="H576" s="157"/>
    </row>
    <row r="577" spans="8:8" ht="15.75" customHeight="1">
      <c r="H577" s="157"/>
    </row>
    <row r="578" spans="8:8" ht="15.75" customHeight="1">
      <c r="H578" s="157"/>
    </row>
    <row r="579" spans="8:8" ht="15.75" customHeight="1">
      <c r="H579" s="157"/>
    </row>
    <row r="580" spans="8:8" ht="15.75" customHeight="1">
      <c r="H580" s="157"/>
    </row>
    <row r="581" spans="8:8" ht="15.75" customHeight="1">
      <c r="H581" s="157"/>
    </row>
    <row r="582" spans="8:8" ht="15.75" customHeight="1">
      <c r="H582" s="157"/>
    </row>
    <row r="583" spans="8:8" ht="15.75" customHeight="1">
      <c r="H583" s="157"/>
    </row>
    <row r="584" spans="8:8" ht="15.75" customHeight="1">
      <c r="H584" s="157"/>
    </row>
    <row r="585" spans="8:8" ht="15.75" customHeight="1">
      <c r="H585" s="157"/>
    </row>
    <row r="586" spans="8:8" ht="15.75" customHeight="1">
      <c r="H586" s="157"/>
    </row>
    <row r="587" spans="8:8" ht="15.75" customHeight="1">
      <c r="H587" s="157"/>
    </row>
    <row r="588" spans="8:8" ht="15.75" customHeight="1">
      <c r="H588" s="157"/>
    </row>
    <row r="589" spans="8:8" ht="15.75" customHeight="1">
      <c r="H589" s="157"/>
    </row>
    <row r="590" spans="8:8" ht="15.75" customHeight="1">
      <c r="H590" s="157"/>
    </row>
    <row r="591" spans="8:8" ht="15.75" customHeight="1">
      <c r="H591" s="157"/>
    </row>
    <row r="592" spans="8:8" ht="15.75" customHeight="1">
      <c r="H592" s="157"/>
    </row>
    <row r="593" spans="8:8" ht="15.75" customHeight="1">
      <c r="H593" s="157"/>
    </row>
    <row r="594" spans="8:8" ht="15.75" customHeight="1">
      <c r="H594" s="157"/>
    </row>
    <row r="595" spans="8:8" ht="15.75" customHeight="1">
      <c r="H595" s="157"/>
    </row>
    <row r="596" spans="8:8" ht="15.75" customHeight="1">
      <c r="H596" s="157"/>
    </row>
    <row r="597" spans="8:8" ht="15.75" customHeight="1">
      <c r="H597" s="157"/>
    </row>
    <row r="598" spans="8:8" ht="15.75" customHeight="1">
      <c r="H598" s="157"/>
    </row>
    <row r="599" spans="8:8" ht="15.75" customHeight="1">
      <c r="H599" s="157"/>
    </row>
    <row r="600" spans="8:8" ht="15.75" customHeight="1">
      <c r="H600" s="157"/>
    </row>
    <row r="601" spans="8:8" ht="15.75" customHeight="1">
      <c r="H601" s="157"/>
    </row>
    <row r="602" spans="8:8" ht="15.75" customHeight="1">
      <c r="H602" s="157"/>
    </row>
    <row r="603" spans="8:8" ht="15.75" customHeight="1">
      <c r="H603" s="157"/>
    </row>
    <row r="604" spans="8:8" ht="15.75" customHeight="1">
      <c r="H604" s="157"/>
    </row>
    <row r="605" spans="8:8" ht="15.75" customHeight="1">
      <c r="H605" s="157"/>
    </row>
    <row r="606" spans="8:8" ht="15.75" customHeight="1">
      <c r="H606" s="157"/>
    </row>
    <row r="607" spans="8:8" ht="15.75" customHeight="1">
      <c r="H607" s="157"/>
    </row>
    <row r="608" spans="8:8" ht="15.75" customHeight="1">
      <c r="H608" s="157"/>
    </row>
    <row r="609" spans="8:8" ht="15.75" customHeight="1">
      <c r="H609" s="157"/>
    </row>
    <row r="610" spans="8:8" ht="15.75" customHeight="1">
      <c r="H610" s="157"/>
    </row>
    <row r="611" spans="8:8" ht="15.75" customHeight="1">
      <c r="H611" s="157"/>
    </row>
    <row r="612" spans="8:8" ht="15.75" customHeight="1">
      <c r="H612" s="157"/>
    </row>
    <row r="613" spans="8:8" ht="15.75" customHeight="1">
      <c r="H613" s="157"/>
    </row>
    <row r="614" spans="8:8" ht="15.75" customHeight="1">
      <c r="H614" s="157"/>
    </row>
    <row r="615" spans="8:8" ht="15.75" customHeight="1">
      <c r="H615" s="157"/>
    </row>
    <row r="616" spans="8:8" ht="15.75" customHeight="1">
      <c r="H616" s="157"/>
    </row>
    <row r="617" spans="8:8" ht="15.75" customHeight="1">
      <c r="H617" s="157"/>
    </row>
    <row r="618" spans="8:8" ht="15.75" customHeight="1">
      <c r="H618" s="157"/>
    </row>
    <row r="619" spans="8:8" ht="15.75" customHeight="1">
      <c r="H619" s="157"/>
    </row>
    <row r="620" spans="8:8" ht="15.75" customHeight="1">
      <c r="H620" s="157"/>
    </row>
    <row r="621" spans="8:8" ht="15.75" customHeight="1">
      <c r="H621" s="157"/>
    </row>
    <row r="622" spans="8:8" ht="15.75" customHeight="1">
      <c r="H622" s="157"/>
    </row>
    <row r="623" spans="8:8" ht="15.75" customHeight="1">
      <c r="H623" s="157"/>
    </row>
    <row r="624" spans="8:8" ht="15.75" customHeight="1">
      <c r="H624" s="157"/>
    </row>
    <row r="625" spans="8:8" ht="15.75" customHeight="1">
      <c r="H625" s="157"/>
    </row>
    <row r="626" spans="8:8" ht="15.75" customHeight="1">
      <c r="H626" s="157"/>
    </row>
    <row r="627" spans="8:8" ht="15.75" customHeight="1">
      <c r="H627" s="157"/>
    </row>
    <row r="628" spans="8:8" ht="15.75" customHeight="1">
      <c r="H628" s="157"/>
    </row>
    <row r="629" spans="8:8" ht="15.75" customHeight="1">
      <c r="H629" s="157"/>
    </row>
    <row r="630" spans="8:8" ht="15.75" customHeight="1">
      <c r="H630" s="157"/>
    </row>
    <row r="631" spans="8:8" ht="15.75" customHeight="1">
      <c r="H631" s="157"/>
    </row>
    <row r="632" spans="8:8" ht="15.75" customHeight="1">
      <c r="H632" s="157"/>
    </row>
    <row r="633" spans="8:8" ht="15.75" customHeight="1">
      <c r="H633" s="157"/>
    </row>
    <row r="634" spans="8:8" ht="15.75" customHeight="1">
      <c r="H634" s="157"/>
    </row>
    <row r="635" spans="8:8" ht="15.75" customHeight="1">
      <c r="H635" s="157"/>
    </row>
    <row r="636" spans="8:8" ht="15.75" customHeight="1">
      <c r="H636" s="157"/>
    </row>
    <row r="637" spans="8:8" ht="15.75" customHeight="1">
      <c r="H637" s="157"/>
    </row>
    <row r="638" spans="8:8" ht="15.75" customHeight="1">
      <c r="H638" s="157"/>
    </row>
    <row r="639" spans="8:8" ht="15.75" customHeight="1">
      <c r="H639" s="157"/>
    </row>
    <row r="640" spans="8:8" ht="15.75" customHeight="1">
      <c r="H640" s="157"/>
    </row>
    <row r="641" spans="8:8" ht="15.75" customHeight="1">
      <c r="H641" s="157"/>
    </row>
    <row r="642" spans="8:8" ht="15.75" customHeight="1">
      <c r="H642" s="157"/>
    </row>
    <row r="643" spans="8:8" ht="15.75" customHeight="1">
      <c r="H643" s="157"/>
    </row>
    <row r="644" spans="8:8" ht="15.75" customHeight="1">
      <c r="H644" s="157"/>
    </row>
    <row r="645" spans="8:8" ht="15.75" customHeight="1">
      <c r="H645" s="157"/>
    </row>
    <row r="646" spans="8:8" ht="15.75" customHeight="1">
      <c r="H646" s="157"/>
    </row>
    <row r="647" spans="8:8" ht="15.75" customHeight="1">
      <c r="H647" s="157"/>
    </row>
    <row r="648" spans="8:8" ht="15.75" customHeight="1">
      <c r="H648" s="157"/>
    </row>
    <row r="649" spans="8:8" ht="15.75" customHeight="1">
      <c r="H649" s="157"/>
    </row>
    <row r="650" spans="8:8" ht="15.75" customHeight="1">
      <c r="H650" s="157"/>
    </row>
    <row r="651" spans="8:8" ht="15.75" customHeight="1">
      <c r="H651" s="157"/>
    </row>
    <row r="652" spans="8:8" ht="15.75" customHeight="1">
      <c r="H652" s="157"/>
    </row>
    <row r="653" spans="8:8" ht="15.75" customHeight="1">
      <c r="H653" s="157"/>
    </row>
    <row r="654" spans="8:8" ht="15.75" customHeight="1">
      <c r="H654" s="157"/>
    </row>
    <row r="655" spans="8:8" ht="15.75" customHeight="1">
      <c r="H655" s="157"/>
    </row>
    <row r="656" spans="8:8" ht="15.75" customHeight="1">
      <c r="H656" s="157"/>
    </row>
    <row r="657" spans="8:8" ht="15.75" customHeight="1">
      <c r="H657" s="157"/>
    </row>
    <row r="658" spans="8:8" ht="15.75" customHeight="1">
      <c r="H658" s="157"/>
    </row>
    <row r="659" spans="8:8" ht="15.75" customHeight="1">
      <c r="H659" s="157"/>
    </row>
    <row r="660" spans="8:8" ht="15.75" customHeight="1">
      <c r="H660" s="157"/>
    </row>
    <row r="661" spans="8:8" ht="15.75" customHeight="1">
      <c r="H661" s="157"/>
    </row>
    <row r="662" spans="8:8" ht="15.75" customHeight="1">
      <c r="H662" s="157"/>
    </row>
    <row r="663" spans="8:8" ht="15.75" customHeight="1">
      <c r="H663" s="157"/>
    </row>
    <row r="664" spans="8:8" ht="15.75" customHeight="1">
      <c r="H664" s="157"/>
    </row>
    <row r="665" spans="8:8" ht="15.75" customHeight="1">
      <c r="H665" s="157"/>
    </row>
    <row r="666" spans="8:8" ht="15.75" customHeight="1">
      <c r="H666" s="157"/>
    </row>
    <row r="667" spans="8:8" ht="15.75" customHeight="1">
      <c r="H667" s="157"/>
    </row>
    <row r="668" spans="8:8" ht="15.75" customHeight="1">
      <c r="H668" s="157"/>
    </row>
    <row r="669" spans="8:8" ht="15.75" customHeight="1">
      <c r="H669" s="157"/>
    </row>
    <row r="670" spans="8:8" ht="15.75" customHeight="1">
      <c r="H670" s="157"/>
    </row>
    <row r="671" spans="8:8" ht="15.75" customHeight="1">
      <c r="H671" s="157"/>
    </row>
    <row r="672" spans="8:8" ht="15.75" customHeight="1">
      <c r="H672" s="157"/>
    </row>
    <row r="673" spans="8:8" ht="15.75" customHeight="1">
      <c r="H673" s="157"/>
    </row>
    <row r="674" spans="8:8" ht="15.75" customHeight="1">
      <c r="H674" s="157"/>
    </row>
    <row r="675" spans="8:8" ht="15.75" customHeight="1">
      <c r="H675" s="157"/>
    </row>
    <row r="676" spans="8:8" ht="15.75" customHeight="1">
      <c r="H676" s="157"/>
    </row>
    <row r="677" spans="8:8" ht="15.75" customHeight="1">
      <c r="H677" s="157"/>
    </row>
    <row r="678" spans="8:8" ht="15.75" customHeight="1">
      <c r="H678" s="157"/>
    </row>
    <row r="679" spans="8:8" ht="15.75" customHeight="1">
      <c r="H679" s="157"/>
    </row>
    <row r="680" spans="8:8" ht="15.75" customHeight="1">
      <c r="H680" s="157"/>
    </row>
    <row r="681" spans="8:8" ht="15.75" customHeight="1">
      <c r="H681" s="157"/>
    </row>
    <row r="682" spans="8:8" ht="15.75" customHeight="1">
      <c r="H682" s="157"/>
    </row>
    <row r="683" spans="8:8" ht="15.75" customHeight="1">
      <c r="H683" s="157"/>
    </row>
    <row r="684" spans="8:8" ht="15.75" customHeight="1">
      <c r="H684" s="157"/>
    </row>
    <row r="685" spans="8:8" ht="15.75" customHeight="1">
      <c r="H685" s="157"/>
    </row>
    <row r="686" spans="8:8" ht="15.75" customHeight="1">
      <c r="H686" s="157"/>
    </row>
    <row r="687" spans="8:8" ht="15.75" customHeight="1">
      <c r="H687" s="157"/>
    </row>
    <row r="688" spans="8:8" ht="15.75" customHeight="1">
      <c r="H688" s="157"/>
    </row>
    <row r="689" spans="8:8" ht="15.75" customHeight="1">
      <c r="H689" s="157"/>
    </row>
    <row r="690" spans="8:8" ht="15.75" customHeight="1">
      <c r="H690" s="157"/>
    </row>
    <row r="691" spans="8:8" ht="15.75" customHeight="1">
      <c r="H691" s="157"/>
    </row>
    <row r="692" spans="8:8" ht="15.75" customHeight="1">
      <c r="H692" s="157"/>
    </row>
    <row r="693" spans="8:8" ht="15.75" customHeight="1">
      <c r="H693" s="157"/>
    </row>
    <row r="694" spans="8:8" ht="15.75" customHeight="1">
      <c r="H694" s="157"/>
    </row>
    <row r="695" spans="8:8" ht="15.75" customHeight="1">
      <c r="H695" s="157"/>
    </row>
    <row r="696" spans="8:8" ht="15.75" customHeight="1">
      <c r="H696" s="157"/>
    </row>
    <row r="697" spans="8:8" ht="15.75" customHeight="1">
      <c r="H697" s="157"/>
    </row>
    <row r="698" spans="8:8" ht="15.75" customHeight="1">
      <c r="H698" s="157"/>
    </row>
    <row r="699" spans="8:8" ht="15.75" customHeight="1">
      <c r="H699" s="157"/>
    </row>
    <row r="700" spans="8:8" ht="15.75" customHeight="1">
      <c r="H700" s="157"/>
    </row>
    <row r="701" spans="8:8" ht="15.75" customHeight="1">
      <c r="H701" s="157"/>
    </row>
    <row r="702" spans="8:8" ht="15.75" customHeight="1">
      <c r="H702" s="157"/>
    </row>
    <row r="703" spans="8:8" ht="15.75" customHeight="1">
      <c r="H703" s="157"/>
    </row>
    <row r="704" spans="8:8" ht="15.75" customHeight="1">
      <c r="H704" s="157"/>
    </row>
    <row r="705" spans="8:8" ht="15.75" customHeight="1">
      <c r="H705" s="157"/>
    </row>
    <row r="706" spans="8:8" ht="15.75" customHeight="1">
      <c r="H706" s="157"/>
    </row>
    <row r="707" spans="8:8" ht="15.75" customHeight="1">
      <c r="H707" s="157"/>
    </row>
    <row r="708" spans="8:8" ht="15.75" customHeight="1">
      <c r="H708" s="157"/>
    </row>
    <row r="709" spans="8:8" ht="15.75" customHeight="1">
      <c r="H709" s="157"/>
    </row>
    <row r="710" spans="8:8" ht="15.75" customHeight="1">
      <c r="H710" s="157"/>
    </row>
    <row r="711" spans="8:8" ht="15.75" customHeight="1">
      <c r="H711" s="157"/>
    </row>
    <row r="712" spans="8:8" ht="15.75" customHeight="1">
      <c r="H712" s="157"/>
    </row>
    <row r="713" spans="8:8" ht="15.75" customHeight="1">
      <c r="H713" s="157"/>
    </row>
    <row r="714" spans="8:8" ht="15.75" customHeight="1">
      <c r="H714" s="157"/>
    </row>
    <row r="715" spans="8:8" ht="15.75" customHeight="1">
      <c r="H715" s="157"/>
    </row>
    <row r="716" spans="8:8" ht="15.75" customHeight="1">
      <c r="H716" s="157"/>
    </row>
    <row r="717" spans="8:8" ht="15.75" customHeight="1">
      <c r="H717" s="157"/>
    </row>
    <row r="718" spans="8:8" ht="15.75" customHeight="1">
      <c r="H718" s="157"/>
    </row>
    <row r="719" spans="8:8" ht="15.75" customHeight="1">
      <c r="H719" s="157"/>
    </row>
    <row r="720" spans="8:8" ht="15.75" customHeight="1">
      <c r="H720" s="157"/>
    </row>
    <row r="721" spans="8:8" ht="15.75" customHeight="1">
      <c r="H721" s="157"/>
    </row>
    <row r="722" spans="8:8" ht="15.75" customHeight="1">
      <c r="H722" s="157"/>
    </row>
    <row r="723" spans="8:8" ht="15.75" customHeight="1">
      <c r="H723" s="157"/>
    </row>
    <row r="724" spans="8:8" ht="15.75" customHeight="1">
      <c r="H724" s="157"/>
    </row>
    <row r="725" spans="8:8" ht="15.75" customHeight="1">
      <c r="H725" s="157"/>
    </row>
    <row r="726" spans="8:8" ht="15.75" customHeight="1">
      <c r="H726" s="157"/>
    </row>
    <row r="727" spans="8:8" ht="15.75" customHeight="1">
      <c r="H727" s="157"/>
    </row>
    <row r="728" spans="8:8" ht="15.75" customHeight="1">
      <c r="H728" s="157"/>
    </row>
    <row r="729" spans="8:8" ht="15.75" customHeight="1">
      <c r="H729" s="157"/>
    </row>
    <row r="730" spans="8:8" ht="15.75" customHeight="1">
      <c r="H730" s="157"/>
    </row>
    <row r="731" spans="8:8" ht="15.75" customHeight="1">
      <c r="H731" s="157"/>
    </row>
    <row r="732" spans="8:8" ht="15.75" customHeight="1">
      <c r="H732" s="157"/>
    </row>
    <row r="733" spans="8:8" ht="15.75" customHeight="1">
      <c r="H733" s="157"/>
    </row>
    <row r="734" spans="8:8" ht="15.75" customHeight="1">
      <c r="H734" s="157"/>
    </row>
    <row r="735" spans="8:8" ht="15.75" customHeight="1">
      <c r="H735" s="157"/>
    </row>
    <row r="736" spans="8:8" ht="15.75" customHeight="1">
      <c r="H736" s="157"/>
    </row>
    <row r="737" spans="8:8" ht="15.75" customHeight="1">
      <c r="H737" s="157"/>
    </row>
    <row r="738" spans="8:8" ht="15.75" customHeight="1">
      <c r="H738" s="157"/>
    </row>
    <row r="739" spans="8:8" ht="15.75" customHeight="1">
      <c r="H739" s="157"/>
    </row>
    <row r="740" spans="8:8" ht="15.75" customHeight="1">
      <c r="H740" s="157"/>
    </row>
    <row r="741" spans="8:8" ht="15.75" customHeight="1">
      <c r="H741" s="157"/>
    </row>
    <row r="742" spans="8:8" ht="15.75" customHeight="1">
      <c r="H742" s="157"/>
    </row>
    <row r="743" spans="8:8" ht="15.75" customHeight="1">
      <c r="H743" s="157"/>
    </row>
    <row r="744" spans="8:8" ht="15.75" customHeight="1">
      <c r="H744" s="157"/>
    </row>
    <row r="745" spans="8:8" ht="15.75" customHeight="1">
      <c r="H745" s="157"/>
    </row>
    <row r="746" spans="8:8" ht="15.75" customHeight="1">
      <c r="H746" s="157"/>
    </row>
    <row r="747" spans="8:8" ht="15.75" customHeight="1">
      <c r="H747" s="157"/>
    </row>
    <row r="748" spans="8:8" ht="15.75" customHeight="1">
      <c r="H748" s="157"/>
    </row>
    <row r="749" spans="8:8" ht="15.75" customHeight="1">
      <c r="H749" s="157"/>
    </row>
    <row r="750" spans="8:8" ht="15.75" customHeight="1">
      <c r="H750" s="157"/>
    </row>
    <row r="751" spans="8:8" ht="15.75" customHeight="1">
      <c r="H751" s="157"/>
    </row>
    <row r="752" spans="8:8" ht="15.75" customHeight="1">
      <c r="H752" s="157"/>
    </row>
    <row r="753" spans="8:8" ht="15.75" customHeight="1">
      <c r="H753" s="157"/>
    </row>
    <row r="754" spans="8:8" ht="15.75" customHeight="1">
      <c r="H754" s="157"/>
    </row>
    <row r="755" spans="8:8" ht="15.75" customHeight="1">
      <c r="H755" s="157"/>
    </row>
    <row r="756" spans="8:8" ht="15.75" customHeight="1">
      <c r="H756" s="157"/>
    </row>
    <row r="757" spans="8:8" ht="15.75" customHeight="1">
      <c r="H757" s="157"/>
    </row>
    <row r="758" spans="8:8" ht="15.75" customHeight="1">
      <c r="H758" s="157"/>
    </row>
    <row r="759" spans="8:8" ht="15.75" customHeight="1">
      <c r="H759" s="157"/>
    </row>
    <row r="760" spans="8:8" ht="15.75" customHeight="1">
      <c r="H760" s="157"/>
    </row>
    <row r="761" spans="8:8" ht="15.75" customHeight="1">
      <c r="H761" s="157"/>
    </row>
    <row r="762" spans="8:8" ht="15.75" customHeight="1">
      <c r="H762" s="157"/>
    </row>
    <row r="763" spans="8:8" ht="15.75" customHeight="1">
      <c r="H763" s="157"/>
    </row>
    <row r="764" spans="8:8" ht="15.75" customHeight="1">
      <c r="H764" s="157"/>
    </row>
    <row r="765" spans="8:8" ht="15.75" customHeight="1">
      <c r="H765" s="157"/>
    </row>
    <row r="766" spans="8:8" ht="15.75" customHeight="1">
      <c r="H766" s="157"/>
    </row>
    <row r="767" spans="8:8" ht="15.75" customHeight="1">
      <c r="H767" s="157"/>
    </row>
    <row r="768" spans="8:8" ht="15.75" customHeight="1">
      <c r="H768" s="157"/>
    </row>
    <row r="769" spans="8:8" ht="15.75" customHeight="1">
      <c r="H769" s="157"/>
    </row>
    <row r="770" spans="8:8" ht="15.75" customHeight="1">
      <c r="H770" s="157"/>
    </row>
    <row r="771" spans="8:8" ht="15.75" customHeight="1">
      <c r="H771" s="157"/>
    </row>
    <row r="772" spans="8:8" ht="15.75" customHeight="1">
      <c r="H772" s="157"/>
    </row>
    <row r="773" spans="8:8" ht="15.75" customHeight="1">
      <c r="H773" s="157"/>
    </row>
    <row r="774" spans="8:8" ht="15.75" customHeight="1">
      <c r="H774" s="157"/>
    </row>
    <row r="775" spans="8:8" ht="15.75" customHeight="1">
      <c r="H775" s="157"/>
    </row>
    <row r="776" spans="8:8" ht="15.75" customHeight="1">
      <c r="H776" s="157"/>
    </row>
    <row r="777" spans="8:8" ht="15.75" customHeight="1">
      <c r="H777" s="157"/>
    </row>
    <row r="778" spans="8:8" ht="15.75" customHeight="1">
      <c r="H778" s="157"/>
    </row>
    <row r="779" spans="8:8" ht="15.75" customHeight="1">
      <c r="H779" s="157"/>
    </row>
    <row r="780" spans="8:8" ht="15.75" customHeight="1">
      <c r="H780" s="157"/>
    </row>
    <row r="781" spans="8:8" ht="15.75" customHeight="1">
      <c r="H781" s="157"/>
    </row>
    <row r="782" spans="8:8" ht="15.75" customHeight="1">
      <c r="H782" s="157"/>
    </row>
    <row r="783" spans="8:8" ht="15.75" customHeight="1">
      <c r="H783" s="157"/>
    </row>
    <row r="784" spans="8:8" ht="15.75" customHeight="1">
      <c r="H784" s="157"/>
    </row>
    <row r="785" spans="8:8" ht="15.75" customHeight="1">
      <c r="H785" s="157"/>
    </row>
    <row r="786" spans="8:8" ht="15.75" customHeight="1">
      <c r="H786" s="157"/>
    </row>
    <row r="787" spans="8:8" ht="15.75" customHeight="1">
      <c r="H787" s="157"/>
    </row>
    <row r="788" spans="8:8" ht="15.75" customHeight="1">
      <c r="H788" s="157"/>
    </row>
    <row r="789" spans="8:8" ht="15.75" customHeight="1">
      <c r="H789" s="157"/>
    </row>
    <row r="790" spans="8:8" ht="15.75" customHeight="1">
      <c r="H790" s="157"/>
    </row>
    <row r="791" spans="8:8" ht="15.75" customHeight="1">
      <c r="H791" s="157"/>
    </row>
    <row r="792" spans="8:8" ht="15.75" customHeight="1">
      <c r="H792" s="157"/>
    </row>
    <row r="793" spans="8:8" ht="15.75" customHeight="1">
      <c r="H793" s="157"/>
    </row>
    <row r="794" spans="8:8" ht="15.75" customHeight="1">
      <c r="H794" s="157"/>
    </row>
    <row r="795" spans="8:8" ht="15.75" customHeight="1">
      <c r="H795" s="157"/>
    </row>
    <row r="796" spans="8:8" ht="15.75" customHeight="1">
      <c r="H796" s="157"/>
    </row>
    <row r="797" spans="8:8" ht="15.75" customHeight="1">
      <c r="H797" s="157"/>
    </row>
    <row r="798" spans="8:8" ht="15.75" customHeight="1">
      <c r="H798" s="157"/>
    </row>
    <row r="799" spans="8:8" ht="15.75" customHeight="1">
      <c r="H799" s="157"/>
    </row>
    <row r="800" spans="8:8" ht="15.75" customHeight="1">
      <c r="H800" s="157"/>
    </row>
    <row r="801" spans="8:8" ht="15.75" customHeight="1">
      <c r="H801" s="157"/>
    </row>
    <row r="802" spans="8:8" ht="15.75" customHeight="1">
      <c r="H802" s="157"/>
    </row>
    <row r="803" spans="8:8" ht="15.75" customHeight="1">
      <c r="H803" s="157"/>
    </row>
    <row r="804" spans="8:8" ht="15.75" customHeight="1">
      <c r="H804" s="157"/>
    </row>
    <row r="805" spans="8:8" ht="15.75" customHeight="1">
      <c r="H805" s="157"/>
    </row>
    <row r="806" spans="8:8" ht="15.75" customHeight="1">
      <c r="H806" s="157"/>
    </row>
    <row r="807" spans="8:8" ht="15.75" customHeight="1">
      <c r="H807" s="157"/>
    </row>
    <row r="808" spans="8:8" ht="15.75" customHeight="1">
      <c r="H808" s="157"/>
    </row>
    <row r="809" spans="8:8" ht="15.75" customHeight="1">
      <c r="H809" s="157"/>
    </row>
    <row r="810" spans="8:8" ht="15.75" customHeight="1">
      <c r="H810" s="157"/>
    </row>
    <row r="811" spans="8:8" ht="15.75" customHeight="1">
      <c r="H811" s="157"/>
    </row>
    <row r="812" spans="8:8" ht="15.75" customHeight="1">
      <c r="H812" s="157"/>
    </row>
    <row r="813" spans="8:8" ht="15.75" customHeight="1">
      <c r="H813" s="157"/>
    </row>
    <row r="814" spans="8:8" ht="15.75" customHeight="1">
      <c r="H814" s="157"/>
    </row>
    <row r="815" spans="8:8" ht="15.75" customHeight="1">
      <c r="H815" s="157"/>
    </row>
    <row r="816" spans="8:8" ht="15.75" customHeight="1">
      <c r="H816" s="157"/>
    </row>
    <row r="817" spans="8:8" ht="15.75" customHeight="1">
      <c r="H817" s="157"/>
    </row>
    <row r="818" spans="8:8" ht="15.75" customHeight="1">
      <c r="H818" s="157"/>
    </row>
    <row r="819" spans="8:8" ht="15.75" customHeight="1">
      <c r="H819" s="157"/>
    </row>
    <row r="820" spans="8:8" ht="15.75" customHeight="1">
      <c r="H820" s="157"/>
    </row>
    <row r="821" spans="8:8" ht="15.75" customHeight="1">
      <c r="H821" s="157"/>
    </row>
    <row r="822" spans="8:8" ht="15.75" customHeight="1">
      <c r="H822" s="157"/>
    </row>
    <row r="823" spans="8:8" ht="15.75" customHeight="1">
      <c r="H823" s="157"/>
    </row>
    <row r="824" spans="8:8" ht="15.75" customHeight="1">
      <c r="H824" s="157"/>
    </row>
    <row r="825" spans="8:8" ht="15.75" customHeight="1">
      <c r="H825" s="157"/>
    </row>
    <row r="826" spans="8:8" ht="15.75" customHeight="1">
      <c r="H826" s="157"/>
    </row>
    <row r="827" spans="8:8" ht="15.75" customHeight="1">
      <c r="H827" s="157"/>
    </row>
    <row r="828" spans="8:8" ht="15.75" customHeight="1">
      <c r="H828" s="157"/>
    </row>
    <row r="829" spans="8:8" ht="15.75" customHeight="1">
      <c r="H829" s="157"/>
    </row>
    <row r="830" spans="8:8" ht="15.75" customHeight="1">
      <c r="H830" s="157"/>
    </row>
    <row r="831" spans="8:8" ht="15.75" customHeight="1">
      <c r="H831" s="157"/>
    </row>
    <row r="832" spans="8:8" ht="15.75" customHeight="1">
      <c r="H832" s="157"/>
    </row>
    <row r="833" spans="8:8" ht="15.75" customHeight="1">
      <c r="H833" s="157"/>
    </row>
    <row r="834" spans="8:8" ht="15.75" customHeight="1">
      <c r="H834" s="157"/>
    </row>
    <row r="835" spans="8:8" ht="15.75" customHeight="1">
      <c r="H835" s="157"/>
    </row>
    <row r="836" spans="8:8" ht="15.75" customHeight="1">
      <c r="H836" s="157"/>
    </row>
    <row r="837" spans="8:8" ht="15.75" customHeight="1">
      <c r="H837" s="157"/>
    </row>
    <row r="838" spans="8:8" ht="15.75" customHeight="1">
      <c r="H838" s="157"/>
    </row>
    <row r="839" spans="8:8" ht="15.75" customHeight="1">
      <c r="H839" s="157"/>
    </row>
    <row r="840" spans="8:8" ht="15.75" customHeight="1">
      <c r="H840" s="157"/>
    </row>
    <row r="841" spans="8:8" ht="15.75" customHeight="1">
      <c r="H841" s="157"/>
    </row>
    <row r="842" spans="8:8" ht="15.75" customHeight="1">
      <c r="H842" s="157"/>
    </row>
    <row r="843" spans="8:8" ht="15.75" customHeight="1">
      <c r="H843" s="157"/>
    </row>
    <row r="844" spans="8:8" ht="15.75" customHeight="1">
      <c r="H844" s="157"/>
    </row>
    <row r="845" spans="8:8" ht="15.75" customHeight="1">
      <c r="H845" s="157"/>
    </row>
    <row r="846" spans="8:8" ht="15.75" customHeight="1">
      <c r="H846" s="157"/>
    </row>
    <row r="847" spans="8:8" ht="15.75" customHeight="1">
      <c r="H847" s="157"/>
    </row>
    <row r="848" spans="8:8" ht="15.75" customHeight="1">
      <c r="H848" s="157"/>
    </row>
    <row r="849" spans="8:8" ht="15.75" customHeight="1">
      <c r="H849" s="157"/>
    </row>
    <row r="850" spans="8:8" ht="15.75" customHeight="1">
      <c r="H850" s="157"/>
    </row>
    <row r="851" spans="8:8" ht="15.75" customHeight="1">
      <c r="H851" s="157"/>
    </row>
    <row r="852" spans="8:8" ht="15.75" customHeight="1">
      <c r="H852" s="157"/>
    </row>
    <row r="853" spans="8:8" ht="15.75" customHeight="1">
      <c r="H853" s="157"/>
    </row>
    <row r="854" spans="8:8" ht="15.75" customHeight="1">
      <c r="H854" s="157"/>
    </row>
    <row r="855" spans="8:8" ht="15.75" customHeight="1">
      <c r="H855" s="157"/>
    </row>
    <row r="856" spans="8:8" ht="15.75" customHeight="1">
      <c r="H856" s="157"/>
    </row>
    <row r="857" spans="8:8" ht="15.75" customHeight="1">
      <c r="H857" s="157"/>
    </row>
    <row r="858" spans="8:8" ht="15.75" customHeight="1">
      <c r="H858" s="157"/>
    </row>
    <row r="859" spans="8:8" ht="15.75" customHeight="1">
      <c r="H859" s="157"/>
    </row>
    <row r="860" spans="8:8" ht="15.75" customHeight="1">
      <c r="H860" s="157"/>
    </row>
    <row r="861" spans="8:8" ht="15.75" customHeight="1">
      <c r="H861" s="157"/>
    </row>
    <row r="862" spans="8:8" ht="15.75" customHeight="1">
      <c r="H862" s="157"/>
    </row>
    <row r="863" spans="8:8" ht="15.75" customHeight="1">
      <c r="H863" s="157"/>
    </row>
    <row r="864" spans="8:8" ht="15.75" customHeight="1">
      <c r="H864" s="157"/>
    </row>
    <row r="865" spans="8:8" ht="15.75" customHeight="1">
      <c r="H865" s="157"/>
    </row>
    <row r="866" spans="8:8" ht="15.75" customHeight="1">
      <c r="H866" s="157"/>
    </row>
    <row r="867" spans="8:8" ht="15.75" customHeight="1">
      <c r="H867" s="157"/>
    </row>
    <row r="868" spans="8:8" ht="15.75" customHeight="1">
      <c r="H868" s="157"/>
    </row>
    <row r="869" spans="8:8" ht="15.75" customHeight="1">
      <c r="H869" s="157"/>
    </row>
    <row r="870" spans="8:8" ht="15.75" customHeight="1">
      <c r="H870" s="157"/>
    </row>
    <row r="871" spans="8:8" ht="15.75" customHeight="1">
      <c r="H871" s="157"/>
    </row>
    <row r="872" spans="8:8" ht="15.75" customHeight="1">
      <c r="H872" s="157"/>
    </row>
    <row r="873" spans="8:8" ht="15.75" customHeight="1">
      <c r="H873" s="157"/>
    </row>
    <row r="874" spans="8:8" ht="15.75" customHeight="1">
      <c r="H874" s="157"/>
    </row>
    <row r="875" spans="8:8" ht="15.75" customHeight="1">
      <c r="H875" s="157"/>
    </row>
    <row r="876" spans="8:8" ht="15.75" customHeight="1">
      <c r="H876" s="157"/>
    </row>
    <row r="877" spans="8:8" ht="15.75" customHeight="1">
      <c r="H877" s="157"/>
    </row>
    <row r="878" spans="8:8" ht="15.75" customHeight="1">
      <c r="H878" s="157"/>
    </row>
    <row r="879" spans="8:8" ht="15.75" customHeight="1">
      <c r="H879" s="157"/>
    </row>
    <row r="880" spans="8:8" ht="15.75" customHeight="1">
      <c r="H880" s="157"/>
    </row>
    <row r="881" spans="8:8" ht="15.75" customHeight="1">
      <c r="H881" s="157"/>
    </row>
    <row r="882" spans="8:8" ht="15.75" customHeight="1">
      <c r="H882" s="157"/>
    </row>
    <row r="883" spans="8:8" ht="15.75" customHeight="1">
      <c r="H883" s="157"/>
    </row>
    <row r="884" spans="8:8" ht="15.75" customHeight="1">
      <c r="H884" s="157"/>
    </row>
    <row r="885" spans="8:8" ht="15.75" customHeight="1">
      <c r="H885" s="157"/>
    </row>
    <row r="886" spans="8:8" ht="15.75" customHeight="1">
      <c r="H886" s="157"/>
    </row>
    <row r="887" spans="8:8" ht="15.75" customHeight="1">
      <c r="H887" s="157"/>
    </row>
    <row r="888" spans="8:8" ht="15.75" customHeight="1">
      <c r="H888" s="157"/>
    </row>
    <row r="889" spans="8:8" ht="15.75" customHeight="1">
      <c r="H889" s="157"/>
    </row>
    <row r="890" spans="8:8" ht="15.75" customHeight="1">
      <c r="H890" s="157"/>
    </row>
    <row r="891" spans="8:8" ht="15.75" customHeight="1">
      <c r="H891" s="157"/>
    </row>
    <row r="892" spans="8:8" ht="15.75" customHeight="1">
      <c r="H892" s="157"/>
    </row>
    <row r="893" spans="8:8" ht="15.75" customHeight="1">
      <c r="H893" s="157"/>
    </row>
    <row r="894" spans="8:8" ht="15.75" customHeight="1">
      <c r="H894" s="157"/>
    </row>
    <row r="895" spans="8:8" ht="15.75" customHeight="1">
      <c r="H895" s="157"/>
    </row>
    <row r="896" spans="8:8" ht="15.75" customHeight="1">
      <c r="H896" s="157"/>
    </row>
    <row r="897" spans="8:8" ht="15.75" customHeight="1">
      <c r="H897" s="157"/>
    </row>
    <row r="898" spans="8:8" ht="15.75" customHeight="1">
      <c r="H898" s="157"/>
    </row>
    <row r="899" spans="8:8" ht="15.75" customHeight="1">
      <c r="H899" s="157"/>
    </row>
    <row r="900" spans="8:8" ht="15.75" customHeight="1">
      <c r="H900" s="157"/>
    </row>
    <row r="901" spans="8:8" ht="15.75" customHeight="1">
      <c r="H901" s="157"/>
    </row>
    <row r="902" spans="8:8" ht="15.75" customHeight="1">
      <c r="H902" s="157"/>
    </row>
    <row r="903" spans="8:8" ht="15.75" customHeight="1">
      <c r="H903" s="157"/>
    </row>
    <row r="904" spans="8:8" ht="15.75" customHeight="1">
      <c r="H904" s="157"/>
    </row>
    <row r="905" spans="8:8" ht="15.75" customHeight="1">
      <c r="H905" s="157"/>
    </row>
    <row r="906" spans="8:8" ht="15.75" customHeight="1">
      <c r="H906" s="157"/>
    </row>
    <row r="907" spans="8:8" ht="15.75" customHeight="1">
      <c r="H907" s="157"/>
    </row>
    <row r="908" spans="8:8" ht="15.75" customHeight="1">
      <c r="H908" s="157"/>
    </row>
    <row r="909" spans="8:8" ht="15.75" customHeight="1">
      <c r="H909" s="157"/>
    </row>
    <row r="910" spans="8:8" ht="15.75" customHeight="1">
      <c r="H910" s="157"/>
    </row>
    <row r="911" spans="8:8" ht="15.75" customHeight="1">
      <c r="H911" s="157"/>
    </row>
    <row r="912" spans="8:8" ht="15.75" customHeight="1">
      <c r="H912" s="157"/>
    </row>
    <row r="913" spans="8:8" ht="15.75" customHeight="1">
      <c r="H913" s="157"/>
    </row>
    <row r="914" spans="8:8" ht="15.75" customHeight="1">
      <c r="H914" s="157"/>
    </row>
    <row r="915" spans="8:8" ht="15.75" customHeight="1">
      <c r="H915" s="157"/>
    </row>
    <row r="916" spans="8:8" ht="15.75" customHeight="1">
      <c r="H916" s="157"/>
    </row>
    <row r="917" spans="8:8" ht="15.75" customHeight="1">
      <c r="H917" s="157"/>
    </row>
    <row r="918" spans="8:8" ht="15.75" customHeight="1">
      <c r="H918" s="157"/>
    </row>
    <row r="919" spans="8:8" ht="15.75" customHeight="1">
      <c r="H919" s="157"/>
    </row>
    <row r="920" spans="8:8" ht="15.75" customHeight="1">
      <c r="H920" s="157"/>
    </row>
    <row r="921" spans="8:8" ht="15.75" customHeight="1">
      <c r="H921" s="157"/>
    </row>
    <row r="922" spans="8:8" ht="15.75" customHeight="1">
      <c r="H922" s="157"/>
    </row>
    <row r="923" spans="8:8" ht="15.75" customHeight="1">
      <c r="H923" s="157"/>
    </row>
    <row r="924" spans="8:8" ht="15.75" customHeight="1">
      <c r="H924" s="157"/>
    </row>
    <row r="925" spans="8:8" ht="15.75" customHeight="1">
      <c r="H925" s="157"/>
    </row>
    <row r="926" spans="8:8" ht="15.75" customHeight="1">
      <c r="H926" s="157"/>
    </row>
    <row r="927" spans="8:8" ht="15.75" customHeight="1">
      <c r="H927" s="157"/>
    </row>
    <row r="928" spans="8:8" ht="15.75" customHeight="1">
      <c r="H928" s="157"/>
    </row>
    <row r="929" spans="8:8" ht="15.75" customHeight="1">
      <c r="H929" s="157"/>
    </row>
    <row r="930" spans="8:8" ht="15.75" customHeight="1">
      <c r="H930" s="157"/>
    </row>
    <row r="931" spans="8:8" ht="15.75" customHeight="1">
      <c r="H931" s="157"/>
    </row>
    <row r="932" spans="8:8" ht="15.75" customHeight="1">
      <c r="H932" s="157"/>
    </row>
    <row r="933" spans="8:8" ht="15.75" customHeight="1">
      <c r="H933" s="157"/>
    </row>
    <row r="934" spans="8:8" ht="15.75" customHeight="1">
      <c r="H934" s="157"/>
    </row>
    <row r="935" spans="8:8" ht="15.75" customHeight="1">
      <c r="H935" s="157"/>
    </row>
    <row r="936" spans="8:8" ht="15.75" customHeight="1">
      <c r="H936" s="157"/>
    </row>
    <row r="937" spans="8:8" ht="15.75" customHeight="1">
      <c r="H937" s="157"/>
    </row>
    <row r="938" spans="8:8" ht="15.75" customHeight="1">
      <c r="H938" s="157"/>
    </row>
    <row r="939" spans="8:8" ht="15.75" customHeight="1">
      <c r="H939" s="157"/>
    </row>
    <row r="940" spans="8:8" ht="15.75" customHeight="1">
      <c r="H940" s="157"/>
    </row>
    <row r="941" spans="8:8" ht="15.75" customHeight="1">
      <c r="H941" s="157"/>
    </row>
    <row r="942" spans="8:8" ht="15.75" customHeight="1">
      <c r="H942" s="157"/>
    </row>
    <row r="943" spans="8:8" ht="15.75" customHeight="1">
      <c r="H943" s="157"/>
    </row>
    <row r="944" spans="8:8" ht="15.75" customHeight="1">
      <c r="H944" s="157"/>
    </row>
    <row r="945" spans="8:8" ht="15.75" customHeight="1">
      <c r="H945" s="157"/>
    </row>
    <row r="946" spans="8:8" ht="15.75" customHeight="1">
      <c r="H946" s="157"/>
    </row>
    <row r="947" spans="8:8" ht="15.75" customHeight="1">
      <c r="H947" s="157"/>
    </row>
    <row r="948" spans="8:8" ht="15.75" customHeight="1">
      <c r="H948" s="157"/>
    </row>
    <row r="949" spans="8:8" ht="15.75" customHeight="1">
      <c r="H949" s="157"/>
    </row>
    <row r="950" spans="8:8" ht="15.75" customHeight="1">
      <c r="H950" s="157"/>
    </row>
    <row r="951" spans="8:8" ht="15.75" customHeight="1">
      <c r="H951" s="157"/>
    </row>
    <row r="952" spans="8:8" ht="15.75" customHeight="1">
      <c r="H952" s="157"/>
    </row>
    <row r="953" spans="8:8" ht="15.75" customHeight="1">
      <c r="H953" s="157"/>
    </row>
    <row r="954" spans="8:8" ht="15.75" customHeight="1">
      <c r="H954" s="157"/>
    </row>
    <row r="955" spans="8:8" ht="15.75" customHeight="1">
      <c r="H955" s="157"/>
    </row>
    <row r="956" spans="8:8" ht="15.75" customHeight="1">
      <c r="H956" s="157"/>
    </row>
    <row r="957" spans="8:8" ht="15.75" customHeight="1">
      <c r="H957" s="157"/>
    </row>
    <row r="958" spans="8:8" ht="15.75" customHeight="1">
      <c r="H958" s="157"/>
    </row>
    <row r="959" spans="8:8" ht="15.75" customHeight="1">
      <c r="H959" s="157"/>
    </row>
    <row r="960" spans="8:8" ht="15.75" customHeight="1">
      <c r="H960" s="157"/>
    </row>
    <row r="961" spans="8:8" ht="15.75" customHeight="1">
      <c r="H961" s="157"/>
    </row>
    <row r="962" spans="8:8" ht="15.75" customHeight="1">
      <c r="H962" s="157"/>
    </row>
    <row r="963" spans="8:8" ht="15.75" customHeight="1">
      <c r="H963" s="157"/>
    </row>
    <row r="964" spans="8:8" ht="15.75" customHeight="1">
      <c r="H964" s="157"/>
    </row>
    <row r="965" spans="8:8" ht="15.75" customHeight="1">
      <c r="H965" s="157"/>
    </row>
    <row r="966" spans="8:8" ht="15.75" customHeight="1">
      <c r="H966" s="157"/>
    </row>
    <row r="967" spans="8:8" ht="15.75" customHeight="1">
      <c r="H967" s="157"/>
    </row>
    <row r="968" spans="8:8" ht="15.75" customHeight="1">
      <c r="H968" s="157"/>
    </row>
    <row r="969" spans="8:8" ht="15.75" customHeight="1">
      <c r="H969" s="157"/>
    </row>
    <row r="970" spans="8:8" ht="15.75" customHeight="1">
      <c r="H970" s="157"/>
    </row>
    <row r="971" spans="8:8" ht="15.75" customHeight="1">
      <c r="H971" s="157"/>
    </row>
    <row r="972" spans="8:8" ht="15.75" customHeight="1">
      <c r="H972" s="157"/>
    </row>
    <row r="973" spans="8:8" ht="15.75" customHeight="1">
      <c r="H973" s="157"/>
    </row>
    <row r="974" spans="8:8" ht="15.75" customHeight="1">
      <c r="H974" s="157"/>
    </row>
    <row r="975" spans="8:8" ht="15.75" customHeight="1">
      <c r="H975" s="157"/>
    </row>
    <row r="976" spans="8:8" ht="15.75" customHeight="1">
      <c r="H976" s="157"/>
    </row>
    <row r="977" spans="8:8" ht="15.75" customHeight="1">
      <c r="H977" s="157"/>
    </row>
    <row r="978" spans="8:8" ht="15.75" customHeight="1">
      <c r="H978" s="157"/>
    </row>
    <row r="979" spans="8:8" ht="15.75" customHeight="1">
      <c r="H979" s="157"/>
    </row>
    <row r="980" spans="8:8" ht="15.75" customHeight="1">
      <c r="H980" s="157"/>
    </row>
    <row r="981" spans="8:8" ht="15.75" customHeight="1">
      <c r="H981" s="157"/>
    </row>
    <row r="982" spans="8:8" ht="15.75" customHeight="1">
      <c r="H982" s="157"/>
    </row>
    <row r="983" spans="8:8" ht="15.75" customHeight="1">
      <c r="H983" s="157"/>
    </row>
    <row r="984" spans="8:8" ht="15.75" customHeight="1">
      <c r="H984" s="157"/>
    </row>
    <row r="985" spans="8:8" ht="15.75" customHeight="1">
      <c r="H985" s="157"/>
    </row>
    <row r="986" spans="8:8" ht="15.75" customHeight="1">
      <c r="H986" s="157"/>
    </row>
    <row r="987" spans="8:8" ht="15.75" customHeight="1">
      <c r="H987" s="157"/>
    </row>
    <row r="988" spans="8:8" ht="15.75" customHeight="1">
      <c r="H988" s="157"/>
    </row>
    <row r="989" spans="8:8" ht="15.75" customHeight="1">
      <c r="H989" s="157"/>
    </row>
    <row r="990" spans="8:8" ht="15.75" customHeight="1">
      <c r="H990" s="157"/>
    </row>
    <row r="991" spans="8:8" ht="15.75" customHeight="1">
      <c r="H991" s="157"/>
    </row>
    <row r="992" spans="8:8" ht="15.75" customHeight="1">
      <c r="H992" s="157"/>
    </row>
    <row r="993" spans="8:8" ht="15.75" customHeight="1">
      <c r="H993" s="157"/>
    </row>
    <row r="994" spans="8:8" ht="15.75" customHeight="1">
      <c r="H994" s="157"/>
    </row>
    <row r="995" spans="8:8" ht="15.75" customHeight="1">
      <c r="H995" s="157"/>
    </row>
    <row r="996" spans="8:8" ht="15.75" customHeight="1">
      <c r="H996" s="157"/>
    </row>
    <row r="997" spans="8:8" ht="15.75" customHeight="1">
      <c r="H997" s="157"/>
    </row>
    <row r="998" spans="8:8" ht="15.75" customHeight="1">
      <c r="H998" s="157"/>
    </row>
    <row r="999" spans="8:8" ht="15.75" customHeight="1">
      <c r="H999" s="157"/>
    </row>
    <row r="1000" spans="8:8" ht="15.75" customHeight="1">
      <c r="H1000" s="157"/>
    </row>
  </sheetData>
  <mergeCells count="35">
    <mergeCell ref="H48:H50"/>
    <mergeCell ref="A52:G52"/>
    <mergeCell ref="A56:G56"/>
    <mergeCell ref="B59:C59"/>
    <mergeCell ref="B60:C60"/>
    <mergeCell ref="B61:C61"/>
    <mergeCell ref="B62:C62"/>
    <mergeCell ref="A22:B23"/>
    <mergeCell ref="A24:G24"/>
    <mergeCell ref="A47:G47"/>
    <mergeCell ref="G48:G50"/>
    <mergeCell ref="E22:F22"/>
    <mergeCell ref="E11:F11"/>
    <mergeCell ref="G11:G12"/>
    <mergeCell ref="C20:G20"/>
    <mergeCell ref="A21:B21"/>
    <mergeCell ref="C22:C23"/>
    <mergeCell ref="D22:D23"/>
    <mergeCell ref="G22:G23"/>
    <mergeCell ref="A11:B12"/>
    <mergeCell ref="C11:C12"/>
    <mergeCell ref="D11:D12"/>
    <mergeCell ref="A13:G13"/>
    <mergeCell ref="E21:F21"/>
    <mergeCell ref="C6:G6"/>
    <mergeCell ref="C7:G7"/>
    <mergeCell ref="C8:G8"/>
    <mergeCell ref="A9:G9"/>
    <mergeCell ref="A10:B10"/>
    <mergeCell ref="E10:F10"/>
    <mergeCell ref="C1:G1"/>
    <mergeCell ref="C2:G2"/>
    <mergeCell ref="C3:G3"/>
    <mergeCell ref="C4:G4"/>
    <mergeCell ref="C5:G5"/>
  </mergeCells>
  <dataValidations count="2">
    <dataValidation type="list" allowBlank="1" showErrorMessage="1" sqref="D58" xr:uid="{00000000-0002-0000-0400-000000000000}">
      <formula1>$D$14:$D$19</formula1>
    </dataValidation>
    <dataValidation type="list" allowBlank="1" showErrorMessage="1" sqref="D48:D50 D55 D57" xr:uid="{00000000-0002-0000-0400-000001000000}">
      <formula1>#REF!</formula1>
    </dataValidation>
  </dataValidations>
  <hyperlinks>
    <hyperlink ref="G14" r:id="rId1" xr:uid="{00000000-0004-0000-0400-000000000000}"/>
    <hyperlink ref="G15" r:id="rId2" xr:uid="{00000000-0004-0000-0400-000001000000}"/>
    <hyperlink ref="G16" r:id="rId3" xr:uid="{00000000-0004-0000-0400-000002000000}"/>
    <hyperlink ref="G17" r:id="rId4" xr:uid="{00000000-0004-0000-0400-000003000000}"/>
    <hyperlink ref="G18" r:id="rId5" xr:uid="{00000000-0004-0000-0400-000004000000}"/>
    <hyperlink ref="G25" r:id="rId6" xr:uid="{00000000-0004-0000-0400-000005000000}"/>
    <hyperlink ref="G26" r:id="rId7" xr:uid="{00000000-0004-0000-0400-000006000000}"/>
    <hyperlink ref="G27" r:id="rId8" xr:uid="{00000000-0004-0000-0400-000007000000}"/>
    <hyperlink ref="G28" r:id="rId9" xr:uid="{00000000-0004-0000-0400-000008000000}"/>
    <hyperlink ref="G29" r:id="rId10" xr:uid="{00000000-0004-0000-0400-000009000000}"/>
    <hyperlink ref="G30" r:id="rId11" xr:uid="{00000000-0004-0000-0400-00000A000000}"/>
    <hyperlink ref="G31" r:id="rId12" xr:uid="{00000000-0004-0000-0400-00000B000000}"/>
    <hyperlink ref="G32" r:id="rId13" xr:uid="{00000000-0004-0000-0400-00000C000000}"/>
    <hyperlink ref="G33" r:id="rId14" xr:uid="{00000000-0004-0000-0400-00000D000000}"/>
    <hyperlink ref="G34" r:id="rId15" xr:uid="{00000000-0004-0000-0400-00000E000000}"/>
    <hyperlink ref="G35" r:id="rId16" xr:uid="{00000000-0004-0000-0400-00000F000000}"/>
    <hyperlink ref="G36" r:id="rId17" xr:uid="{00000000-0004-0000-0400-000010000000}"/>
    <hyperlink ref="G37" r:id="rId18" xr:uid="{00000000-0004-0000-0400-000011000000}"/>
    <hyperlink ref="G38" r:id="rId19" xr:uid="{00000000-0004-0000-0400-000012000000}"/>
    <hyperlink ref="G39" r:id="rId20" xr:uid="{00000000-0004-0000-0400-000013000000}"/>
    <hyperlink ref="G40" r:id="rId21" xr:uid="{00000000-0004-0000-0400-000014000000}"/>
    <hyperlink ref="G48" r:id="rId22" xr:uid="{00000000-0004-0000-0400-000015000000}"/>
    <hyperlink ref="G51" r:id="rId23" xr:uid="{00000000-0004-0000-0400-000016000000}"/>
    <hyperlink ref="G54" r:id="rId24" xr:uid="{00000000-0004-0000-0400-000017000000}"/>
    <hyperlink ref="G55" r:id="rId25" xr:uid="{00000000-0004-0000-0400-000018000000}"/>
    <hyperlink ref="G57" r:id="rId26" xr:uid="{00000000-0004-0000-0400-000019000000}"/>
  </hyperlinks>
  <printOptions horizontalCentered="1"/>
  <pageMargins left="0.7" right="0.7" top="0.75" bottom="0.75" header="0" footer="0"/>
  <pageSetup fitToHeight="0" pageOrder="overThenDown" orientation="landscape"/>
  <drawing r:id="rId2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0124D"/>
    <pageSetUpPr fitToPage="1"/>
  </sheetPr>
  <dimension ref="A1:E1000"/>
  <sheetViews>
    <sheetView workbookViewId="0"/>
  </sheetViews>
  <sheetFormatPr defaultColWidth="12.5703125" defaultRowHeight="15" customHeight="1"/>
  <cols>
    <col min="1" max="1" width="3.85546875" customWidth="1"/>
    <col min="2" max="2" width="41.28515625" customWidth="1"/>
    <col min="3" max="3" width="18.42578125" customWidth="1"/>
    <col min="4" max="4" width="57.28515625" customWidth="1"/>
    <col min="5" max="5" width="35.5703125" customWidth="1"/>
    <col min="6" max="6" width="12.5703125" customWidth="1"/>
  </cols>
  <sheetData>
    <row r="1" spans="1:5" ht="12.75" customHeight="1">
      <c r="A1" s="10"/>
      <c r="B1" s="11" t="s">
        <v>105</v>
      </c>
      <c r="C1" s="584" t="s">
        <v>106</v>
      </c>
      <c r="D1" s="585"/>
      <c r="E1" s="586"/>
    </row>
    <row r="2" spans="1:5" ht="12.75" customHeight="1">
      <c r="A2" s="12"/>
      <c r="B2" s="13" t="s">
        <v>107</v>
      </c>
      <c r="C2" s="587" t="s">
        <v>30</v>
      </c>
      <c r="D2" s="588"/>
      <c r="E2" s="589"/>
    </row>
    <row r="3" spans="1:5" ht="92.25" customHeight="1">
      <c r="A3" s="14"/>
      <c r="B3" s="15" t="s">
        <v>108</v>
      </c>
      <c r="C3" s="590" t="s">
        <v>620</v>
      </c>
      <c r="D3" s="588"/>
      <c r="E3" s="589"/>
    </row>
    <row r="4" spans="1:5" ht="66" customHeight="1">
      <c r="A4" s="17"/>
      <c r="B4" s="13" t="s">
        <v>110</v>
      </c>
      <c r="C4" s="590" t="s">
        <v>621</v>
      </c>
      <c r="D4" s="588"/>
      <c r="E4" s="589"/>
    </row>
    <row r="5" spans="1:5" ht="54" customHeight="1">
      <c r="A5" s="12"/>
      <c r="B5" s="13" t="s">
        <v>112</v>
      </c>
      <c r="C5" s="590">
        <f>'[1]Reference Matrix'!$E11</f>
        <v>0</v>
      </c>
      <c r="D5" s="588"/>
      <c r="E5" s="589"/>
    </row>
    <row r="6" spans="1:5" ht="12.75" customHeight="1">
      <c r="A6" s="12"/>
      <c r="B6" s="13" t="s">
        <v>113</v>
      </c>
      <c r="C6" s="590">
        <f>'[1]Reference Matrix'!$F11</f>
        <v>0</v>
      </c>
      <c r="D6" s="588"/>
      <c r="E6" s="589"/>
    </row>
    <row r="7" spans="1:5" ht="12.75" customHeight="1">
      <c r="A7" s="18"/>
      <c r="B7" s="19" t="s">
        <v>114</v>
      </c>
      <c r="C7" s="591" t="s">
        <v>115</v>
      </c>
      <c r="D7" s="592"/>
      <c r="E7" s="593"/>
    </row>
    <row r="8" spans="1:5" ht="15.75" customHeight="1">
      <c r="A8" s="20"/>
      <c r="B8" s="20"/>
      <c r="C8" s="590"/>
      <c r="D8" s="588"/>
      <c r="E8" s="588"/>
    </row>
    <row r="9" spans="1:5" ht="15.75" customHeight="1">
      <c r="A9" s="601" t="s">
        <v>116</v>
      </c>
      <c r="B9" s="576"/>
      <c r="C9" s="576"/>
      <c r="D9" s="576"/>
      <c r="E9" s="577"/>
    </row>
    <row r="10" spans="1:5" ht="15.75" customHeight="1">
      <c r="A10" s="602">
        <v>1</v>
      </c>
      <c r="B10" s="595"/>
      <c r="C10" s="21">
        <v>2</v>
      </c>
      <c r="D10" s="22">
        <v>3</v>
      </c>
      <c r="E10" s="23">
        <v>4</v>
      </c>
    </row>
    <row r="11" spans="1:5" ht="40.5" customHeight="1">
      <c r="A11" s="625" t="s">
        <v>622</v>
      </c>
      <c r="B11" s="597"/>
      <c r="C11" s="218" t="s">
        <v>623</v>
      </c>
      <c r="D11" s="218" t="s">
        <v>624</v>
      </c>
      <c r="E11" s="25" t="s">
        <v>625</v>
      </c>
    </row>
    <row r="12" spans="1:5" ht="15.75" customHeight="1">
      <c r="A12" s="31">
        <v>1</v>
      </c>
      <c r="B12" s="32" t="s">
        <v>168</v>
      </c>
      <c r="C12" s="219" t="s">
        <v>626</v>
      </c>
      <c r="D12" s="219" t="s">
        <v>627</v>
      </c>
      <c r="E12" s="220" t="s">
        <v>628</v>
      </c>
    </row>
    <row r="13" spans="1:5" ht="15.75" customHeight="1">
      <c r="A13" s="31">
        <v>2</v>
      </c>
      <c r="B13" s="32" t="s">
        <v>629</v>
      </c>
      <c r="C13" s="159" t="s">
        <v>630</v>
      </c>
      <c r="D13" s="159" t="s">
        <v>631</v>
      </c>
      <c r="E13" s="221" t="s">
        <v>632</v>
      </c>
    </row>
    <row r="14" spans="1:5" ht="15.75" customHeight="1">
      <c r="A14" s="31">
        <v>3</v>
      </c>
      <c r="B14" s="32" t="s">
        <v>633</v>
      </c>
      <c r="C14" s="159" t="s">
        <v>634</v>
      </c>
      <c r="D14" s="159" t="s">
        <v>635</v>
      </c>
      <c r="E14" s="221" t="s">
        <v>636</v>
      </c>
    </row>
    <row r="15" spans="1:5" ht="15.75" customHeight="1">
      <c r="A15" s="31">
        <v>4</v>
      </c>
      <c r="B15" s="32" t="s">
        <v>637</v>
      </c>
      <c r="C15" s="222" t="s">
        <v>638</v>
      </c>
      <c r="D15" s="159" t="s">
        <v>639</v>
      </c>
      <c r="E15" s="221" t="s">
        <v>640</v>
      </c>
    </row>
    <row r="16" spans="1:5" ht="15.75" customHeight="1">
      <c r="A16" s="31">
        <v>5</v>
      </c>
      <c r="B16" s="32" t="s">
        <v>641</v>
      </c>
      <c r="C16" s="159" t="s">
        <v>642</v>
      </c>
      <c r="D16" s="159" t="s">
        <v>643</v>
      </c>
      <c r="E16" s="223"/>
    </row>
    <row r="17" spans="1:5" ht="15.75" customHeight="1">
      <c r="A17" s="33">
        <v>6</v>
      </c>
      <c r="B17" s="34" t="s">
        <v>644</v>
      </c>
      <c r="C17" s="224" t="s">
        <v>645</v>
      </c>
      <c r="D17" s="224" t="s">
        <v>627</v>
      </c>
      <c r="E17" s="225" t="s">
        <v>628</v>
      </c>
    </row>
    <row r="18" spans="1:5" ht="15.75" customHeight="1">
      <c r="A18" s="20"/>
      <c r="B18" s="20"/>
      <c r="C18" s="590"/>
      <c r="D18" s="588"/>
      <c r="E18" s="588"/>
    </row>
    <row r="19" spans="1:5" ht="15.75" customHeight="1">
      <c r="A19" s="594">
        <v>1</v>
      </c>
      <c r="B19" s="595"/>
      <c r="C19" s="37">
        <v>2</v>
      </c>
      <c r="D19" s="38">
        <v>3</v>
      </c>
      <c r="E19" s="39">
        <v>4</v>
      </c>
    </row>
    <row r="20" spans="1:5" ht="25.5" customHeight="1">
      <c r="A20" s="596" t="s">
        <v>622</v>
      </c>
      <c r="B20" s="597"/>
      <c r="C20" s="226" t="s">
        <v>623</v>
      </c>
      <c r="D20" s="226" t="s">
        <v>646</v>
      </c>
      <c r="E20" s="41" t="s">
        <v>625</v>
      </c>
    </row>
    <row r="21" spans="1:5" ht="15.75" customHeight="1">
      <c r="A21" s="150">
        <f t="array" aca="1" ref="A21" ca="1">IFERROR(SEQUENCE(COUNTA(B21:B40)),1)</f>
        <v>1</v>
      </c>
      <c r="B21" s="43" t="s">
        <v>647</v>
      </c>
      <c r="C21" s="151" t="s">
        <v>648</v>
      </c>
      <c r="D21" s="227" t="s">
        <v>643</v>
      </c>
      <c r="E21" s="228"/>
    </row>
    <row r="22" spans="1:5" ht="15.75" customHeight="1">
      <c r="A22" s="150">
        <v>2</v>
      </c>
      <c r="B22" s="43" t="s">
        <v>649</v>
      </c>
      <c r="C22" s="151" t="s">
        <v>648</v>
      </c>
      <c r="D22" s="227" t="s">
        <v>643</v>
      </c>
      <c r="E22" s="229"/>
    </row>
    <row r="23" spans="1:5" ht="15.75" customHeight="1">
      <c r="A23" s="150">
        <v>3</v>
      </c>
      <c r="B23" s="43" t="s">
        <v>650</v>
      </c>
      <c r="C23" s="151" t="s">
        <v>651</v>
      </c>
      <c r="D23" s="227" t="s">
        <v>631</v>
      </c>
      <c r="E23" s="229" t="s">
        <v>652</v>
      </c>
    </row>
    <row r="24" spans="1:5" ht="15.75" customHeight="1">
      <c r="A24" s="150">
        <v>4</v>
      </c>
      <c r="B24" s="43" t="s">
        <v>653</v>
      </c>
      <c r="C24" s="151" t="s">
        <v>654</v>
      </c>
      <c r="D24" s="227" t="s">
        <v>643</v>
      </c>
      <c r="E24" s="229"/>
    </row>
    <row r="25" spans="1:5" ht="15.75" customHeight="1">
      <c r="A25" s="150">
        <v>5</v>
      </c>
      <c r="B25" s="43" t="s">
        <v>655</v>
      </c>
      <c r="C25" s="151" t="s">
        <v>656</v>
      </c>
      <c r="D25" s="227" t="s">
        <v>643</v>
      </c>
      <c r="E25" s="229"/>
    </row>
    <row r="26" spans="1:5" ht="15.75" customHeight="1">
      <c r="A26" s="150">
        <v>6</v>
      </c>
      <c r="B26" s="43" t="s">
        <v>657</v>
      </c>
      <c r="C26" s="151" t="s">
        <v>648</v>
      </c>
      <c r="D26" s="227" t="s">
        <v>643</v>
      </c>
      <c r="E26" s="229"/>
    </row>
    <row r="27" spans="1:5" ht="15.75" customHeight="1">
      <c r="A27" s="150">
        <v>7</v>
      </c>
      <c r="B27" s="43" t="s">
        <v>658</v>
      </c>
      <c r="C27" s="151" t="s">
        <v>654</v>
      </c>
      <c r="D27" s="227" t="s">
        <v>643</v>
      </c>
      <c r="E27" s="229"/>
    </row>
    <row r="28" spans="1:5" ht="15.75" customHeight="1">
      <c r="A28" s="150">
        <v>8</v>
      </c>
      <c r="B28" s="43" t="s">
        <v>659</v>
      </c>
      <c r="C28" s="151" t="s">
        <v>656</v>
      </c>
      <c r="D28" s="227" t="s">
        <v>631</v>
      </c>
      <c r="E28" s="229" t="s">
        <v>652</v>
      </c>
    </row>
    <row r="29" spans="1:5" ht="15.75" customHeight="1">
      <c r="A29" s="150">
        <v>9</v>
      </c>
      <c r="B29" s="43" t="s">
        <v>660</v>
      </c>
      <c r="C29" s="151" t="s">
        <v>661</v>
      </c>
      <c r="D29" s="227" t="s">
        <v>643</v>
      </c>
      <c r="E29" s="229"/>
    </row>
    <row r="30" spans="1:5" ht="15.75" customHeight="1">
      <c r="A30" s="150">
        <v>10</v>
      </c>
      <c r="B30" s="43" t="s">
        <v>662</v>
      </c>
      <c r="C30" s="151" t="s">
        <v>654</v>
      </c>
      <c r="D30" s="227" t="s">
        <v>643</v>
      </c>
      <c r="E30" s="229"/>
    </row>
    <row r="31" spans="1:5" ht="15.75" customHeight="1">
      <c r="A31" s="150">
        <v>11</v>
      </c>
      <c r="B31" s="43" t="s">
        <v>663</v>
      </c>
      <c r="C31" s="151" t="s">
        <v>664</v>
      </c>
      <c r="D31" s="227" t="s">
        <v>643</v>
      </c>
      <c r="E31" s="229"/>
    </row>
    <row r="32" spans="1:5" ht="15.75" customHeight="1">
      <c r="A32" s="150">
        <v>12</v>
      </c>
      <c r="B32" s="43" t="s">
        <v>665</v>
      </c>
      <c r="C32" s="151" t="s">
        <v>648</v>
      </c>
      <c r="D32" s="227" t="s">
        <v>631</v>
      </c>
      <c r="E32" s="229" t="s">
        <v>652</v>
      </c>
    </row>
    <row r="33" spans="1:5" ht="15.75" customHeight="1">
      <c r="A33" s="150">
        <v>13</v>
      </c>
      <c r="B33" s="43" t="s">
        <v>666</v>
      </c>
      <c r="C33" s="151" t="s">
        <v>656</v>
      </c>
      <c r="D33" s="227" t="s">
        <v>635</v>
      </c>
      <c r="E33" s="229" t="s">
        <v>652</v>
      </c>
    </row>
    <row r="34" spans="1:5" ht="15.75" customHeight="1">
      <c r="A34" s="150">
        <v>14</v>
      </c>
      <c r="B34" s="43" t="s">
        <v>667</v>
      </c>
      <c r="C34" s="151" t="s">
        <v>668</v>
      </c>
      <c r="D34" s="227" t="s">
        <v>639</v>
      </c>
      <c r="E34" s="229" t="s">
        <v>652</v>
      </c>
    </row>
    <row r="35" spans="1:5" ht="15.75" customHeight="1">
      <c r="A35" s="150">
        <v>15</v>
      </c>
      <c r="B35" s="43" t="s">
        <v>669</v>
      </c>
      <c r="C35" s="151" t="s">
        <v>654</v>
      </c>
      <c r="D35" s="227" t="s">
        <v>631</v>
      </c>
      <c r="E35" s="229" t="s">
        <v>652</v>
      </c>
    </row>
    <row r="36" spans="1:5" ht="15.75" customHeight="1">
      <c r="A36" s="54">
        <v>16</v>
      </c>
      <c r="B36" s="43" t="s">
        <v>670</v>
      </c>
      <c r="C36" s="56" t="s">
        <v>648</v>
      </c>
      <c r="D36" s="230" t="s">
        <v>643</v>
      </c>
      <c r="E36" s="231"/>
    </row>
    <row r="37" spans="1:5" ht="15.75" customHeight="1">
      <c r="A37" s="54">
        <v>17</v>
      </c>
      <c r="B37" s="43" t="s">
        <v>671</v>
      </c>
      <c r="C37" s="56" t="s">
        <v>656</v>
      </c>
      <c r="D37" s="230" t="s">
        <v>643</v>
      </c>
      <c r="E37" s="231"/>
    </row>
    <row r="38" spans="1:5" ht="15.75" customHeight="1">
      <c r="A38" s="54">
        <v>18</v>
      </c>
      <c r="B38" s="43" t="s">
        <v>672</v>
      </c>
      <c r="C38" s="56" t="s">
        <v>661</v>
      </c>
      <c r="D38" s="230" t="s">
        <v>643</v>
      </c>
      <c r="E38" s="231"/>
    </row>
    <row r="39" spans="1:5" ht="12.75" hidden="1" customHeight="1">
      <c r="A39" s="54"/>
      <c r="B39" s="43"/>
      <c r="C39" s="56"/>
      <c r="D39" s="230"/>
      <c r="E39" s="232"/>
    </row>
    <row r="40" spans="1:5" ht="15" customHeight="1">
      <c r="A40" s="54"/>
      <c r="B40" s="55"/>
      <c r="C40" s="56"/>
      <c r="D40" s="57"/>
      <c r="E40" s="47"/>
    </row>
    <row r="41" spans="1:5" ht="15" customHeight="1">
      <c r="A41" s="58"/>
      <c r="B41" s="59"/>
      <c r="C41" s="233"/>
      <c r="D41" s="234" t="s">
        <v>152</v>
      </c>
      <c r="E41" s="235"/>
    </row>
    <row r="42" spans="1:5" ht="15" customHeight="1">
      <c r="A42" s="155"/>
      <c r="B42" s="156" t="s">
        <v>673</v>
      </c>
      <c r="C42" s="236">
        <f t="shared" ref="C42:C46" si="0">COUNTIF($D$21:$D$40, "*"&amp;B42&amp;"*")</f>
        <v>0</v>
      </c>
      <c r="D42" s="237">
        <f t="shared" ref="D42:D45" si="1">$C42/$C$47</f>
        <v>0</v>
      </c>
      <c r="E42" s="16"/>
    </row>
    <row r="43" spans="1:5" ht="15" customHeight="1">
      <c r="A43" s="155"/>
      <c r="B43" s="156" t="s">
        <v>674</v>
      </c>
      <c r="C43" s="236">
        <f t="shared" si="0"/>
        <v>4</v>
      </c>
      <c r="D43" s="237">
        <f t="shared" si="1"/>
        <v>0.22222222222222221</v>
      </c>
      <c r="E43" s="16"/>
    </row>
    <row r="44" spans="1:5" ht="15" customHeight="1">
      <c r="A44" s="155"/>
      <c r="B44" s="156" t="s">
        <v>675</v>
      </c>
      <c r="C44" s="236">
        <f t="shared" si="0"/>
        <v>1</v>
      </c>
      <c r="D44" s="237">
        <f t="shared" si="1"/>
        <v>5.5555555555555552E-2</v>
      </c>
      <c r="E44" s="16"/>
    </row>
    <row r="45" spans="1:5" ht="15" customHeight="1">
      <c r="A45" s="155"/>
      <c r="B45" s="156" t="s">
        <v>676</v>
      </c>
      <c r="C45" s="236">
        <f t="shared" si="0"/>
        <v>1</v>
      </c>
      <c r="D45" s="237">
        <f t="shared" si="1"/>
        <v>5.5555555555555552E-2</v>
      </c>
      <c r="E45" s="16"/>
    </row>
    <row r="46" spans="1:5" ht="15.75" customHeight="1">
      <c r="A46" s="155"/>
      <c r="B46" s="156" t="s">
        <v>677</v>
      </c>
      <c r="C46" s="236">
        <f t="shared" si="0"/>
        <v>12</v>
      </c>
      <c r="D46" s="238"/>
      <c r="E46" s="16"/>
    </row>
    <row r="47" spans="1:5" ht="15.75" customHeight="1">
      <c r="A47" s="216"/>
      <c r="B47" s="239" t="s">
        <v>678</v>
      </c>
      <c r="C47" s="240">
        <f t="shared" ref="C47:D47" si="2">SUM(C42:C46)</f>
        <v>18</v>
      </c>
      <c r="D47" s="241">
        <f t="shared" si="2"/>
        <v>0.33333333333333337</v>
      </c>
      <c r="E47" s="64"/>
    </row>
    <row r="48" spans="1:5" ht="15.75" customHeight="1">
      <c r="A48" s="64"/>
      <c r="B48" s="64"/>
      <c r="C48" s="20"/>
      <c r="D48" s="20"/>
      <c r="E48" s="64"/>
    </row>
    <row r="49" spans="1:5" ht="15.75" customHeight="1">
      <c r="A49" s="65" t="s">
        <v>153</v>
      </c>
      <c r="B49" s="66"/>
      <c r="C49" s="64"/>
      <c r="D49" s="64"/>
      <c r="E49" s="64"/>
    </row>
    <row r="50" spans="1:5" ht="15.75" customHeight="1">
      <c r="A50" s="67"/>
      <c r="B50" s="66"/>
      <c r="C50" s="64"/>
      <c r="D50" s="64"/>
      <c r="E50" s="64"/>
    </row>
    <row r="51" spans="1:5" ht="15.75" customHeight="1">
      <c r="A51" s="66"/>
      <c r="B51" s="68"/>
      <c r="C51" s="69"/>
      <c r="D51" s="70"/>
      <c r="E51" s="70"/>
    </row>
    <row r="52" spans="1:5" ht="15.75" customHeight="1">
      <c r="A52" s="66"/>
      <c r="B52" s="71" t="s">
        <v>679</v>
      </c>
      <c r="C52" s="72">
        <v>45348</v>
      </c>
      <c r="D52" s="70"/>
      <c r="E52" s="70"/>
    </row>
    <row r="53" spans="1:5" ht="15.75" customHeight="1">
      <c r="A53" s="73"/>
      <c r="B53" s="74" t="s">
        <v>680</v>
      </c>
      <c r="C53" s="75" t="s">
        <v>156</v>
      </c>
      <c r="D53" s="70"/>
      <c r="E53" s="70"/>
    </row>
    <row r="54" spans="1:5" ht="15.75" customHeight="1">
      <c r="A54" s="64"/>
      <c r="B54" s="64"/>
      <c r="C54" s="64"/>
      <c r="D54" s="70"/>
      <c r="E54" s="70"/>
    </row>
    <row r="55" spans="1:5" ht="15.75" customHeight="1">
      <c r="A55" s="64"/>
      <c r="B55" s="64"/>
      <c r="C55" s="64"/>
      <c r="D55" s="70"/>
      <c r="E55" s="70"/>
    </row>
    <row r="56" spans="1:5" ht="15.75" customHeight="1">
      <c r="A56" s="64" t="s">
        <v>157</v>
      </c>
      <c r="B56" s="64"/>
      <c r="C56" s="64"/>
      <c r="D56" s="70"/>
      <c r="E56" s="70"/>
    </row>
    <row r="57" spans="1:5" ht="15.75" customHeight="1">
      <c r="A57" s="76"/>
      <c r="B57" s="64"/>
      <c r="C57" s="64"/>
      <c r="D57" s="70"/>
      <c r="E57" s="70"/>
    </row>
    <row r="58" spans="1:5" ht="15.75" customHeight="1">
      <c r="A58" s="66"/>
      <c r="B58" s="68"/>
      <c r="C58" s="69"/>
      <c r="D58" s="70"/>
      <c r="E58" s="70"/>
    </row>
    <row r="59" spans="1:5" ht="15.75" customHeight="1">
      <c r="A59" s="66"/>
      <c r="B59" s="71" t="s">
        <v>158</v>
      </c>
      <c r="C59" s="72">
        <v>45348</v>
      </c>
      <c r="D59" s="70"/>
      <c r="E59" s="70"/>
    </row>
    <row r="60" spans="1:5" ht="15.75" customHeight="1">
      <c r="A60" s="74"/>
      <c r="B60" s="77" t="s">
        <v>159</v>
      </c>
      <c r="C60" s="75" t="s">
        <v>156</v>
      </c>
      <c r="D60" s="70"/>
      <c r="E60" s="70"/>
    </row>
    <row r="61" spans="1:5" ht="15.75" customHeight="1"/>
    <row r="62" spans="1:5" ht="15.75" customHeight="1"/>
    <row r="63" spans="1:5" ht="15.75" customHeight="1"/>
    <row r="64" spans="1:5"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20:B20"/>
    <mergeCell ref="C1:E1"/>
    <mergeCell ref="C2:E2"/>
    <mergeCell ref="C3:E3"/>
    <mergeCell ref="C4:E4"/>
    <mergeCell ref="C5:E5"/>
    <mergeCell ref="C6:E6"/>
    <mergeCell ref="C7:E7"/>
    <mergeCell ref="C18:E18"/>
    <mergeCell ref="C8:E8"/>
    <mergeCell ref="A9:E9"/>
    <mergeCell ref="A10:B10"/>
    <mergeCell ref="A11:B11"/>
    <mergeCell ref="A19:B19"/>
  </mergeCells>
  <dataValidations count="1">
    <dataValidation type="list" allowBlank="1" showErrorMessage="1" sqref="D21:D40" xr:uid="{00000000-0002-0000-0500-000000000000}">
      <formula1>$D$12:$D$17</formula1>
    </dataValidation>
  </dataValidations>
  <hyperlinks>
    <hyperlink ref="E12" r:id="rId1" xr:uid="{00000000-0004-0000-0500-000000000000}"/>
    <hyperlink ref="E13" r:id="rId2" xr:uid="{00000000-0004-0000-0500-000001000000}"/>
    <hyperlink ref="E14" r:id="rId3" xr:uid="{00000000-0004-0000-0500-000002000000}"/>
    <hyperlink ref="E15" r:id="rId4" xr:uid="{00000000-0004-0000-0500-000003000000}"/>
    <hyperlink ref="E17" r:id="rId5" xr:uid="{00000000-0004-0000-0500-000004000000}"/>
  </hyperlinks>
  <pageMargins left="0.7" right="0.7" top="0.75" bottom="0.75" header="0" footer="0"/>
  <pageSetup fitToHeight="0" pageOrder="overThenDown" orientation="landscape"/>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0124D"/>
    <pageSetUpPr fitToPage="1"/>
  </sheetPr>
  <dimension ref="A1:E1000"/>
  <sheetViews>
    <sheetView workbookViewId="0"/>
  </sheetViews>
  <sheetFormatPr defaultColWidth="12.5703125" defaultRowHeight="15" customHeight="1"/>
  <cols>
    <col min="1" max="1" width="2.7109375" customWidth="1"/>
    <col min="2" max="2" width="47.140625" customWidth="1"/>
    <col min="3" max="4" width="13.42578125" customWidth="1"/>
    <col min="5" max="5" width="43.5703125" customWidth="1"/>
    <col min="6" max="6" width="12.5703125" customWidth="1"/>
  </cols>
  <sheetData>
    <row r="1" spans="1:5" ht="15.75" customHeight="1">
      <c r="A1" s="10"/>
      <c r="B1" s="145" t="s">
        <v>105</v>
      </c>
      <c r="C1" s="584" t="s">
        <v>106</v>
      </c>
      <c r="D1" s="585"/>
      <c r="E1" s="586"/>
    </row>
    <row r="2" spans="1:5" ht="15.75" customHeight="1">
      <c r="A2" s="12"/>
      <c r="B2" s="13" t="s">
        <v>107</v>
      </c>
      <c r="C2" s="587" t="s">
        <v>681</v>
      </c>
      <c r="D2" s="588"/>
      <c r="E2" s="589"/>
    </row>
    <row r="3" spans="1:5" ht="40.5" customHeight="1">
      <c r="A3" s="14"/>
      <c r="B3" s="15" t="s">
        <v>108</v>
      </c>
      <c r="C3" s="587" t="s">
        <v>682</v>
      </c>
      <c r="D3" s="588"/>
      <c r="E3" s="589"/>
    </row>
    <row r="4" spans="1:5" ht="103.5" customHeight="1">
      <c r="A4" s="17"/>
      <c r="B4" s="13" t="s">
        <v>110</v>
      </c>
      <c r="C4" s="590" t="s">
        <v>683</v>
      </c>
      <c r="D4" s="588"/>
      <c r="E4" s="589"/>
    </row>
    <row r="5" spans="1:5" ht="77.25" customHeight="1">
      <c r="A5" s="12"/>
      <c r="B5" s="13" t="s">
        <v>112</v>
      </c>
      <c r="C5" s="590" t="str">
        <f t="array" ref="C5">"For State Colleges and Professional Institutes:"&amp;CHAR(10)&amp;'Reference Matrix'!$E13</f>
        <v>For State Colleges and Professional Institutes:
References in determining the disciplines/programs identified as priority offerings:
a. CMO No. 5, s. 2019
b. CMO No. 10, s. 2021
c. CMO No. 7, s. 2023
d. RDC Resolutions</v>
      </c>
      <c r="D5" s="588"/>
      <c r="E5" s="589"/>
    </row>
    <row r="6" spans="1:5" ht="78" customHeight="1">
      <c r="A6" s="12"/>
      <c r="B6" s="13" t="s">
        <v>113</v>
      </c>
      <c r="C6" s="590" t="str">
        <f t="array" ref="C6">"For State Colleges and Professional Institutes:"&amp;CHAR(10)&amp;'Reference Matrix'!$F13</f>
        <v>For State Colleges and Professional Institutes:
1. Duly certified enrollment report
2. Summary of Enrolment by identified priority graduate programs, and all other programs per campus
3. For programs considered priority outside those identified by the CHED, submit certification, resolution from RDC or similar Government Councils, etc.</v>
      </c>
      <c r="D6" s="588"/>
      <c r="E6" s="589"/>
    </row>
    <row r="7" spans="1:5" ht="15.75" customHeight="1">
      <c r="A7" s="18"/>
      <c r="B7" s="19" t="s">
        <v>114</v>
      </c>
      <c r="C7" s="591" t="s">
        <v>115</v>
      </c>
      <c r="D7" s="592"/>
      <c r="E7" s="593"/>
    </row>
    <row r="8" spans="1:5" ht="15.75" customHeight="1">
      <c r="A8" s="20"/>
      <c r="B8" s="20"/>
      <c r="C8" s="590"/>
      <c r="D8" s="588"/>
      <c r="E8" s="588"/>
    </row>
    <row r="9" spans="1:5" ht="15.75" customHeight="1">
      <c r="A9" s="601" t="s">
        <v>116</v>
      </c>
      <c r="B9" s="576"/>
      <c r="C9" s="576"/>
      <c r="D9" s="576"/>
      <c r="E9" s="577"/>
    </row>
    <row r="10" spans="1:5" ht="15.75" customHeight="1">
      <c r="A10" s="602">
        <v>1</v>
      </c>
      <c r="B10" s="595"/>
      <c r="C10" s="651">
        <v>2</v>
      </c>
      <c r="D10" s="595"/>
      <c r="E10" s="23">
        <v>3</v>
      </c>
    </row>
    <row r="11" spans="1:5" ht="15.75" customHeight="1">
      <c r="A11" s="603" t="s">
        <v>117</v>
      </c>
      <c r="B11" s="604"/>
      <c r="C11" s="654" t="s">
        <v>471</v>
      </c>
      <c r="D11" s="583"/>
      <c r="E11" s="655" t="s">
        <v>121</v>
      </c>
    </row>
    <row r="12" spans="1:5" ht="15.75" customHeight="1">
      <c r="A12" s="652"/>
      <c r="B12" s="653"/>
      <c r="C12" s="146" t="s">
        <v>472</v>
      </c>
      <c r="D12" s="146" t="s">
        <v>473</v>
      </c>
      <c r="E12" s="631"/>
    </row>
    <row r="13" spans="1:5" ht="15.75" customHeight="1">
      <c r="A13" s="605" t="s">
        <v>122</v>
      </c>
      <c r="B13" s="585"/>
      <c r="C13" s="585"/>
      <c r="D13" s="595"/>
      <c r="E13" s="606" t="s">
        <v>684</v>
      </c>
    </row>
    <row r="14" spans="1:5" ht="15.75" customHeight="1">
      <c r="A14" s="27">
        <v>1</v>
      </c>
      <c r="B14" s="28" t="s">
        <v>685</v>
      </c>
      <c r="C14" s="30">
        <v>88</v>
      </c>
      <c r="D14" s="30"/>
      <c r="E14" s="589"/>
    </row>
    <row r="15" spans="1:5" ht="15.75" customHeight="1">
      <c r="A15" s="31">
        <v>2</v>
      </c>
      <c r="B15" s="32" t="s">
        <v>686</v>
      </c>
      <c r="C15" s="30">
        <v>78</v>
      </c>
      <c r="D15" s="30"/>
      <c r="E15" s="589"/>
    </row>
    <row r="16" spans="1:5" ht="15.75" customHeight="1">
      <c r="A16" s="31">
        <v>3</v>
      </c>
      <c r="B16" s="32" t="s">
        <v>687</v>
      </c>
      <c r="C16" s="30"/>
      <c r="D16" s="30">
        <v>112</v>
      </c>
      <c r="E16" s="589"/>
    </row>
    <row r="17" spans="1:5" ht="15.75" customHeight="1">
      <c r="A17" s="31">
        <v>4</v>
      </c>
      <c r="B17" s="32" t="s">
        <v>688</v>
      </c>
      <c r="C17" s="30">
        <v>10</v>
      </c>
      <c r="D17" s="30"/>
      <c r="E17" s="589"/>
    </row>
    <row r="18" spans="1:5" ht="15.75" customHeight="1">
      <c r="A18" s="31">
        <v>5</v>
      </c>
      <c r="B18" s="32" t="s">
        <v>689</v>
      </c>
      <c r="C18" s="30"/>
      <c r="D18" s="30">
        <v>89</v>
      </c>
      <c r="E18" s="589"/>
    </row>
    <row r="19" spans="1:5" ht="15.75" customHeight="1">
      <c r="A19" s="33">
        <v>6</v>
      </c>
      <c r="B19" s="34" t="s">
        <v>690</v>
      </c>
      <c r="C19" s="36">
        <v>90</v>
      </c>
      <c r="D19" s="36"/>
      <c r="E19" s="580"/>
    </row>
    <row r="20" spans="1:5" ht="15.75" customHeight="1">
      <c r="A20" s="20"/>
      <c r="B20" s="20"/>
      <c r="C20" s="590"/>
      <c r="D20" s="588"/>
      <c r="E20" s="588"/>
    </row>
    <row r="21" spans="1:5" ht="15.75" customHeight="1">
      <c r="A21" s="594">
        <v>1</v>
      </c>
      <c r="B21" s="595"/>
      <c r="C21" s="656">
        <v>2</v>
      </c>
      <c r="D21" s="595"/>
      <c r="E21" s="39">
        <v>3</v>
      </c>
    </row>
    <row r="22" spans="1:5" ht="15.75" customHeight="1">
      <c r="A22" s="661" t="s">
        <v>117</v>
      </c>
      <c r="B22" s="604"/>
      <c r="C22" s="657" t="s">
        <v>471</v>
      </c>
      <c r="D22" s="640"/>
      <c r="E22" s="658" t="s">
        <v>121</v>
      </c>
    </row>
    <row r="23" spans="1:5" ht="15.75" customHeight="1">
      <c r="A23" s="652"/>
      <c r="B23" s="653"/>
      <c r="C23" s="148" t="s">
        <v>472</v>
      </c>
      <c r="D23" s="149" t="s">
        <v>473</v>
      </c>
      <c r="E23" s="631"/>
    </row>
    <row r="24" spans="1:5" ht="16.5" customHeight="1">
      <c r="A24" s="598" t="s">
        <v>691</v>
      </c>
      <c r="B24" s="585"/>
      <c r="C24" s="585"/>
      <c r="D24" s="595"/>
      <c r="E24" s="662"/>
    </row>
    <row r="25" spans="1:5" ht="15.75" customHeight="1">
      <c r="A25" s="150">
        <v>1</v>
      </c>
      <c r="B25" s="43" t="s">
        <v>325</v>
      </c>
      <c r="C25" s="151">
        <v>43</v>
      </c>
      <c r="D25" s="151"/>
      <c r="E25" s="610"/>
    </row>
    <row r="26" spans="1:5" ht="15.75" customHeight="1">
      <c r="A26" s="150">
        <v>2</v>
      </c>
      <c r="B26" s="43" t="s">
        <v>692</v>
      </c>
      <c r="C26" s="151">
        <v>457</v>
      </c>
      <c r="D26" s="151"/>
      <c r="E26" s="610"/>
    </row>
    <row r="27" spans="1:5" ht="15.75" customHeight="1">
      <c r="A27" s="150">
        <v>3</v>
      </c>
      <c r="B27" s="43" t="s">
        <v>693</v>
      </c>
      <c r="C27" s="151">
        <v>45</v>
      </c>
      <c r="D27" s="151">
        <v>30</v>
      </c>
      <c r="E27" s="610"/>
    </row>
    <row r="28" spans="1:5" ht="15.75" customHeight="1">
      <c r="A28" s="150">
        <v>4</v>
      </c>
      <c r="B28" s="43" t="s">
        <v>688</v>
      </c>
      <c r="C28" s="151">
        <v>7</v>
      </c>
      <c r="D28" s="151"/>
      <c r="E28" s="610"/>
    </row>
    <row r="29" spans="1:5" ht="15.75" customHeight="1">
      <c r="A29" s="150">
        <v>5</v>
      </c>
      <c r="B29" s="43"/>
      <c r="C29" s="151"/>
      <c r="D29" s="151"/>
      <c r="E29" s="610"/>
    </row>
    <row r="30" spans="1:5" ht="12.75" hidden="1" customHeight="1">
      <c r="A30" s="54"/>
      <c r="B30" s="55"/>
      <c r="C30" s="56"/>
      <c r="D30" s="57"/>
      <c r="E30" s="47"/>
    </row>
    <row r="31" spans="1:5" ht="15" customHeight="1">
      <c r="A31" s="152"/>
      <c r="B31" s="153" t="s">
        <v>502</v>
      </c>
      <c r="C31" s="154">
        <f t="shared" ref="C31:D31" si="0">SUM(C25:C30)</f>
        <v>552</v>
      </c>
      <c r="D31" s="154">
        <f t="shared" si="0"/>
        <v>30</v>
      </c>
      <c r="E31" s="61"/>
    </row>
    <row r="32" spans="1:5" ht="15" customHeight="1">
      <c r="A32" s="155"/>
      <c r="B32" s="156" t="s">
        <v>503</v>
      </c>
      <c r="C32" s="659">
        <f>SUM(C31:D31)</f>
        <v>582</v>
      </c>
      <c r="D32" s="660"/>
      <c r="E32" s="61"/>
    </row>
    <row r="33" spans="1:5" ht="15" customHeight="1">
      <c r="A33" s="62"/>
      <c r="B33" s="63" t="s">
        <v>152</v>
      </c>
      <c r="C33" s="600">
        <f>C31/C32</f>
        <v>0.94845360824742264</v>
      </c>
      <c r="D33" s="593"/>
      <c r="E33" s="61"/>
    </row>
    <row r="34" spans="1:5" ht="15.75" customHeight="1">
      <c r="A34" s="64"/>
      <c r="B34" s="64"/>
      <c r="C34" s="64"/>
      <c r="D34" s="64"/>
      <c r="E34" s="64"/>
    </row>
    <row r="35" spans="1:5" ht="15.75" customHeight="1">
      <c r="A35" s="65" t="s">
        <v>153</v>
      </c>
      <c r="B35" s="66"/>
      <c r="C35" s="64"/>
      <c r="D35" s="64"/>
      <c r="E35" s="64"/>
    </row>
    <row r="36" spans="1:5" ht="15.75" customHeight="1">
      <c r="A36" s="67"/>
      <c r="B36" s="66"/>
      <c r="C36" s="64"/>
      <c r="D36" s="64"/>
      <c r="E36" s="64"/>
    </row>
    <row r="37" spans="1:5" ht="15.75" customHeight="1">
      <c r="A37" s="66"/>
      <c r="B37" s="68"/>
      <c r="C37" s="69"/>
      <c r="D37" s="70"/>
      <c r="E37" s="70"/>
    </row>
    <row r="38" spans="1:5" ht="15.75" customHeight="1">
      <c r="A38" s="66"/>
      <c r="B38" s="71" t="s">
        <v>504</v>
      </c>
      <c r="C38" s="72">
        <v>45348</v>
      </c>
      <c r="D38" s="70"/>
      <c r="E38" s="70"/>
    </row>
    <row r="39" spans="1:5" ht="15.75" customHeight="1">
      <c r="A39" s="73"/>
      <c r="B39" s="74" t="s">
        <v>505</v>
      </c>
      <c r="C39" s="75" t="s">
        <v>156</v>
      </c>
      <c r="D39" s="70"/>
      <c r="E39" s="70"/>
    </row>
    <row r="40" spans="1:5" ht="15.75" customHeight="1">
      <c r="A40" s="64"/>
      <c r="B40" s="64"/>
      <c r="C40" s="64"/>
      <c r="D40" s="70"/>
      <c r="E40" s="70"/>
    </row>
    <row r="41" spans="1:5" ht="15.75" customHeight="1">
      <c r="A41" s="64"/>
      <c r="B41" s="64"/>
      <c r="C41" s="64"/>
      <c r="D41" s="70"/>
      <c r="E41" s="70"/>
    </row>
    <row r="42" spans="1:5" ht="15.75" customHeight="1">
      <c r="A42" s="64" t="s">
        <v>157</v>
      </c>
      <c r="B42" s="64"/>
      <c r="C42" s="64"/>
      <c r="D42" s="70"/>
      <c r="E42" s="70"/>
    </row>
    <row r="43" spans="1:5" ht="15.75" customHeight="1">
      <c r="A43" s="76"/>
      <c r="B43" s="64"/>
      <c r="C43" s="64"/>
      <c r="D43" s="70"/>
      <c r="E43" s="70"/>
    </row>
    <row r="44" spans="1:5" ht="15.75" customHeight="1">
      <c r="A44" s="66"/>
      <c r="B44" s="68"/>
      <c r="C44" s="69"/>
      <c r="D44" s="70"/>
      <c r="E44" s="70"/>
    </row>
    <row r="45" spans="1:5" ht="15.75" customHeight="1">
      <c r="A45" s="66"/>
      <c r="B45" s="71" t="s">
        <v>158</v>
      </c>
      <c r="C45" s="72">
        <v>45348</v>
      </c>
      <c r="D45" s="70"/>
      <c r="E45" s="70"/>
    </row>
    <row r="46" spans="1:5" ht="15.75" customHeight="1">
      <c r="A46" s="74"/>
      <c r="B46" s="77" t="s">
        <v>159</v>
      </c>
      <c r="C46" s="75" t="s">
        <v>156</v>
      </c>
      <c r="D46" s="70"/>
      <c r="E46" s="70"/>
    </row>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E24:E29"/>
    <mergeCell ref="C32:D32"/>
    <mergeCell ref="C33:D33"/>
    <mergeCell ref="E11:E12"/>
    <mergeCell ref="E13:E19"/>
    <mergeCell ref="C20:E20"/>
    <mergeCell ref="C21:D21"/>
    <mergeCell ref="C22:D22"/>
    <mergeCell ref="E22:E23"/>
    <mergeCell ref="A11:B12"/>
    <mergeCell ref="C11:D11"/>
    <mergeCell ref="A13:D13"/>
    <mergeCell ref="A22:B23"/>
    <mergeCell ref="A24:D24"/>
    <mergeCell ref="A21:B21"/>
    <mergeCell ref="C6:E6"/>
    <mergeCell ref="C7:E7"/>
    <mergeCell ref="C8:E8"/>
    <mergeCell ref="A9:E9"/>
    <mergeCell ref="A10:B10"/>
    <mergeCell ref="C10:D10"/>
    <mergeCell ref="C1:E1"/>
    <mergeCell ref="C2:E2"/>
    <mergeCell ref="C3:E3"/>
    <mergeCell ref="C4:E4"/>
    <mergeCell ref="C5:E5"/>
  </mergeCells>
  <printOptions horizontalCentered="1"/>
  <pageMargins left="0.7" right="0.7" top="0.75" bottom="0.75" header="0" footer="0"/>
  <pageSetup fitToHeight="0" pageOrder="overThenDown"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0124D"/>
    <pageSetUpPr fitToPage="1"/>
  </sheetPr>
  <dimension ref="A1:G1000"/>
  <sheetViews>
    <sheetView workbookViewId="0"/>
  </sheetViews>
  <sheetFormatPr defaultColWidth="12.5703125" defaultRowHeight="15" customHeight="1"/>
  <cols>
    <col min="1" max="1" width="2.7109375" customWidth="1"/>
    <col min="2" max="2" width="41.28515625" customWidth="1"/>
    <col min="3" max="3" width="15.140625" customWidth="1"/>
    <col min="4" max="4" width="18.42578125" customWidth="1"/>
    <col min="5" max="6" width="13.42578125" customWidth="1"/>
    <col min="7" max="7" width="46" customWidth="1"/>
  </cols>
  <sheetData>
    <row r="1" spans="1:7" ht="15.75" customHeight="1">
      <c r="A1" s="10"/>
      <c r="B1" s="145" t="s">
        <v>105</v>
      </c>
      <c r="C1" s="584" t="s">
        <v>106</v>
      </c>
      <c r="D1" s="585"/>
      <c r="E1" s="585"/>
      <c r="F1" s="585"/>
      <c r="G1" s="586"/>
    </row>
    <row r="2" spans="1:7" ht="15.75" customHeight="1">
      <c r="A2" s="12"/>
      <c r="B2" s="13" t="s">
        <v>107</v>
      </c>
      <c r="C2" s="587" t="s">
        <v>30</v>
      </c>
      <c r="D2" s="588"/>
      <c r="E2" s="588"/>
      <c r="F2" s="588"/>
      <c r="G2" s="589"/>
    </row>
    <row r="3" spans="1:7" ht="15.75" customHeight="1">
      <c r="A3" s="14"/>
      <c r="B3" s="15" t="s">
        <v>108</v>
      </c>
      <c r="C3" s="590" t="s">
        <v>694</v>
      </c>
      <c r="D3" s="588"/>
      <c r="E3" s="588"/>
      <c r="F3" s="588"/>
      <c r="G3" s="589"/>
    </row>
    <row r="4" spans="1:7" ht="67.5" customHeight="1">
      <c r="A4" s="17"/>
      <c r="B4" s="13" t="s">
        <v>110</v>
      </c>
      <c r="C4" s="590" t="s">
        <v>695</v>
      </c>
      <c r="D4" s="588"/>
      <c r="E4" s="588"/>
      <c r="F4" s="588"/>
      <c r="G4" s="589"/>
    </row>
    <row r="5" spans="1:7" ht="15.75" customHeight="1">
      <c r="A5" s="12"/>
      <c r="B5" s="13" t="s">
        <v>112</v>
      </c>
      <c r="C5" s="590" t="str">
        <f>'Reference Matrix'!$E14</f>
        <v>Accreditation includes those issued by local and international bodies recognized by CHED; AACCUP (Level 1 - Level 4)</v>
      </c>
      <c r="D5" s="588"/>
      <c r="E5" s="588"/>
      <c r="F5" s="588"/>
      <c r="G5" s="589"/>
    </row>
    <row r="6" spans="1:7" ht="40.5" customHeight="1">
      <c r="A6" s="12"/>
      <c r="B6" s="13" t="s">
        <v>113</v>
      </c>
      <c r="C6" s="590" t="str">
        <f>'Reference Matrix'!$F14</f>
        <v>1. Accreditation Certificates
2. List of all graduate programs per campus with or without accreditation (include reasons for non-accreditation), indicate year of initial operation</v>
      </c>
      <c r="D6" s="588"/>
      <c r="E6" s="588"/>
      <c r="F6" s="588"/>
      <c r="G6" s="589"/>
    </row>
    <row r="7" spans="1:7" ht="12.75" customHeight="1">
      <c r="A7" s="18"/>
      <c r="B7" s="19" t="s">
        <v>114</v>
      </c>
      <c r="C7" s="591" t="s">
        <v>115</v>
      </c>
      <c r="D7" s="592"/>
      <c r="E7" s="592"/>
      <c r="F7" s="592"/>
      <c r="G7" s="593"/>
    </row>
    <row r="8" spans="1:7" ht="15.75" customHeight="1">
      <c r="A8" s="20"/>
      <c r="B8" s="20"/>
      <c r="C8" s="680"/>
      <c r="D8" s="681"/>
      <c r="E8" s="681"/>
      <c r="F8" s="681"/>
      <c r="G8" s="681"/>
    </row>
    <row r="9" spans="1:7" ht="12.75" customHeight="1">
      <c r="A9" s="682" t="s">
        <v>116</v>
      </c>
      <c r="B9" s="681"/>
      <c r="C9" s="681"/>
      <c r="D9" s="681"/>
      <c r="E9" s="681"/>
      <c r="F9" s="681"/>
      <c r="G9" s="683"/>
    </row>
    <row r="10" spans="1:7" ht="15.75" customHeight="1">
      <c r="A10" s="602">
        <v>1</v>
      </c>
      <c r="B10" s="595"/>
      <c r="C10" s="21">
        <v>2</v>
      </c>
      <c r="D10" s="22">
        <v>3</v>
      </c>
      <c r="E10" s="651">
        <v>4</v>
      </c>
      <c r="F10" s="595"/>
      <c r="G10" s="23">
        <v>5</v>
      </c>
    </row>
    <row r="11" spans="1:7" ht="12.75" customHeight="1">
      <c r="A11" s="603" t="s">
        <v>508</v>
      </c>
      <c r="B11" s="604"/>
      <c r="C11" s="684" t="s">
        <v>509</v>
      </c>
      <c r="D11" s="684" t="s">
        <v>510</v>
      </c>
      <c r="E11" s="685" t="s">
        <v>696</v>
      </c>
      <c r="F11" s="604"/>
      <c r="G11" s="655" t="s">
        <v>512</v>
      </c>
    </row>
    <row r="12" spans="1:7" ht="15.75" customHeight="1">
      <c r="A12" s="615"/>
      <c r="B12" s="616"/>
      <c r="C12" s="645"/>
      <c r="D12" s="645"/>
      <c r="E12" s="158" t="s">
        <v>697</v>
      </c>
      <c r="F12" s="158" t="s">
        <v>698</v>
      </c>
      <c r="G12" s="631"/>
    </row>
    <row r="13" spans="1:7" ht="15.75" customHeight="1">
      <c r="A13" s="605" t="s">
        <v>122</v>
      </c>
      <c r="B13" s="585"/>
      <c r="C13" s="585"/>
      <c r="D13" s="585"/>
      <c r="E13" s="585"/>
      <c r="F13" s="585"/>
      <c r="G13" s="586"/>
    </row>
    <row r="14" spans="1:7" ht="15.75" customHeight="1">
      <c r="A14" s="27">
        <v>1</v>
      </c>
      <c r="B14" s="28" t="s">
        <v>688</v>
      </c>
      <c r="C14" s="159">
        <v>2012</v>
      </c>
      <c r="D14" s="30" t="s">
        <v>515</v>
      </c>
      <c r="E14" s="160"/>
      <c r="F14" s="160"/>
      <c r="G14" s="161" t="s">
        <v>699</v>
      </c>
    </row>
    <row r="15" spans="1:7" ht="15.75" customHeight="1">
      <c r="A15" s="27">
        <v>2</v>
      </c>
      <c r="B15" s="32" t="s">
        <v>689</v>
      </c>
      <c r="C15" s="159">
        <v>2003</v>
      </c>
      <c r="D15" s="30" t="s">
        <v>517</v>
      </c>
      <c r="E15" s="162">
        <v>43312</v>
      </c>
      <c r="F15" s="162">
        <v>44043</v>
      </c>
      <c r="G15" s="161" t="s">
        <v>700</v>
      </c>
    </row>
    <row r="16" spans="1:7" ht="15.75" customHeight="1">
      <c r="A16" s="27">
        <v>3</v>
      </c>
      <c r="B16" s="32" t="s">
        <v>690</v>
      </c>
      <c r="C16" s="159">
        <v>2000</v>
      </c>
      <c r="D16" s="30" t="s">
        <v>519</v>
      </c>
      <c r="E16" s="160">
        <v>44926</v>
      </c>
      <c r="F16" s="160">
        <v>45657</v>
      </c>
      <c r="G16" s="163" t="s">
        <v>520</v>
      </c>
    </row>
    <row r="17" spans="1:7" ht="15.75" customHeight="1">
      <c r="A17" s="27">
        <v>4</v>
      </c>
      <c r="B17" s="32" t="s">
        <v>685</v>
      </c>
      <c r="C17" s="159">
        <v>1999</v>
      </c>
      <c r="D17" s="30" t="s">
        <v>521</v>
      </c>
      <c r="E17" s="160">
        <v>44926</v>
      </c>
      <c r="F17" s="160">
        <v>45657</v>
      </c>
      <c r="G17" s="163" t="s">
        <v>520</v>
      </c>
    </row>
    <row r="18" spans="1:7" ht="15.75" customHeight="1">
      <c r="A18" s="27">
        <v>5</v>
      </c>
      <c r="B18" s="32" t="s">
        <v>686</v>
      </c>
      <c r="C18" s="159">
        <v>1984</v>
      </c>
      <c r="D18" s="30" t="s">
        <v>522</v>
      </c>
      <c r="E18" s="160">
        <v>44927</v>
      </c>
      <c r="F18" s="160">
        <v>46752</v>
      </c>
      <c r="G18" s="163" t="s">
        <v>520</v>
      </c>
    </row>
    <row r="19" spans="1:7" ht="15.75" customHeight="1">
      <c r="A19" s="164">
        <v>6</v>
      </c>
      <c r="B19" s="34" t="s">
        <v>687</v>
      </c>
      <c r="C19" s="165">
        <v>2022</v>
      </c>
      <c r="D19" s="166" t="s">
        <v>523</v>
      </c>
      <c r="E19" s="167"/>
      <c r="F19" s="167"/>
      <c r="G19" s="242" t="s">
        <v>524</v>
      </c>
    </row>
    <row r="20" spans="1:7" ht="15.75" customHeight="1">
      <c r="A20" s="20"/>
      <c r="B20" s="20"/>
      <c r="C20" s="590"/>
      <c r="D20" s="588"/>
      <c r="E20" s="588"/>
      <c r="F20" s="588"/>
      <c r="G20" s="588"/>
    </row>
    <row r="21" spans="1:7" ht="15.75" customHeight="1">
      <c r="A21" s="594">
        <v>1</v>
      </c>
      <c r="B21" s="595"/>
      <c r="C21" s="37">
        <v>2</v>
      </c>
      <c r="D21" s="38">
        <v>3</v>
      </c>
      <c r="E21" s="656">
        <v>4</v>
      </c>
      <c r="F21" s="585"/>
      <c r="G21" s="39">
        <v>5</v>
      </c>
    </row>
    <row r="22" spans="1:7" ht="15.75" customHeight="1">
      <c r="A22" s="674" t="s">
        <v>508</v>
      </c>
      <c r="B22" s="604"/>
      <c r="C22" s="667" t="s">
        <v>509</v>
      </c>
      <c r="D22" s="667" t="s">
        <v>510</v>
      </c>
      <c r="E22" s="665" t="s">
        <v>701</v>
      </c>
      <c r="F22" s="588"/>
      <c r="G22" s="668" t="s">
        <v>121</v>
      </c>
    </row>
    <row r="23" spans="1:7" ht="15.75" customHeight="1">
      <c r="A23" s="652"/>
      <c r="B23" s="653"/>
      <c r="C23" s="664"/>
      <c r="D23" s="664"/>
      <c r="E23" s="169" t="s">
        <v>702</v>
      </c>
      <c r="F23" s="169" t="s">
        <v>703</v>
      </c>
      <c r="G23" s="631"/>
    </row>
    <row r="24" spans="1:7" ht="16.5" customHeight="1">
      <c r="A24" s="598" t="s">
        <v>528</v>
      </c>
      <c r="B24" s="585"/>
      <c r="C24" s="585"/>
      <c r="D24" s="585"/>
      <c r="E24" s="585"/>
      <c r="F24" s="585"/>
      <c r="G24" s="586"/>
    </row>
    <row r="25" spans="1:7" ht="15.75" customHeight="1">
      <c r="A25" s="150">
        <v>1</v>
      </c>
      <c r="B25" s="194" t="s">
        <v>704</v>
      </c>
      <c r="C25" s="151" t="s">
        <v>705</v>
      </c>
      <c r="D25" s="151" t="s">
        <v>521</v>
      </c>
      <c r="E25" s="243" t="s">
        <v>706</v>
      </c>
      <c r="F25" s="243">
        <v>46660</v>
      </c>
      <c r="G25" s="244" t="s">
        <v>707</v>
      </c>
    </row>
    <row r="26" spans="1:7" ht="15.75" customHeight="1">
      <c r="A26" s="150">
        <v>2</v>
      </c>
      <c r="B26" s="194" t="s">
        <v>708</v>
      </c>
      <c r="C26" s="151" t="s">
        <v>709</v>
      </c>
      <c r="D26" s="151" t="s">
        <v>521</v>
      </c>
      <c r="E26" s="243" t="s">
        <v>706</v>
      </c>
      <c r="F26" s="243">
        <v>46660</v>
      </c>
      <c r="G26" s="244" t="s">
        <v>707</v>
      </c>
    </row>
    <row r="27" spans="1:7" ht="15.75" customHeight="1">
      <c r="A27" s="150">
        <v>3</v>
      </c>
      <c r="B27" s="194" t="s">
        <v>710</v>
      </c>
      <c r="C27" s="151" t="s">
        <v>541</v>
      </c>
      <c r="D27" s="151" t="s">
        <v>519</v>
      </c>
      <c r="E27" s="243" t="s">
        <v>531</v>
      </c>
      <c r="F27" s="243">
        <v>45170</v>
      </c>
      <c r="G27" s="244" t="s">
        <v>711</v>
      </c>
    </row>
    <row r="28" spans="1:7" ht="12.75" hidden="1" customHeight="1">
      <c r="A28" s="206"/>
      <c r="B28" s="207"/>
      <c r="C28" s="208"/>
      <c r="D28" s="209"/>
      <c r="E28" s="210"/>
      <c r="F28" s="210"/>
      <c r="G28" s="47"/>
    </row>
    <row r="29" spans="1:7" ht="15" customHeight="1">
      <c r="A29" s="211"/>
      <c r="B29" s="669" t="s">
        <v>615</v>
      </c>
      <c r="C29" s="648"/>
      <c r="D29" s="212">
        <f>COUNTIFS($B25:B28,"&lt;&gt;",D25:D28,"&lt;&gt;")</f>
        <v>3</v>
      </c>
      <c r="E29" s="213"/>
      <c r="F29" s="213"/>
      <c r="G29" s="213"/>
    </row>
    <row r="30" spans="1:7" ht="15" customHeight="1">
      <c r="A30" s="214"/>
      <c r="B30" s="670" t="s">
        <v>616</v>
      </c>
      <c r="C30" s="671"/>
      <c r="D30" s="215">
        <v>3</v>
      </c>
      <c r="E30" s="64"/>
      <c r="F30" s="64"/>
      <c r="G30" s="64"/>
    </row>
    <row r="31" spans="1:7" ht="15" customHeight="1">
      <c r="A31" s="214"/>
      <c r="B31" s="670" t="s">
        <v>617</v>
      </c>
      <c r="C31" s="671"/>
      <c r="D31" s="215">
        <f>D29-COUNTIF(D25:D28,"Not Accreditable")</f>
        <v>3</v>
      </c>
      <c r="E31" s="64"/>
      <c r="F31" s="64"/>
      <c r="G31" s="64"/>
    </row>
    <row r="32" spans="1:7" ht="15" customHeight="1">
      <c r="A32" s="216"/>
      <c r="B32" s="672" t="s">
        <v>152</v>
      </c>
      <c r="C32" s="673"/>
      <c r="D32" s="217">
        <f>D30/D31</f>
        <v>1</v>
      </c>
      <c r="E32" s="64"/>
      <c r="F32" s="64"/>
      <c r="G32" s="64"/>
    </row>
    <row r="33" spans="1:7" ht="15.75" customHeight="1">
      <c r="A33" s="64"/>
      <c r="D33" s="64"/>
      <c r="E33" s="64"/>
      <c r="F33" s="64"/>
      <c r="G33" s="64"/>
    </row>
    <row r="34" spans="1:7" ht="15.75" customHeight="1">
      <c r="A34" s="64"/>
      <c r="B34" s="64"/>
      <c r="C34" s="64"/>
      <c r="D34" s="64"/>
      <c r="E34" s="64"/>
      <c r="F34" s="64"/>
      <c r="G34" s="64"/>
    </row>
    <row r="35" spans="1:7" ht="15.75" customHeight="1">
      <c r="A35" s="65" t="s">
        <v>153</v>
      </c>
      <c r="B35" s="66"/>
      <c r="C35" s="64"/>
      <c r="D35" s="64"/>
      <c r="E35" s="64"/>
      <c r="F35" s="64"/>
      <c r="G35" s="64"/>
    </row>
    <row r="36" spans="1:7" ht="15.75" customHeight="1">
      <c r="A36" s="67"/>
      <c r="B36" s="66"/>
      <c r="C36" s="64"/>
      <c r="D36" s="64"/>
      <c r="E36" s="64"/>
      <c r="F36" s="64"/>
      <c r="G36" s="64"/>
    </row>
    <row r="37" spans="1:7" ht="15.75" customHeight="1">
      <c r="A37" s="66"/>
      <c r="B37" s="68"/>
      <c r="C37" s="69"/>
      <c r="D37" s="70"/>
      <c r="E37" s="70"/>
      <c r="F37" s="70"/>
      <c r="G37" s="70"/>
    </row>
    <row r="38" spans="1:7" ht="15.75" customHeight="1">
      <c r="A38" s="66"/>
      <c r="B38" s="71" t="s">
        <v>618</v>
      </c>
      <c r="C38" s="72">
        <v>45348</v>
      </c>
      <c r="D38" s="70"/>
      <c r="E38" s="70"/>
      <c r="F38" s="70"/>
      <c r="G38" s="70"/>
    </row>
    <row r="39" spans="1:7" ht="15.75" customHeight="1">
      <c r="A39" s="73"/>
      <c r="B39" s="74" t="s">
        <v>619</v>
      </c>
      <c r="C39" s="75" t="s">
        <v>156</v>
      </c>
      <c r="D39" s="70"/>
      <c r="E39" s="70"/>
      <c r="F39" s="70"/>
      <c r="G39" s="70"/>
    </row>
    <row r="40" spans="1:7" ht="15.75" customHeight="1">
      <c r="A40" s="64"/>
      <c r="B40" s="64"/>
      <c r="C40" s="64"/>
      <c r="D40" s="70"/>
      <c r="E40" s="70"/>
      <c r="F40" s="70"/>
      <c r="G40" s="70"/>
    </row>
    <row r="41" spans="1:7" ht="15.75" customHeight="1">
      <c r="A41" s="64"/>
      <c r="B41" s="64"/>
      <c r="C41" s="64"/>
      <c r="D41" s="70"/>
      <c r="E41" s="70"/>
      <c r="F41" s="70"/>
      <c r="G41" s="70"/>
    </row>
    <row r="42" spans="1:7" ht="15.75" customHeight="1">
      <c r="A42" s="64" t="s">
        <v>157</v>
      </c>
      <c r="B42" s="64"/>
      <c r="C42" s="64"/>
      <c r="D42" s="70"/>
      <c r="E42" s="70"/>
      <c r="F42" s="70"/>
      <c r="G42" s="70"/>
    </row>
    <row r="43" spans="1:7" ht="15.75" customHeight="1">
      <c r="A43" s="76"/>
      <c r="B43" s="64"/>
      <c r="C43" s="64"/>
      <c r="D43" s="70"/>
      <c r="E43" s="70"/>
      <c r="F43" s="70"/>
      <c r="G43" s="70"/>
    </row>
    <row r="44" spans="1:7" ht="15.75" customHeight="1">
      <c r="A44" s="66"/>
      <c r="B44" s="68"/>
      <c r="C44" s="69"/>
      <c r="E44" s="70"/>
      <c r="F44" s="70"/>
      <c r="G44" s="70"/>
    </row>
    <row r="45" spans="1:7" ht="15.75" customHeight="1">
      <c r="A45" s="66"/>
      <c r="B45" s="71" t="s">
        <v>158</v>
      </c>
      <c r="C45" s="72">
        <v>45348</v>
      </c>
      <c r="E45" s="70"/>
      <c r="F45" s="70"/>
      <c r="G45" s="70"/>
    </row>
    <row r="46" spans="1:7" ht="15.75" customHeight="1">
      <c r="A46" s="74"/>
      <c r="B46" s="77" t="s">
        <v>159</v>
      </c>
      <c r="C46" s="75" t="s">
        <v>156</v>
      </c>
      <c r="D46" s="70"/>
      <c r="E46" s="70"/>
      <c r="F46" s="70"/>
      <c r="G46" s="70"/>
    </row>
    <row r="47" spans="1:7" ht="15.75" customHeight="1"/>
    <row r="48" spans="1:7"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B31:C31"/>
    <mergeCell ref="B32:C32"/>
    <mergeCell ref="E11:F11"/>
    <mergeCell ref="G11:G12"/>
    <mergeCell ref="C20:G20"/>
    <mergeCell ref="A21:B21"/>
    <mergeCell ref="C22:C23"/>
    <mergeCell ref="D22:D23"/>
    <mergeCell ref="G22:G23"/>
    <mergeCell ref="E22:F22"/>
    <mergeCell ref="A22:B23"/>
    <mergeCell ref="A24:G24"/>
    <mergeCell ref="B29:C29"/>
    <mergeCell ref="B30:C30"/>
    <mergeCell ref="A11:B12"/>
    <mergeCell ref="C11:C12"/>
    <mergeCell ref="D11:D12"/>
    <mergeCell ref="A13:G13"/>
    <mergeCell ref="E21:F21"/>
    <mergeCell ref="C6:G6"/>
    <mergeCell ref="C7:G7"/>
    <mergeCell ref="C8:G8"/>
    <mergeCell ref="A9:G9"/>
    <mergeCell ref="A10:B10"/>
    <mergeCell ref="E10:F10"/>
    <mergeCell ref="C1:G1"/>
    <mergeCell ref="C2:G2"/>
    <mergeCell ref="C3:G3"/>
    <mergeCell ref="C4:G4"/>
    <mergeCell ref="C5:G5"/>
  </mergeCells>
  <dataValidations count="2">
    <dataValidation type="list" allowBlank="1" showErrorMessage="1" sqref="D28" xr:uid="{00000000-0002-0000-0700-000000000000}">
      <formula1>$D$14:$D$19</formula1>
    </dataValidation>
    <dataValidation type="list" allowBlank="1" showErrorMessage="1" sqref="D25:D27" xr:uid="{00000000-0002-0000-0700-000001000000}">
      <formula1>#REF!</formula1>
    </dataValidation>
  </dataValidations>
  <hyperlinks>
    <hyperlink ref="G14" r:id="rId1" xr:uid="{00000000-0004-0000-0700-000000000000}"/>
    <hyperlink ref="G15" r:id="rId2" xr:uid="{00000000-0004-0000-0700-000001000000}"/>
    <hyperlink ref="G16" r:id="rId3" xr:uid="{00000000-0004-0000-0700-000002000000}"/>
    <hyperlink ref="G17" r:id="rId4" xr:uid="{00000000-0004-0000-0700-000003000000}"/>
    <hyperlink ref="G18" r:id="rId5" xr:uid="{00000000-0004-0000-0700-000004000000}"/>
    <hyperlink ref="G19" r:id="rId6" xr:uid="{00000000-0004-0000-0700-000005000000}"/>
    <hyperlink ref="G25" r:id="rId7" xr:uid="{00000000-0004-0000-0700-000006000000}"/>
    <hyperlink ref="G26" r:id="rId8" xr:uid="{00000000-0004-0000-0700-000007000000}"/>
    <hyperlink ref="G27" r:id="rId9" xr:uid="{00000000-0004-0000-0700-000008000000}"/>
  </hyperlinks>
  <pageMargins left="0.7" right="0.7" top="0.75" bottom="0.75" header="0" footer="0"/>
  <pageSetup fitToHeight="0" pageOrder="overThenDown" orientation="landscape"/>
  <drawing r:id="rId1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83F04"/>
    <outlinePr summaryBelow="0" summaryRight="0"/>
    <pageSetUpPr fitToPage="1"/>
  </sheetPr>
  <dimension ref="A1:Z1001"/>
  <sheetViews>
    <sheetView workbookViewId="0"/>
  </sheetViews>
  <sheetFormatPr defaultColWidth="12.5703125" defaultRowHeight="15" customHeight="1"/>
  <cols>
    <col min="1" max="1" width="3.5703125" customWidth="1"/>
    <col min="2" max="2" width="39.42578125" customWidth="1"/>
    <col min="3" max="3" width="19.5703125" customWidth="1"/>
    <col min="4" max="4" width="12.5703125" customWidth="1"/>
    <col min="5" max="6" width="13.7109375" customWidth="1"/>
    <col min="7" max="7" width="26.85546875" customWidth="1"/>
    <col min="8" max="8" width="19.42578125" customWidth="1"/>
    <col min="9" max="9" width="13.85546875" customWidth="1"/>
    <col min="10" max="10" width="13.7109375" customWidth="1"/>
    <col min="11" max="11" width="26.85546875" customWidth="1"/>
    <col min="12" max="12" width="13.7109375" customWidth="1"/>
    <col min="13" max="13" width="26.85546875" customWidth="1"/>
    <col min="16" max="16" width="14.140625" customWidth="1"/>
    <col min="17" max="17" width="23" customWidth="1"/>
    <col min="18" max="18" width="39.85546875" customWidth="1"/>
    <col min="19" max="19" width="23" customWidth="1"/>
  </cols>
  <sheetData>
    <row r="1" spans="1:19" ht="15.75" customHeight="1">
      <c r="A1" s="245"/>
      <c r="B1" s="145" t="s">
        <v>105</v>
      </c>
      <c r="C1" s="584" t="s">
        <v>106</v>
      </c>
      <c r="D1" s="585"/>
      <c r="E1" s="585"/>
      <c r="F1" s="585"/>
      <c r="G1" s="585"/>
      <c r="H1" s="686"/>
      <c r="I1" s="246"/>
      <c r="J1" s="246"/>
      <c r="K1" s="246"/>
      <c r="L1" s="246"/>
      <c r="M1" s="247"/>
      <c r="N1" s="248"/>
      <c r="O1" s="249"/>
      <c r="P1" s="249"/>
      <c r="Q1" s="249"/>
      <c r="R1" s="249"/>
      <c r="S1" s="249"/>
    </row>
    <row r="2" spans="1:19" ht="15.75" customHeight="1">
      <c r="A2" s="250"/>
      <c r="B2" s="13" t="s">
        <v>107</v>
      </c>
      <c r="C2" s="587" t="s">
        <v>51</v>
      </c>
      <c r="D2" s="588"/>
      <c r="E2" s="588"/>
      <c r="F2" s="588"/>
      <c r="G2" s="588"/>
      <c r="H2" s="588"/>
      <c r="I2" s="588"/>
      <c r="J2" s="588"/>
      <c r="K2" s="588"/>
      <c r="L2" s="588"/>
      <c r="M2" s="588"/>
      <c r="N2" s="589"/>
      <c r="O2" s="249"/>
      <c r="P2" s="249"/>
      <c r="Q2" s="249"/>
      <c r="R2" s="249"/>
      <c r="S2" s="249"/>
    </row>
    <row r="3" spans="1:19" ht="54" customHeight="1">
      <c r="A3" s="250"/>
      <c r="B3" s="15" t="s">
        <v>108</v>
      </c>
      <c r="C3" s="590" t="s">
        <v>712</v>
      </c>
      <c r="D3" s="588"/>
      <c r="E3" s="588"/>
      <c r="F3" s="588"/>
      <c r="G3" s="588"/>
      <c r="H3" s="588"/>
      <c r="I3" s="588"/>
      <c r="J3" s="588"/>
      <c r="K3" s="588"/>
      <c r="L3" s="588"/>
      <c r="M3" s="588"/>
      <c r="N3" s="589"/>
      <c r="O3" s="249"/>
      <c r="P3" s="249"/>
      <c r="Q3" s="249"/>
      <c r="R3" s="249"/>
      <c r="S3" s="249"/>
    </row>
    <row r="4" spans="1:19" ht="65.25" customHeight="1">
      <c r="A4" s="250"/>
      <c r="B4" s="13" t="s">
        <v>110</v>
      </c>
      <c r="C4" s="590" t="s">
        <v>713</v>
      </c>
      <c r="D4" s="588"/>
      <c r="E4" s="588"/>
      <c r="F4" s="588"/>
      <c r="G4" s="588"/>
      <c r="H4" s="588"/>
      <c r="I4" s="588"/>
      <c r="J4" s="588"/>
      <c r="K4" s="588"/>
      <c r="L4" s="588"/>
      <c r="M4" s="588"/>
      <c r="N4" s="589"/>
      <c r="O4" s="249"/>
      <c r="P4" s="249"/>
      <c r="Q4" s="249"/>
      <c r="R4" s="249"/>
      <c r="S4" s="249"/>
    </row>
    <row r="5" spans="1:19" ht="230.25" customHeight="1">
      <c r="A5" s="250"/>
      <c r="B5" s="13" t="s">
        <v>112</v>
      </c>
      <c r="C5" s="590" t="str">
        <f t="array" ref="C5">"For Outcome Indicator 1:"&amp;CHAR(10)&amp;'Reference Matrix'!$E16&amp;CHAR(10)&amp;CHAR(10)&amp;"For Output Indicator 1:"&amp;CHAR(10)&amp;'Reference Matrix'!$E17&amp;CHAR(10)&amp;CHAR(10)&amp;"For Outcome Indicator 2 (State Universities):"&amp;CHAR(10)&amp;'Reference Matrix'!$E18&amp;CHAR(10)&amp;CHAR(10)&amp;"For Outcome Indicator 2 (State Colleges and Professional Institutes):"&amp;CHAR(10)&amp;'Reference Matrix'!$E19</f>
        <v>For Outcome Indicator 1:
Utilized by industry or other beneficiaries refers to the adopters/partners/communities, external to the institution
For Output Indicator 1:
Research outputs may comprise any or all of the following:
1. Completed research-based papers; 
2. Research-based papers or articles published in journals or international refereed publications that are not in the Beall's List of Predatory Journals;
3. Research-based papers or articles presented in international, national, or regional fora or conferences;
4. Inventions or innovations, methods, composition, or processes as a result of research
5. Models/inventions duly patented and applied for commercial purposes or utilized/adopted for development/production/service provision
For Outcome Indicator 2 (State Universities):
Beall's List of Predatory Journals
Documentation on the details of journals to qualify in internationally refereed journals
For Outcome Indicator 2 (State Colleges and Professional Institutes):
In-house review presentations are not included nor considered as presentations in qualified fora.</v>
      </c>
      <c r="D5" s="588"/>
      <c r="E5" s="588"/>
      <c r="F5" s="588"/>
      <c r="G5" s="588"/>
      <c r="H5" s="588"/>
      <c r="I5" s="588"/>
      <c r="J5" s="588"/>
      <c r="K5" s="588"/>
      <c r="L5" s="588"/>
      <c r="M5" s="588"/>
      <c r="N5" s="589"/>
      <c r="O5" s="249"/>
      <c r="P5" s="249"/>
      <c r="Q5" s="249"/>
      <c r="R5" s="249"/>
      <c r="S5" s="249"/>
    </row>
    <row r="6" spans="1:19" ht="219.75" customHeight="1">
      <c r="A6" s="250"/>
      <c r="B6" s="13" t="s">
        <v>113</v>
      </c>
      <c r="C6" s="590" t="str">
        <f>"For Outcome Indicator 1:"&amp;CHAR(10)&amp;'Reference Matrix'!$F16&amp;CHAR(10)&amp;CHAR(10)&amp;"For Output Indicator 1:"&amp;CHAR(10)&amp;'Reference Matrix'!$F17&amp;CHAR(10)&amp;CHAR(10)&amp;"For Outcome Indicator 2 (State Universities):"&amp;CHAR(10)&amp;'Reference Matrix'!$F18&amp;CHAR(10)&amp;CHAR(10)&amp;"For Outcome Indicator 2 (State Colleges and Professional Institutes):"&amp;CHAR(10)&amp;'Reference Matrix'!$F19</f>
        <v>For Outcome Indicator 1:
1. Proof that the research output was utilized by identified stakeholders/beneficiaries
2. MOAs/MOUs
3. Reports with testimonies
4. Certification from industries/beneficiaries on the utilization of research outputs
For Output Indicator 1:
1. Abstracts of research outputs
2. Certificate of completion signed by the Research Director/Vice President for Research
For Outcome Indicator 2 (State Universities):
1. Photocopy of the journal's title page, and 1st page of the article published
For Outcome Indicator 2 (State Colleges and Professional Institutes):
1. Conference proceeding indicating research article presented
2. Program of activities and attendance to the conference
3. Certificate of participation / recognition for presenting the research output</v>
      </c>
      <c r="D6" s="588"/>
      <c r="E6" s="588"/>
      <c r="F6" s="588"/>
      <c r="G6" s="588"/>
      <c r="H6" s="588"/>
      <c r="I6" s="588"/>
      <c r="J6" s="588"/>
      <c r="K6" s="588"/>
      <c r="L6" s="588"/>
      <c r="M6" s="588"/>
      <c r="N6" s="589"/>
      <c r="O6" s="249"/>
      <c r="P6" s="249"/>
      <c r="Q6" s="249"/>
      <c r="R6" s="249"/>
      <c r="S6" s="249"/>
    </row>
    <row r="7" spans="1:19" ht="15.75" customHeight="1">
      <c r="A7" s="251"/>
      <c r="B7" s="19" t="s">
        <v>114</v>
      </c>
      <c r="C7" s="591" t="s">
        <v>115</v>
      </c>
      <c r="D7" s="592"/>
      <c r="E7" s="592"/>
      <c r="F7" s="592"/>
      <c r="G7" s="592"/>
      <c r="H7" s="592"/>
      <c r="I7" s="592"/>
      <c r="J7" s="592"/>
      <c r="K7" s="592"/>
      <c r="L7" s="592"/>
      <c r="M7" s="592"/>
      <c r="N7" s="593"/>
      <c r="O7" s="249"/>
      <c r="P7" s="249"/>
      <c r="Q7" s="249"/>
      <c r="R7" s="249"/>
      <c r="S7" s="249"/>
    </row>
    <row r="8" spans="1:19" ht="15.75" customHeight="1">
      <c r="A8" s="249"/>
      <c r="B8" s="252"/>
      <c r="C8" s="249"/>
      <c r="D8" s="249"/>
      <c r="E8" s="249"/>
      <c r="F8" s="249"/>
      <c r="G8" s="249"/>
      <c r="H8" s="249"/>
      <c r="I8" s="249"/>
      <c r="J8" s="249"/>
      <c r="K8" s="249"/>
      <c r="L8" s="249"/>
      <c r="M8" s="249"/>
      <c r="N8" s="249"/>
      <c r="O8" s="249"/>
      <c r="P8" s="249"/>
      <c r="Q8" s="249"/>
      <c r="R8" s="249"/>
      <c r="S8" s="249"/>
    </row>
    <row r="9" spans="1:19" ht="15.75" customHeight="1">
      <c r="A9" s="601" t="s">
        <v>116</v>
      </c>
      <c r="B9" s="576"/>
      <c r="C9" s="576"/>
      <c r="D9" s="576"/>
      <c r="E9" s="576"/>
      <c r="F9" s="576"/>
      <c r="G9" s="576"/>
      <c r="H9" s="576"/>
      <c r="I9" s="576"/>
      <c r="J9" s="576"/>
      <c r="K9" s="576"/>
      <c r="L9" s="576"/>
      <c r="M9" s="576"/>
      <c r="N9" s="576"/>
      <c r="O9" s="576"/>
      <c r="P9" s="576"/>
      <c r="Q9" s="576"/>
      <c r="R9" s="576"/>
      <c r="S9" s="577"/>
    </row>
    <row r="10" spans="1:19" ht="15.75" customHeight="1">
      <c r="A10" s="690" t="s">
        <v>714</v>
      </c>
      <c r="B10" s="585"/>
      <c r="C10" s="585"/>
      <c r="D10" s="585"/>
      <c r="E10" s="585"/>
      <c r="F10" s="586"/>
      <c r="G10" s="691" t="s">
        <v>715</v>
      </c>
      <c r="H10" s="585"/>
      <c r="I10" s="585"/>
      <c r="J10" s="586"/>
      <c r="K10" s="691" t="s">
        <v>716</v>
      </c>
      <c r="L10" s="585"/>
      <c r="M10" s="585"/>
      <c r="N10" s="585"/>
      <c r="O10" s="585"/>
      <c r="P10" s="586"/>
      <c r="Q10" s="692" t="s">
        <v>717</v>
      </c>
      <c r="R10" s="585"/>
      <c r="S10" s="586"/>
    </row>
    <row r="11" spans="1:19" ht="15.75" customHeight="1">
      <c r="A11" s="603" t="s">
        <v>718</v>
      </c>
      <c r="B11" s="604"/>
      <c r="C11" s="684" t="s">
        <v>719</v>
      </c>
      <c r="D11" s="684" t="s">
        <v>720</v>
      </c>
      <c r="E11" s="654" t="s">
        <v>721</v>
      </c>
      <c r="F11" s="676"/>
      <c r="G11" s="687" t="s">
        <v>722</v>
      </c>
      <c r="H11" s="684" t="s">
        <v>723</v>
      </c>
      <c r="I11" s="684" t="s">
        <v>724</v>
      </c>
      <c r="J11" s="655" t="s">
        <v>725</v>
      </c>
      <c r="K11" s="687" t="s">
        <v>726</v>
      </c>
      <c r="L11" s="684" t="s">
        <v>727</v>
      </c>
      <c r="M11" s="684" t="s">
        <v>728</v>
      </c>
      <c r="N11" s="684" t="s">
        <v>729</v>
      </c>
      <c r="O11" s="684" t="s">
        <v>730</v>
      </c>
      <c r="P11" s="655" t="s">
        <v>731</v>
      </c>
      <c r="Q11" s="689" t="s">
        <v>732</v>
      </c>
      <c r="R11" s="684" t="s">
        <v>733</v>
      </c>
      <c r="S11" s="655" t="s">
        <v>734</v>
      </c>
    </row>
    <row r="12" spans="1:19" ht="15.75" customHeight="1">
      <c r="A12" s="615"/>
      <c r="B12" s="616"/>
      <c r="C12" s="645"/>
      <c r="D12" s="645"/>
      <c r="E12" s="84" t="s">
        <v>735</v>
      </c>
      <c r="F12" s="25" t="s">
        <v>736</v>
      </c>
      <c r="G12" s="688"/>
      <c r="H12" s="645"/>
      <c r="I12" s="645"/>
      <c r="J12" s="631"/>
      <c r="K12" s="688"/>
      <c r="L12" s="645"/>
      <c r="M12" s="645"/>
      <c r="N12" s="645"/>
      <c r="O12" s="645"/>
      <c r="P12" s="631"/>
      <c r="Q12" s="616"/>
      <c r="R12" s="645"/>
      <c r="S12" s="631"/>
    </row>
    <row r="13" spans="1:19" ht="15.75" customHeight="1">
      <c r="A13" s="253">
        <v>1</v>
      </c>
      <c r="B13" s="254" t="s">
        <v>737</v>
      </c>
      <c r="C13" s="254" t="s">
        <v>637</v>
      </c>
      <c r="D13" s="254" t="s">
        <v>738</v>
      </c>
      <c r="E13" s="255">
        <v>43479</v>
      </c>
      <c r="F13" s="256">
        <v>45138</v>
      </c>
      <c r="G13" s="257" t="s">
        <v>582</v>
      </c>
      <c r="H13" s="254" t="s">
        <v>582</v>
      </c>
      <c r="I13" s="254" t="s">
        <v>582</v>
      </c>
      <c r="J13" s="256" t="s">
        <v>582</v>
      </c>
      <c r="K13" s="257" t="s">
        <v>737</v>
      </c>
      <c r="L13" s="255">
        <v>45212</v>
      </c>
      <c r="M13" s="254" t="s">
        <v>739</v>
      </c>
      <c r="N13" s="254" t="s">
        <v>740</v>
      </c>
      <c r="O13" s="254" t="s">
        <v>741</v>
      </c>
      <c r="P13" s="258" t="s">
        <v>742</v>
      </c>
      <c r="Q13" s="254" t="s">
        <v>743</v>
      </c>
      <c r="R13" s="254" t="s">
        <v>744</v>
      </c>
      <c r="S13" s="258" t="s">
        <v>745</v>
      </c>
    </row>
    <row r="14" spans="1:19" ht="15.75" customHeight="1">
      <c r="A14" s="257">
        <v>2</v>
      </c>
      <c r="B14" s="254" t="s">
        <v>746</v>
      </c>
      <c r="C14" s="254" t="s">
        <v>644</v>
      </c>
      <c r="D14" s="254" t="s">
        <v>738</v>
      </c>
      <c r="E14" s="259">
        <v>44480</v>
      </c>
      <c r="F14" s="260">
        <v>44855</v>
      </c>
      <c r="G14" s="257" t="s">
        <v>747</v>
      </c>
      <c r="H14" s="254" t="s">
        <v>748</v>
      </c>
      <c r="I14" s="254" t="s">
        <v>749</v>
      </c>
      <c r="J14" s="256">
        <v>44887</v>
      </c>
      <c r="K14" s="257" t="s">
        <v>746</v>
      </c>
      <c r="L14" s="255">
        <v>44908</v>
      </c>
      <c r="M14" s="254" t="s">
        <v>739</v>
      </c>
      <c r="N14" s="254" t="s">
        <v>740</v>
      </c>
      <c r="O14" s="254" t="s">
        <v>741</v>
      </c>
      <c r="P14" s="258" t="s">
        <v>742</v>
      </c>
      <c r="Q14" s="255" t="s">
        <v>582</v>
      </c>
      <c r="R14" s="255" t="s">
        <v>582</v>
      </c>
      <c r="S14" s="256" t="s">
        <v>582</v>
      </c>
    </row>
    <row r="15" spans="1:19" ht="15.75" customHeight="1">
      <c r="A15" s="261">
        <v>3</v>
      </c>
      <c r="B15" s="262" t="s">
        <v>750</v>
      </c>
      <c r="C15" s="262" t="s">
        <v>633</v>
      </c>
      <c r="D15" s="262" t="s">
        <v>738</v>
      </c>
      <c r="E15" s="255">
        <v>43843</v>
      </c>
      <c r="F15" s="256">
        <v>44571</v>
      </c>
      <c r="G15" s="261" t="s">
        <v>751</v>
      </c>
      <c r="H15" s="262" t="s">
        <v>752</v>
      </c>
      <c r="I15" s="262" t="s">
        <v>753</v>
      </c>
      <c r="J15" s="260">
        <v>45037</v>
      </c>
      <c r="K15" s="263" t="s">
        <v>582</v>
      </c>
      <c r="L15" s="259" t="s">
        <v>582</v>
      </c>
      <c r="M15" s="259" t="s">
        <v>582</v>
      </c>
      <c r="N15" s="259" t="s">
        <v>582</v>
      </c>
      <c r="O15" s="259" t="s">
        <v>582</v>
      </c>
      <c r="P15" s="260" t="s">
        <v>582</v>
      </c>
      <c r="Q15" s="259" t="s">
        <v>582</v>
      </c>
      <c r="R15" s="259" t="s">
        <v>582</v>
      </c>
      <c r="S15" s="260" t="s">
        <v>582</v>
      </c>
    </row>
    <row r="16" spans="1:19" ht="15.75" customHeight="1">
      <c r="A16" s="257">
        <v>4</v>
      </c>
      <c r="B16" s="254" t="s">
        <v>754</v>
      </c>
      <c r="C16" s="254" t="s">
        <v>629</v>
      </c>
      <c r="D16" s="254" t="s">
        <v>738</v>
      </c>
      <c r="E16" s="255">
        <v>43549</v>
      </c>
      <c r="F16" s="256">
        <v>44200</v>
      </c>
      <c r="G16" s="257" t="s">
        <v>755</v>
      </c>
      <c r="H16" s="254" t="s">
        <v>756</v>
      </c>
      <c r="I16" s="254" t="s">
        <v>757</v>
      </c>
      <c r="J16" s="256">
        <v>44279</v>
      </c>
      <c r="K16" s="264" t="s">
        <v>582</v>
      </c>
      <c r="L16" s="255" t="s">
        <v>582</v>
      </c>
      <c r="M16" s="255" t="s">
        <v>582</v>
      </c>
      <c r="N16" s="255" t="s">
        <v>582</v>
      </c>
      <c r="O16" s="255" t="s">
        <v>582</v>
      </c>
      <c r="P16" s="256" t="s">
        <v>582</v>
      </c>
      <c r="Q16" s="255" t="s">
        <v>582</v>
      </c>
      <c r="R16" s="255" t="s">
        <v>582</v>
      </c>
      <c r="S16" s="256" t="s">
        <v>582</v>
      </c>
    </row>
    <row r="17" spans="1:26" ht="15.75" customHeight="1">
      <c r="A17" s="265">
        <v>5</v>
      </c>
      <c r="B17" s="266" t="s">
        <v>758</v>
      </c>
      <c r="C17" s="266" t="s">
        <v>629</v>
      </c>
      <c r="D17" s="266" t="s">
        <v>759</v>
      </c>
      <c r="E17" s="267">
        <v>45243</v>
      </c>
      <c r="F17" s="268"/>
      <c r="G17" s="265"/>
      <c r="H17" s="266"/>
      <c r="I17" s="266"/>
      <c r="J17" s="268"/>
      <c r="K17" s="265"/>
      <c r="L17" s="269"/>
      <c r="M17" s="266"/>
      <c r="N17" s="266"/>
      <c r="O17" s="266"/>
      <c r="P17" s="270"/>
      <c r="Q17" s="266"/>
      <c r="R17" s="266"/>
      <c r="S17" s="270"/>
    </row>
    <row r="18" spans="1:26" ht="15.75" customHeight="1">
      <c r="A18" s="249"/>
      <c r="B18" s="249"/>
      <c r="C18" s="249"/>
      <c r="D18" s="249"/>
      <c r="E18" s="249"/>
      <c r="F18" s="249"/>
      <c r="G18" s="249"/>
      <c r="H18" s="249"/>
      <c r="I18" s="249"/>
      <c r="J18" s="249"/>
      <c r="K18" s="249"/>
      <c r="L18" s="249"/>
      <c r="M18" s="249"/>
      <c r="N18" s="249"/>
      <c r="O18" s="249"/>
      <c r="P18" s="249"/>
      <c r="Q18" s="249"/>
      <c r="R18" s="249"/>
      <c r="S18" s="249"/>
    </row>
    <row r="19" spans="1:26" ht="15.75" customHeight="1">
      <c r="A19" s="695" t="s">
        <v>714</v>
      </c>
      <c r="B19" s="585"/>
      <c r="C19" s="585"/>
      <c r="D19" s="585"/>
      <c r="E19" s="585"/>
      <c r="F19" s="586"/>
      <c r="G19" s="696" t="s">
        <v>715</v>
      </c>
      <c r="H19" s="585"/>
      <c r="I19" s="585"/>
      <c r="J19" s="595"/>
      <c r="K19" s="697" t="s">
        <v>716</v>
      </c>
      <c r="L19" s="585"/>
      <c r="M19" s="585"/>
      <c r="N19" s="585"/>
      <c r="O19" s="585"/>
      <c r="P19" s="586"/>
      <c r="Q19" s="697" t="s">
        <v>717</v>
      </c>
      <c r="R19" s="585"/>
      <c r="S19" s="586"/>
    </row>
    <row r="20" spans="1:26" ht="15.75" customHeight="1">
      <c r="A20" s="698" t="s">
        <v>718</v>
      </c>
      <c r="B20" s="653"/>
      <c r="C20" s="693" t="s">
        <v>719</v>
      </c>
      <c r="D20" s="693" t="s">
        <v>720</v>
      </c>
      <c r="E20" s="704" t="s">
        <v>721</v>
      </c>
      <c r="F20" s="705"/>
      <c r="G20" s="693" t="s">
        <v>722</v>
      </c>
      <c r="H20" s="693" t="s">
        <v>723</v>
      </c>
      <c r="I20" s="693" t="s">
        <v>724</v>
      </c>
      <c r="J20" s="708" t="s">
        <v>760</v>
      </c>
      <c r="K20" s="709" t="s">
        <v>726</v>
      </c>
      <c r="L20" s="693" t="s">
        <v>761</v>
      </c>
      <c r="M20" s="693" t="s">
        <v>728</v>
      </c>
      <c r="N20" s="693" t="s">
        <v>729</v>
      </c>
      <c r="O20" s="693" t="s">
        <v>730</v>
      </c>
      <c r="P20" s="694" t="s">
        <v>731</v>
      </c>
      <c r="Q20" s="709" t="s">
        <v>732</v>
      </c>
      <c r="R20" s="693" t="s">
        <v>733</v>
      </c>
      <c r="S20" s="694" t="s">
        <v>734</v>
      </c>
    </row>
    <row r="21" spans="1:26" ht="15.75" customHeight="1">
      <c r="A21" s="615"/>
      <c r="B21" s="616"/>
      <c r="C21" s="616"/>
      <c r="D21" s="616"/>
      <c r="E21" s="273" t="s">
        <v>762</v>
      </c>
      <c r="F21" s="274" t="s">
        <v>763</v>
      </c>
      <c r="G21" s="616"/>
      <c r="H21" s="616"/>
      <c r="I21" s="616"/>
      <c r="J21" s="579"/>
      <c r="K21" s="688"/>
      <c r="L21" s="616"/>
      <c r="M21" s="616"/>
      <c r="N21" s="616"/>
      <c r="O21" s="616"/>
      <c r="P21" s="580"/>
      <c r="Q21" s="688"/>
      <c r="R21" s="616"/>
      <c r="S21" s="580"/>
    </row>
    <row r="22" spans="1:26" ht="15.75" customHeight="1">
      <c r="A22" s="275"/>
      <c r="B22" s="276">
        <v>2023</v>
      </c>
      <c r="C22" s="277"/>
      <c r="D22" s="277"/>
      <c r="E22" s="278"/>
      <c r="F22" s="279"/>
      <c r="G22" s="277"/>
      <c r="H22" s="277"/>
      <c r="I22" s="277"/>
      <c r="J22" s="280"/>
      <c r="K22" s="281"/>
      <c r="L22" s="277"/>
      <c r="M22" s="277"/>
      <c r="N22" s="277"/>
      <c r="O22" s="277"/>
      <c r="P22" s="282"/>
      <c r="Q22" s="281"/>
      <c r="R22" s="277"/>
      <c r="S22" s="282"/>
      <c r="T22" s="283"/>
      <c r="U22" s="283"/>
      <c r="V22" s="283"/>
      <c r="W22" s="283"/>
      <c r="X22" s="283"/>
      <c r="Y22" s="283"/>
      <c r="Z22" s="283"/>
    </row>
    <row r="23" spans="1:26" ht="15.75" customHeight="1">
      <c r="A23" s="284">
        <v>1</v>
      </c>
      <c r="B23" s="126" t="s">
        <v>764</v>
      </c>
      <c r="C23" s="126" t="s">
        <v>765</v>
      </c>
      <c r="D23" s="285" t="s">
        <v>738</v>
      </c>
      <c r="E23" s="286">
        <v>44850</v>
      </c>
      <c r="F23" s="287">
        <v>44941</v>
      </c>
      <c r="G23" s="288" t="s">
        <v>766</v>
      </c>
      <c r="H23" s="126" t="s">
        <v>767</v>
      </c>
      <c r="I23" s="285" t="s">
        <v>757</v>
      </c>
      <c r="J23" s="289">
        <v>44966</v>
      </c>
      <c r="K23" s="284"/>
      <c r="L23" s="290"/>
      <c r="M23" s="291"/>
      <c r="N23" s="291"/>
      <c r="O23" s="291"/>
      <c r="P23" s="292"/>
      <c r="Q23" s="293" t="s">
        <v>768</v>
      </c>
      <c r="R23" s="294" t="s">
        <v>769</v>
      </c>
      <c r="S23" s="295" t="s">
        <v>770</v>
      </c>
      <c r="T23" s="65"/>
      <c r="U23" s="65"/>
      <c r="V23" s="65"/>
      <c r="W23" s="65"/>
      <c r="X23" s="65"/>
      <c r="Y23" s="65"/>
      <c r="Z23" s="65"/>
    </row>
    <row r="24" spans="1:26" ht="15.75" customHeight="1">
      <c r="A24" s="284">
        <v>2</v>
      </c>
      <c r="B24" s="126" t="s">
        <v>771</v>
      </c>
      <c r="C24" s="285" t="s">
        <v>772</v>
      </c>
      <c r="D24" s="285" t="s">
        <v>738</v>
      </c>
      <c r="E24" s="286">
        <v>44829</v>
      </c>
      <c r="F24" s="287">
        <v>44951</v>
      </c>
      <c r="G24" s="288" t="s">
        <v>773</v>
      </c>
      <c r="H24" s="126" t="s">
        <v>774</v>
      </c>
      <c r="I24" s="285" t="s">
        <v>757</v>
      </c>
      <c r="J24" s="289" t="s">
        <v>775</v>
      </c>
      <c r="K24" s="284"/>
      <c r="L24" s="290"/>
      <c r="M24" s="291"/>
      <c r="N24" s="296"/>
      <c r="O24" s="291"/>
      <c r="P24" s="297"/>
      <c r="Q24" s="298"/>
      <c r="R24" s="298"/>
      <c r="S24" s="298"/>
      <c r="T24" s="65"/>
      <c r="U24" s="65"/>
      <c r="V24" s="65"/>
      <c r="W24" s="65"/>
      <c r="X24" s="65"/>
      <c r="Y24" s="65"/>
      <c r="Z24" s="65"/>
    </row>
    <row r="25" spans="1:26" ht="15.75" customHeight="1">
      <c r="A25" s="284">
        <v>3</v>
      </c>
      <c r="B25" s="126" t="s">
        <v>776</v>
      </c>
      <c r="C25" s="285" t="s">
        <v>777</v>
      </c>
      <c r="D25" s="285" t="s">
        <v>738</v>
      </c>
      <c r="E25" s="286">
        <v>44835</v>
      </c>
      <c r="F25" s="287">
        <v>44986</v>
      </c>
      <c r="G25" s="288" t="s">
        <v>778</v>
      </c>
      <c r="H25" s="126" t="s">
        <v>779</v>
      </c>
      <c r="I25" s="285" t="s">
        <v>749</v>
      </c>
      <c r="J25" s="289" t="s">
        <v>780</v>
      </c>
      <c r="K25" s="284"/>
      <c r="L25" s="290"/>
      <c r="M25" s="291"/>
      <c r="N25" s="291"/>
      <c r="O25" s="291"/>
      <c r="P25" s="297"/>
      <c r="Q25" s="298"/>
      <c r="R25" s="298"/>
      <c r="S25" s="298"/>
      <c r="T25" s="65"/>
      <c r="U25" s="65"/>
      <c r="V25" s="65"/>
      <c r="W25" s="65"/>
      <c r="X25" s="65"/>
      <c r="Y25" s="65"/>
      <c r="Z25" s="65"/>
    </row>
    <row r="26" spans="1:26" ht="15.75" customHeight="1">
      <c r="A26" s="284">
        <v>4</v>
      </c>
      <c r="B26" s="126" t="s">
        <v>781</v>
      </c>
      <c r="C26" s="285" t="s">
        <v>782</v>
      </c>
      <c r="D26" s="285" t="s">
        <v>738</v>
      </c>
      <c r="E26" s="286">
        <v>44621</v>
      </c>
      <c r="F26" s="287">
        <v>44987</v>
      </c>
      <c r="G26" s="288" t="s">
        <v>778</v>
      </c>
      <c r="H26" s="126" t="s">
        <v>779</v>
      </c>
      <c r="I26" s="285" t="s">
        <v>749</v>
      </c>
      <c r="J26" s="289" t="s">
        <v>780</v>
      </c>
      <c r="K26" s="284"/>
      <c r="L26" s="290"/>
      <c r="M26" s="291"/>
      <c r="N26" s="291"/>
      <c r="O26" s="291"/>
      <c r="P26" s="297"/>
      <c r="Q26" s="298"/>
      <c r="R26" s="298"/>
      <c r="S26" s="298"/>
      <c r="T26" s="65"/>
      <c r="U26" s="65"/>
      <c r="V26" s="65"/>
      <c r="W26" s="65"/>
      <c r="X26" s="65"/>
      <c r="Y26" s="65"/>
      <c r="Z26" s="65"/>
    </row>
    <row r="27" spans="1:26" ht="15.75" customHeight="1">
      <c r="A27" s="284">
        <v>5</v>
      </c>
      <c r="B27" s="126" t="s">
        <v>783</v>
      </c>
      <c r="C27" s="299" t="s">
        <v>784</v>
      </c>
      <c r="D27" s="285" t="s">
        <v>738</v>
      </c>
      <c r="E27" s="286">
        <v>44866</v>
      </c>
      <c r="F27" s="287">
        <v>45017</v>
      </c>
      <c r="G27" s="288" t="s">
        <v>785</v>
      </c>
      <c r="H27" s="126" t="s">
        <v>786</v>
      </c>
      <c r="I27" s="285" t="s">
        <v>757</v>
      </c>
      <c r="J27" s="289" t="s">
        <v>787</v>
      </c>
      <c r="K27" s="284"/>
      <c r="L27" s="290"/>
      <c r="M27" s="291"/>
      <c r="N27" s="291"/>
      <c r="O27" s="291"/>
      <c r="P27" s="292"/>
      <c r="Q27" s="293" t="s">
        <v>788</v>
      </c>
      <c r="R27" s="294" t="s">
        <v>789</v>
      </c>
      <c r="S27" s="295" t="s">
        <v>790</v>
      </c>
      <c r="T27" s="65"/>
      <c r="U27" s="65"/>
      <c r="V27" s="65"/>
      <c r="W27" s="65"/>
      <c r="X27" s="65"/>
      <c r="Y27" s="65"/>
      <c r="Z27" s="65"/>
    </row>
    <row r="28" spans="1:26" ht="15.75" customHeight="1">
      <c r="A28" s="284">
        <v>6</v>
      </c>
      <c r="B28" s="126" t="s">
        <v>791</v>
      </c>
      <c r="C28" s="285" t="s">
        <v>792</v>
      </c>
      <c r="D28" s="285" t="s">
        <v>738</v>
      </c>
      <c r="E28" s="286">
        <v>44850</v>
      </c>
      <c r="F28" s="287">
        <v>44941</v>
      </c>
      <c r="G28" s="288" t="s">
        <v>793</v>
      </c>
      <c r="H28" s="126" t="s">
        <v>794</v>
      </c>
      <c r="I28" s="285" t="s">
        <v>757</v>
      </c>
      <c r="J28" s="289" t="s">
        <v>795</v>
      </c>
      <c r="K28" s="284"/>
      <c r="L28" s="290"/>
      <c r="M28" s="291"/>
      <c r="N28" s="291"/>
      <c r="O28" s="291"/>
      <c r="P28" s="297"/>
      <c r="Q28" s="126" t="s">
        <v>796</v>
      </c>
      <c r="R28" s="126" t="s">
        <v>797</v>
      </c>
      <c r="S28" s="126" t="s">
        <v>798</v>
      </c>
      <c r="T28" s="65"/>
      <c r="U28" s="65"/>
      <c r="V28" s="65"/>
      <c r="W28" s="65"/>
      <c r="X28" s="65"/>
      <c r="Y28" s="65"/>
      <c r="Z28" s="65"/>
    </row>
    <row r="29" spans="1:26" ht="15.75" customHeight="1">
      <c r="A29" s="284">
        <v>7</v>
      </c>
      <c r="B29" s="126" t="s">
        <v>799</v>
      </c>
      <c r="C29" s="126" t="s">
        <v>800</v>
      </c>
      <c r="D29" s="285" t="s">
        <v>738</v>
      </c>
      <c r="E29" s="286" t="s">
        <v>801</v>
      </c>
      <c r="F29" s="287" t="s">
        <v>802</v>
      </c>
      <c r="G29" s="288" t="s">
        <v>803</v>
      </c>
      <c r="H29" s="126" t="s">
        <v>804</v>
      </c>
      <c r="I29" s="285" t="s">
        <v>749</v>
      </c>
      <c r="J29" s="289" t="s">
        <v>805</v>
      </c>
      <c r="K29" s="284"/>
      <c r="L29" s="290"/>
      <c r="M29" s="291"/>
      <c r="N29" s="291"/>
      <c r="O29" s="291"/>
      <c r="P29" s="297"/>
      <c r="Q29" s="298"/>
      <c r="R29" s="298"/>
      <c r="S29" s="298"/>
      <c r="T29" s="65"/>
      <c r="U29" s="65"/>
      <c r="V29" s="65"/>
      <c r="W29" s="65"/>
      <c r="X29" s="65"/>
      <c r="Y29" s="65"/>
      <c r="Z29" s="65"/>
    </row>
    <row r="30" spans="1:26" ht="15.75" customHeight="1">
      <c r="A30" s="284">
        <v>8</v>
      </c>
      <c r="B30" s="126" t="s">
        <v>806</v>
      </c>
      <c r="C30" s="285" t="s">
        <v>807</v>
      </c>
      <c r="D30" s="285" t="s">
        <v>738</v>
      </c>
      <c r="E30" s="286" t="s">
        <v>808</v>
      </c>
      <c r="F30" s="287" t="s">
        <v>809</v>
      </c>
      <c r="G30" s="288" t="s">
        <v>810</v>
      </c>
      <c r="H30" s="126" t="s">
        <v>811</v>
      </c>
      <c r="I30" s="285" t="s">
        <v>757</v>
      </c>
      <c r="J30" s="289" t="s">
        <v>812</v>
      </c>
      <c r="K30" s="284"/>
      <c r="L30" s="290"/>
      <c r="M30" s="291"/>
      <c r="N30" s="291"/>
      <c r="O30" s="291"/>
      <c r="P30" s="292"/>
      <c r="Q30" s="293" t="s">
        <v>813</v>
      </c>
      <c r="R30" s="294" t="s">
        <v>797</v>
      </c>
      <c r="S30" s="295" t="s">
        <v>814</v>
      </c>
      <c r="T30" s="65"/>
      <c r="U30" s="65"/>
      <c r="V30" s="65"/>
      <c r="W30" s="65"/>
      <c r="X30" s="65"/>
      <c r="Y30" s="65"/>
      <c r="Z30" s="65"/>
    </row>
    <row r="31" spans="1:26" ht="15.75" customHeight="1">
      <c r="A31" s="284">
        <v>9</v>
      </c>
      <c r="B31" s="126" t="s">
        <v>815</v>
      </c>
      <c r="C31" s="285" t="s">
        <v>816</v>
      </c>
      <c r="D31" s="285" t="s">
        <v>738</v>
      </c>
      <c r="E31" s="286" t="s">
        <v>817</v>
      </c>
      <c r="F31" s="300">
        <v>44931</v>
      </c>
      <c r="G31" s="288" t="s">
        <v>818</v>
      </c>
      <c r="H31" s="126" t="s">
        <v>819</v>
      </c>
      <c r="I31" s="285" t="s">
        <v>757</v>
      </c>
      <c r="J31" s="289" t="s">
        <v>820</v>
      </c>
      <c r="K31" s="284"/>
      <c r="L31" s="290"/>
      <c r="M31" s="291"/>
      <c r="N31" s="291"/>
      <c r="O31" s="291"/>
      <c r="P31" s="292"/>
      <c r="T31" s="65"/>
      <c r="U31" s="65"/>
      <c r="V31" s="65"/>
      <c r="W31" s="65"/>
      <c r="X31" s="65"/>
      <c r="Y31" s="65"/>
      <c r="Z31" s="65"/>
    </row>
    <row r="32" spans="1:26" ht="15.75" customHeight="1">
      <c r="A32" s="284">
        <v>10</v>
      </c>
      <c r="B32" s="126" t="s">
        <v>821</v>
      </c>
      <c r="C32" s="126" t="s">
        <v>822</v>
      </c>
      <c r="D32" s="285" t="s">
        <v>738</v>
      </c>
      <c r="E32" s="286" t="s">
        <v>823</v>
      </c>
      <c r="F32" s="287" t="s">
        <v>824</v>
      </c>
      <c r="G32" s="288" t="s">
        <v>825</v>
      </c>
      <c r="H32" s="126" t="s">
        <v>819</v>
      </c>
      <c r="I32" s="285" t="s">
        <v>757</v>
      </c>
      <c r="J32" s="289" t="s">
        <v>820</v>
      </c>
      <c r="K32" s="284"/>
      <c r="L32" s="290"/>
      <c r="M32" s="291"/>
      <c r="N32" s="291"/>
      <c r="O32" s="291"/>
      <c r="P32" s="292"/>
      <c r="Q32" s="301" t="s">
        <v>826</v>
      </c>
      <c r="R32" s="302" t="s">
        <v>827</v>
      </c>
      <c r="S32" s="303" t="s">
        <v>828</v>
      </c>
      <c r="T32" s="65"/>
      <c r="U32" s="65"/>
      <c r="V32" s="65"/>
      <c r="W32" s="65"/>
      <c r="X32" s="65"/>
      <c r="Y32" s="65"/>
      <c r="Z32" s="65"/>
    </row>
    <row r="33" spans="1:26" ht="15.75" customHeight="1">
      <c r="A33" s="304">
        <v>11</v>
      </c>
      <c r="B33" s="126" t="s">
        <v>829</v>
      </c>
      <c r="C33" s="126" t="s">
        <v>830</v>
      </c>
      <c r="D33" s="285" t="s">
        <v>738</v>
      </c>
      <c r="E33" s="305">
        <v>45047</v>
      </c>
      <c r="F33" s="306" t="s">
        <v>831</v>
      </c>
      <c r="G33" s="288" t="s">
        <v>832</v>
      </c>
      <c r="H33" s="126" t="s">
        <v>833</v>
      </c>
      <c r="I33" s="285" t="s">
        <v>757</v>
      </c>
      <c r="J33" s="289" t="s">
        <v>834</v>
      </c>
      <c r="K33" s="307"/>
      <c r="L33" s="302"/>
      <c r="M33" s="302"/>
      <c r="N33" s="302"/>
      <c r="O33" s="302"/>
      <c r="P33" s="308"/>
      <c r="Q33" s="307"/>
      <c r="R33" s="302"/>
      <c r="S33" s="308"/>
      <c r="T33" s="65"/>
      <c r="U33" s="65"/>
      <c r="V33" s="65"/>
      <c r="W33" s="65"/>
      <c r="X33" s="65"/>
      <c r="Y33" s="65"/>
      <c r="Z33" s="65"/>
    </row>
    <row r="34" spans="1:26" ht="15.75" customHeight="1">
      <c r="A34" s="304">
        <v>12</v>
      </c>
      <c r="B34" s="126" t="s">
        <v>835</v>
      </c>
      <c r="C34" s="285" t="s">
        <v>792</v>
      </c>
      <c r="D34" s="285" t="s">
        <v>738</v>
      </c>
      <c r="E34" s="309" t="s">
        <v>836</v>
      </c>
      <c r="F34" s="306" t="s">
        <v>837</v>
      </c>
      <c r="G34" s="288" t="s">
        <v>838</v>
      </c>
      <c r="H34" s="126" t="s">
        <v>839</v>
      </c>
      <c r="I34" s="285" t="s">
        <v>757</v>
      </c>
      <c r="J34" s="289" t="s">
        <v>840</v>
      </c>
      <c r="K34" s="307"/>
      <c r="L34" s="302"/>
      <c r="M34" s="302"/>
      <c r="N34" s="302"/>
      <c r="O34" s="302"/>
      <c r="P34" s="308"/>
      <c r="Q34" s="307"/>
      <c r="R34" s="302"/>
      <c r="S34" s="308"/>
      <c r="T34" s="65"/>
      <c r="U34" s="65"/>
      <c r="V34" s="65"/>
      <c r="W34" s="65"/>
      <c r="X34" s="65"/>
      <c r="Y34" s="65"/>
      <c r="Z34" s="65"/>
    </row>
    <row r="35" spans="1:26" ht="15.75" customHeight="1">
      <c r="A35" s="284">
        <v>13</v>
      </c>
      <c r="B35" s="126" t="s">
        <v>841</v>
      </c>
      <c r="C35" s="285" t="s">
        <v>842</v>
      </c>
      <c r="D35" s="285" t="s">
        <v>738</v>
      </c>
      <c r="E35" s="305">
        <v>44567</v>
      </c>
      <c r="F35" s="310">
        <v>44932</v>
      </c>
      <c r="G35" s="288" t="s">
        <v>843</v>
      </c>
      <c r="H35" s="126" t="s">
        <v>844</v>
      </c>
      <c r="I35" s="285" t="s">
        <v>757</v>
      </c>
      <c r="J35" s="289" t="s">
        <v>845</v>
      </c>
      <c r="K35" s="307"/>
      <c r="L35" s="302"/>
      <c r="M35" s="302"/>
      <c r="N35" s="302"/>
      <c r="O35" s="302"/>
      <c r="P35" s="308"/>
      <c r="Q35" s="307"/>
      <c r="R35" s="302"/>
      <c r="S35" s="308"/>
      <c r="T35" s="65"/>
      <c r="U35" s="65"/>
      <c r="V35" s="65"/>
      <c r="W35" s="65"/>
      <c r="X35" s="65"/>
      <c r="Y35" s="65"/>
      <c r="Z35" s="65"/>
    </row>
    <row r="36" spans="1:26" ht="15.75" customHeight="1">
      <c r="A36" s="304">
        <v>14</v>
      </c>
      <c r="B36" s="126" t="s">
        <v>846</v>
      </c>
      <c r="C36" s="126" t="s">
        <v>847</v>
      </c>
      <c r="D36" s="285" t="s">
        <v>738</v>
      </c>
      <c r="E36" s="305" t="s">
        <v>848</v>
      </c>
      <c r="F36" s="310" t="s">
        <v>849</v>
      </c>
      <c r="G36" s="288" t="s">
        <v>850</v>
      </c>
      <c r="H36" s="126" t="s">
        <v>851</v>
      </c>
      <c r="I36" s="285" t="s">
        <v>757</v>
      </c>
      <c r="J36" s="289" t="s">
        <v>852</v>
      </c>
      <c r="K36" s="307"/>
      <c r="L36" s="302"/>
      <c r="M36" s="302"/>
      <c r="N36" s="302"/>
      <c r="O36" s="302"/>
      <c r="P36" s="308"/>
      <c r="Q36" s="307"/>
      <c r="R36" s="302"/>
      <c r="S36" s="308"/>
      <c r="T36" s="65"/>
      <c r="U36" s="65"/>
      <c r="V36" s="65"/>
      <c r="W36" s="65"/>
      <c r="X36" s="65"/>
      <c r="Y36" s="65"/>
      <c r="Z36" s="65"/>
    </row>
    <row r="37" spans="1:26" ht="15.75" customHeight="1">
      <c r="A37" s="304">
        <v>15</v>
      </c>
      <c r="B37" s="126" t="s">
        <v>853</v>
      </c>
      <c r="C37" s="285" t="s">
        <v>854</v>
      </c>
      <c r="D37" s="285" t="s">
        <v>738</v>
      </c>
      <c r="E37" s="311">
        <v>45047</v>
      </c>
      <c r="F37" s="300">
        <v>45051</v>
      </c>
      <c r="G37" s="288" t="s">
        <v>850</v>
      </c>
      <c r="H37" s="126" t="s">
        <v>855</v>
      </c>
      <c r="I37" s="285" t="s">
        <v>757</v>
      </c>
      <c r="J37" s="289" t="s">
        <v>852</v>
      </c>
      <c r="K37" s="307"/>
      <c r="L37" s="302"/>
      <c r="M37" s="302"/>
      <c r="N37" s="302"/>
      <c r="O37" s="302"/>
      <c r="P37" s="308"/>
      <c r="Q37" s="307"/>
      <c r="R37" s="302"/>
      <c r="S37" s="308"/>
      <c r="T37" s="65"/>
      <c r="U37" s="65"/>
      <c r="V37" s="65"/>
      <c r="W37" s="65"/>
      <c r="X37" s="65"/>
      <c r="Y37" s="65"/>
      <c r="Z37" s="65"/>
    </row>
    <row r="38" spans="1:26" ht="15.75" customHeight="1">
      <c r="A38" s="304">
        <v>16</v>
      </c>
      <c r="B38" s="126" t="s">
        <v>856</v>
      </c>
      <c r="C38" s="285" t="s">
        <v>842</v>
      </c>
      <c r="D38" s="285" t="s">
        <v>738</v>
      </c>
      <c r="E38" s="305">
        <v>44570</v>
      </c>
      <c r="F38" s="310">
        <v>44932</v>
      </c>
      <c r="G38" s="288" t="s">
        <v>857</v>
      </c>
      <c r="H38" s="126" t="s">
        <v>858</v>
      </c>
      <c r="I38" s="285" t="s">
        <v>749</v>
      </c>
      <c r="J38" s="289" t="s">
        <v>859</v>
      </c>
      <c r="K38" s="304"/>
      <c r="L38" s="302"/>
      <c r="M38" s="312"/>
      <c r="N38" s="312"/>
      <c r="O38" s="312"/>
      <c r="P38" s="313"/>
      <c r="Q38" s="304"/>
      <c r="R38" s="312"/>
      <c r="S38" s="313"/>
      <c r="T38" s="65"/>
      <c r="U38" s="65"/>
      <c r="V38" s="65"/>
      <c r="W38" s="65"/>
      <c r="X38" s="65"/>
      <c r="Y38" s="65"/>
      <c r="Z38" s="65"/>
    </row>
    <row r="39" spans="1:26" ht="15.75" customHeight="1">
      <c r="A39" s="304">
        <v>17</v>
      </c>
      <c r="B39" s="126" t="s">
        <v>860</v>
      </c>
      <c r="C39" s="126" t="s">
        <v>861</v>
      </c>
      <c r="D39" s="285" t="s">
        <v>738</v>
      </c>
      <c r="E39" s="314" t="s">
        <v>817</v>
      </c>
      <c r="F39" s="314" t="s">
        <v>837</v>
      </c>
      <c r="G39" s="288" t="s">
        <v>862</v>
      </c>
      <c r="H39" s="126" t="s">
        <v>863</v>
      </c>
      <c r="I39" s="285" t="s">
        <v>753</v>
      </c>
      <c r="J39" s="289" t="s">
        <v>864</v>
      </c>
      <c r="K39" s="304"/>
      <c r="L39" s="315"/>
      <c r="M39" s="312"/>
      <c r="N39" s="312"/>
      <c r="O39" s="312"/>
      <c r="P39" s="313"/>
      <c r="Q39" s="304"/>
      <c r="R39" s="312"/>
      <c r="S39" s="313"/>
      <c r="T39" s="65"/>
      <c r="U39" s="65"/>
      <c r="V39" s="65"/>
      <c r="W39" s="65"/>
      <c r="X39" s="65"/>
      <c r="Y39" s="65"/>
      <c r="Z39" s="65"/>
    </row>
    <row r="40" spans="1:26" ht="15.75" customHeight="1">
      <c r="A40" s="304">
        <v>18</v>
      </c>
      <c r="B40" s="126" t="s">
        <v>865</v>
      </c>
      <c r="C40" s="126" t="s">
        <v>866</v>
      </c>
      <c r="D40" s="285" t="s">
        <v>738</v>
      </c>
      <c r="E40" s="314" t="s">
        <v>867</v>
      </c>
      <c r="F40" s="314" t="s">
        <v>802</v>
      </c>
      <c r="G40" s="288" t="s">
        <v>862</v>
      </c>
      <c r="H40" s="126" t="s">
        <v>863</v>
      </c>
      <c r="I40" s="285" t="s">
        <v>753</v>
      </c>
      <c r="J40" s="289" t="s">
        <v>864</v>
      </c>
      <c r="K40" s="304"/>
      <c r="L40" s="315"/>
      <c r="M40" s="312"/>
      <c r="N40" s="312"/>
      <c r="O40" s="312"/>
      <c r="P40" s="313"/>
      <c r="Q40" s="304"/>
      <c r="R40" s="312"/>
      <c r="S40" s="313"/>
      <c r="T40" s="65"/>
      <c r="U40" s="65"/>
      <c r="V40" s="65"/>
      <c r="W40" s="65"/>
      <c r="X40" s="65"/>
      <c r="Y40" s="65"/>
      <c r="Z40" s="65"/>
    </row>
    <row r="41" spans="1:26" ht="15.75" customHeight="1">
      <c r="A41" s="304">
        <v>19</v>
      </c>
      <c r="B41" s="126" t="s">
        <v>868</v>
      </c>
      <c r="C41" s="126" t="s">
        <v>869</v>
      </c>
      <c r="D41" s="285" t="s">
        <v>738</v>
      </c>
      <c r="E41" s="314" t="s">
        <v>817</v>
      </c>
      <c r="F41" s="314" t="s">
        <v>837</v>
      </c>
      <c r="G41" s="288" t="s">
        <v>862</v>
      </c>
      <c r="H41" s="126" t="s">
        <v>863</v>
      </c>
      <c r="I41" s="285" t="s">
        <v>753</v>
      </c>
      <c r="J41" s="289" t="s">
        <v>864</v>
      </c>
      <c r="K41" s="304"/>
      <c r="L41" s="315"/>
      <c r="M41" s="312"/>
      <c r="N41" s="312"/>
      <c r="O41" s="312"/>
      <c r="P41" s="313"/>
      <c r="Q41" s="304"/>
      <c r="R41" s="312"/>
      <c r="S41" s="313"/>
      <c r="T41" s="65"/>
      <c r="U41" s="65"/>
      <c r="V41" s="65"/>
      <c r="W41" s="65"/>
      <c r="X41" s="65"/>
      <c r="Y41" s="65"/>
      <c r="Z41" s="65"/>
    </row>
    <row r="42" spans="1:26" ht="15.75" customHeight="1">
      <c r="A42" s="304">
        <v>20</v>
      </c>
      <c r="B42" s="126" t="s">
        <v>870</v>
      </c>
      <c r="C42" s="126" t="s">
        <v>871</v>
      </c>
      <c r="D42" s="285" t="s">
        <v>738</v>
      </c>
      <c r="E42" s="314" t="s">
        <v>867</v>
      </c>
      <c r="F42" s="314" t="s">
        <v>802</v>
      </c>
      <c r="G42" s="288" t="s">
        <v>862</v>
      </c>
      <c r="H42" s="126" t="s">
        <v>863</v>
      </c>
      <c r="I42" s="285" t="s">
        <v>753</v>
      </c>
      <c r="J42" s="289" t="s">
        <v>864</v>
      </c>
      <c r="K42" s="304"/>
      <c r="L42" s="315"/>
      <c r="M42" s="312"/>
      <c r="N42" s="312"/>
      <c r="O42" s="312"/>
      <c r="P42" s="313"/>
      <c r="Q42" s="304"/>
      <c r="R42" s="312"/>
      <c r="S42" s="313"/>
      <c r="T42" s="65"/>
      <c r="U42" s="65"/>
      <c r="V42" s="65"/>
      <c r="W42" s="65"/>
      <c r="X42" s="65"/>
      <c r="Y42" s="65"/>
      <c r="Z42" s="65"/>
    </row>
    <row r="43" spans="1:26" ht="15.75" customHeight="1">
      <c r="A43" s="304">
        <v>21</v>
      </c>
      <c r="B43" s="126" t="s">
        <v>872</v>
      </c>
      <c r="C43" s="126" t="s">
        <v>873</v>
      </c>
      <c r="D43" s="285" t="s">
        <v>738</v>
      </c>
      <c r="E43" s="316">
        <v>45201</v>
      </c>
      <c r="F43" s="316">
        <v>45204</v>
      </c>
      <c r="G43" s="288" t="s">
        <v>862</v>
      </c>
      <c r="H43" s="126" t="s">
        <v>863</v>
      </c>
      <c r="I43" s="285" t="s">
        <v>753</v>
      </c>
      <c r="J43" s="289" t="s">
        <v>864</v>
      </c>
      <c r="K43" s="304"/>
      <c r="L43" s="315"/>
      <c r="M43" s="312"/>
      <c r="N43" s="312"/>
      <c r="O43" s="312"/>
      <c r="P43" s="313"/>
      <c r="Q43" s="304"/>
      <c r="R43" s="312"/>
      <c r="S43" s="313"/>
      <c r="T43" s="65"/>
      <c r="U43" s="65"/>
      <c r="V43" s="65"/>
      <c r="W43" s="65"/>
      <c r="X43" s="65"/>
      <c r="Y43" s="65"/>
      <c r="Z43" s="65"/>
    </row>
    <row r="44" spans="1:26" ht="15.75" customHeight="1">
      <c r="A44" s="304">
        <v>22</v>
      </c>
      <c r="B44" s="126" t="s">
        <v>874</v>
      </c>
      <c r="C44" s="126" t="s">
        <v>875</v>
      </c>
      <c r="D44" s="285" t="s">
        <v>738</v>
      </c>
      <c r="E44" s="314" t="s">
        <v>867</v>
      </c>
      <c r="F44" s="314" t="s">
        <v>802</v>
      </c>
      <c r="G44" s="288" t="s">
        <v>862</v>
      </c>
      <c r="H44" s="126" t="s">
        <v>863</v>
      </c>
      <c r="I44" s="285" t="s">
        <v>753</v>
      </c>
      <c r="J44" s="289" t="s">
        <v>864</v>
      </c>
      <c r="K44" s="304"/>
      <c r="L44" s="315"/>
      <c r="M44" s="312"/>
      <c r="N44" s="312"/>
      <c r="O44" s="312"/>
      <c r="P44" s="313"/>
      <c r="Q44" s="304"/>
      <c r="R44" s="312"/>
      <c r="S44" s="313"/>
      <c r="T44" s="65"/>
      <c r="U44" s="65"/>
      <c r="V44" s="65"/>
      <c r="W44" s="65"/>
      <c r="X44" s="65"/>
      <c r="Y44" s="65"/>
      <c r="Z44" s="65"/>
    </row>
    <row r="45" spans="1:26" ht="15.75" customHeight="1">
      <c r="A45" s="304">
        <v>23</v>
      </c>
      <c r="B45" s="126" t="s">
        <v>876</v>
      </c>
      <c r="C45" s="126" t="s">
        <v>877</v>
      </c>
      <c r="D45" s="285" t="s">
        <v>738</v>
      </c>
      <c r="E45" s="314" t="s">
        <v>817</v>
      </c>
      <c r="F45" s="314" t="s">
        <v>837</v>
      </c>
      <c r="G45" s="288" t="s">
        <v>862</v>
      </c>
      <c r="H45" s="126" t="s">
        <v>863</v>
      </c>
      <c r="I45" s="285" t="s">
        <v>753</v>
      </c>
      <c r="J45" s="289" t="s">
        <v>864</v>
      </c>
      <c r="K45" s="304"/>
      <c r="L45" s="315"/>
      <c r="M45" s="312"/>
      <c r="N45" s="312"/>
      <c r="O45" s="312"/>
      <c r="P45" s="313"/>
      <c r="Q45" s="304"/>
      <c r="R45" s="312"/>
      <c r="S45" s="313"/>
      <c r="T45" s="65"/>
      <c r="U45" s="65"/>
      <c r="V45" s="65"/>
      <c r="W45" s="65"/>
      <c r="X45" s="65"/>
      <c r="Y45" s="65"/>
      <c r="Z45" s="65"/>
    </row>
    <row r="46" spans="1:26" ht="15.75" customHeight="1">
      <c r="A46" s="304">
        <v>24</v>
      </c>
      <c r="B46" s="126" t="s">
        <v>878</v>
      </c>
      <c r="C46" s="126" t="s">
        <v>879</v>
      </c>
      <c r="D46" s="285" t="s">
        <v>738</v>
      </c>
      <c r="E46" s="314" t="s">
        <v>880</v>
      </c>
      <c r="F46" s="314" t="s">
        <v>824</v>
      </c>
      <c r="G46" s="288" t="s">
        <v>862</v>
      </c>
      <c r="H46" s="126" t="s">
        <v>863</v>
      </c>
      <c r="I46" s="285" t="s">
        <v>753</v>
      </c>
      <c r="J46" s="289" t="s">
        <v>864</v>
      </c>
      <c r="K46" s="304"/>
      <c r="L46" s="315"/>
      <c r="M46" s="312"/>
      <c r="N46" s="312"/>
      <c r="O46" s="312"/>
      <c r="P46" s="313"/>
      <c r="Q46" s="304"/>
      <c r="R46" s="312"/>
      <c r="S46" s="313"/>
      <c r="T46" s="65"/>
      <c r="U46" s="65"/>
      <c r="V46" s="65"/>
      <c r="W46" s="65"/>
      <c r="X46" s="65"/>
      <c r="Y46" s="65"/>
      <c r="Z46" s="65"/>
    </row>
    <row r="47" spans="1:26" ht="15.75" customHeight="1">
      <c r="A47" s="304">
        <v>25</v>
      </c>
      <c r="B47" s="126" t="s">
        <v>881</v>
      </c>
      <c r="C47" s="285" t="s">
        <v>882</v>
      </c>
      <c r="D47" s="285" t="s">
        <v>738</v>
      </c>
      <c r="E47" s="314" t="s">
        <v>883</v>
      </c>
      <c r="F47" s="314" t="s">
        <v>884</v>
      </c>
      <c r="G47" s="288" t="s">
        <v>862</v>
      </c>
      <c r="H47" s="126" t="s">
        <v>863</v>
      </c>
      <c r="I47" s="285" t="s">
        <v>753</v>
      </c>
      <c r="J47" s="289" t="s">
        <v>864</v>
      </c>
      <c r="K47" s="304"/>
      <c r="L47" s="315"/>
      <c r="M47" s="312"/>
      <c r="N47" s="312"/>
      <c r="O47" s="312"/>
      <c r="P47" s="313"/>
      <c r="Q47" s="304"/>
      <c r="R47" s="312"/>
      <c r="S47" s="313"/>
      <c r="T47" s="65"/>
      <c r="U47" s="65"/>
      <c r="V47" s="65"/>
      <c r="W47" s="65"/>
      <c r="X47" s="65"/>
      <c r="Y47" s="65"/>
      <c r="Z47" s="65"/>
    </row>
    <row r="48" spans="1:26" ht="15.75" customHeight="1">
      <c r="A48" s="304">
        <v>26</v>
      </c>
      <c r="B48" s="126" t="s">
        <v>885</v>
      </c>
      <c r="C48" s="285" t="s">
        <v>886</v>
      </c>
      <c r="D48" s="285" t="s">
        <v>738</v>
      </c>
      <c r="E48" s="314" t="s">
        <v>887</v>
      </c>
      <c r="F48" s="314" t="s">
        <v>888</v>
      </c>
      <c r="G48" s="288" t="s">
        <v>862</v>
      </c>
      <c r="H48" s="126" t="s">
        <v>863</v>
      </c>
      <c r="I48" s="285" t="s">
        <v>753</v>
      </c>
      <c r="J48" s="289" t="s">
        <v>864</v>
      </c>
      <c r="K48" s="304"/>
      <c r="L48" s="315"/>
      <c r="M48" s="312"/>
      <c r="N48" s="312"/>
      <c r="O48" s="312"/>
      <c r="P48" s="313"/>
      <c r="Q48" s="304"/>
      <c r="R48" s="312"/>
      <c r="S48" s="313"/>
      <c r="T48" s="65"/>
      <c r="U48" s="65"/>
      <c r="V48" s="65"/>
      <c r="W48" s="65"/>
      <c r="X48" s="65"/>
      <c r="Y48" s="65"/>
      <c r="Z48" s="65"/>
    </row>
    <row r="49" spans="1:26" ht="15.75" customHeight="1">
      <c r="A49" s="304">
        <v>27</v>
      </c>
      <c r="B49" s="126" t="s">
        <v>889</v>
      </c>
      <c r="C49" s="285" t="s">
        <v>890</v>
      </c>
      <c r="D49" s="285" t="s">
        <v>738</v>
      </c>
      <c r="E49" s="316">
        <v>45200</v>
      </c>
      <c r="F49" s="316">
        <v>45205</v>
      </c>
      <c r="G49" s="288" t="s">
        <v>862</v>
      </c>
      <c r="H49" s="126" t="s">
        <v>863</v>
      </c>
      <c r="I49" s="285" t="s">
        <v>753</v>
      </c>
      <c r="J49" s="289" t="s">
        <v>864</v>
      </c>
      <c r="K49" s="304"/>
      <c r="L49" s="315"/>
      <c r="M49" s="312"/>
      <c r="N49" s="312"/>
      <c r="O49" s="312"/>
      <c r="P49" s="313"/>
      <c r="Q49" s="304"/>
      <c r="R49" s="312"/>
      <c r="S49" s="313"/>
      <c r="T49" s="65"/>
      <c r="U49" s="65"/>
      <c r="V49" s="65"/>
      <c r="W49" s="65"/>
      <c r="X49" s="65"/>
      <c r="Y49" s="65"/>
      <c r="Z49" s="65"/>
    </row>
    <row r="50" spans="1:26" ht="15.75" customHeight="1">
      <c r="A50" s="304">
        <v>28</v>
      </c>
      <c r="B50" s="126" t="s">
        <v>891</v>
      </c>
      <c r="C50" s="285" t="s">
        <v>892</v>
      </c>
      <c r="D50" s="285" t="s">
        <v>738</v>
      </c>
      <c r="E50" s="316" t="s">
        <v>849</v>
      </c>
      <c r="F50" s="316" t="s">
        <v>893</v>
      </c>
      <c r="G50" s="288" t="s">
        <v>862</v>
      </c>
      <c r="H50" s="126" t="s">
        <v>863</v>
      </c>
      <c r="I50" s="285" t="s">
        <v>753</v>
      </c>
      <c r="J50" s="289" t="s">
        <v>864</v>
      </c>
      <c r="K50" s="304"/>
      <c r="L50" s="315"/>
      <c r="M50" s="312"/>
      <c r="N50" s="312"/>
      <c r="O50" s="312"/>
      <c r="P50" s="313"/>
      <c r="Q50" s="304"/>
      <c r="R50" s="312"/>
      <c r="S50" s="313"/>
      <c r="T50" s="65"/>
      <c r="U50" s="65"/>
      <c r="V50" s="65"/>
      <c r="W50" s="65"/>
      <c r="X50" s="65"/>
      <c r="Y50" s="65"/>
      <c r="Z50" s="65"/>
    </row>
    <row r="51" spans="1:26" ht="15.75" customHeight="1">
      <c r="A51" s="304">
        <v>29</v>
      </c>
      <c r="B51" s="126" t="s">
        <v>894</v>
      </c>
      <c r="C51" s="285" t="s">
        <v>892</v>
      </c>
      <c r="D51" s="285" t="s">
        <v>738</v>
      </c>
      <c r="E51" s="316" t="s">
        <v>837</v>
      </c>
      <c r="F51" s="316" t="s">
        <v>893</v>
      </c>
      <c r="G51" s="288" t="s">
        <v>862</v>
      </c>
      <c r="H51" s="126" t="s">
        <v>863</v>
      </c>
      <c r="I51" s="285" t="s">
        <v>753</v>
      </c>
      <c r="J51" s="289" t="s">
        <v>864</v>
      </c>
      <c r="K51" s="304"/>
      <c r="L51" s="315"/>
      <c r="M51" s="312"/>
      <c r="N51" s="312"/>
      <c r="O51" s="312"/>
      <c r="P51" s="313"/>
      <c r="Q51" s="304"/>
      <c r="R51" s="312"/>
      <c r="S51" s="313"/>
      <c r="T51" s="65"/>
      <c r="U51" s="65"/>
      <c r="V51" s="65"/>
      <c r="W51" s="65"/>
      <c r="X51" s="65"/>
      <c r="Y51" s="65"/>
      <c r="Z51" s="65"/>
    </row>
    <row r="52" spans="1:26" ht="15.75" customHeight="1">
      <c r="A52" s="304">
        <v>30</v>
      </c>
      <c r="B52" s="126" t="s">
        <v>895</v>
      </c>
      <c r="C52" s="285" t="s">
        <v>896</v>
      </c>
      <c r="D52" s="285" t="s">
        <v>738</v>
      </c>
      <c r="E52" s="311">
        <v>44929</v>
      </c>
      <c r="F52" s="300">
        <v>44934</v>
      </c>
      <c r="G52" s="288" t="s">
        <v>897</v>
      </c>
      <c r="H52" s="126" t="s">
        <v>898</v>
      </c>
      <c r="I52" s="285" t="s">
        <v>757</v>
      </c>
      <c r="J52" s="289" t="s">
        <v>899</v>
      </c>
      <c r="K52" s="304"/>
      <c r="L52" s="315"/>
      <c r="M52" s="312"/>
      <c r="N52" s="312"/>
      <c r="O52" s="312"/>
      <c r="P52" s="313"/>
      <c r="Q52" s="304"/>
      <c r="R52" s="312"/>
      <c r="S52" s="313"/>
      <c r="T52" s="65"/>
      <c r="U52" s="65"/>
      <c r="V52" s="65"/>
      <c r="W52" s="65"/>
      <c r="X52" s="65"/>
      <c r="Y52" s="65"/>
      <c r="Z52" s="65"/>
    </row>
    <row r="53" spans="1:26" ht="15.75" customHeight="1">
      <c r="A53" s="304">
        <v>31</v>
      </c>
      <c r="B53" s="126" t="s">
        <v>900</v>
      </c>
      <c r="C53" s="285" t="s">
        <v>901</v>
      </c>
      <c r="D53" s="285" t="s">
        <v>738</v>
      </c>
      <c r="E53" s="317" t="s">
        <v>902</v>
      </c>
      <c r="F53" s="318" t="s">
        <v>903</v>
      </c>
      <c r="G53" s="288" t="s">
        <v>904</v>
      </c>
      <c r="H53" s="126" t="s">
        <v>905</v>
      </c>
      <c r="I53" s="285" t="s">
        <v>757</v>
      </c>
      <c r="J53" s="289" t="s">
        <v>906</v>
      </c>
      <c r="K53" s="304"/>
      <c r="L53" s="315"/>
      <c r="M53" s="312"/>
      <c r="N53" s="312"/>
      <c r="O53" s="312"/>
      <c r="P53" s="313"/>
      <c r="Q53" s="304"/>
      <c r="R53" s="312"/>
      <c r="S53" s="313"/>
      <c r="T53" s="65"/>
      <c r="U53" s="65"/>
      <c r="V53" s="65"/>
      <c r="W53" s="65"/>
      <c r="X53" s="65"/>
      <c r="Y53" s="65"/>
      <c r="Z53" s="65"/>
    </row>
    <row r="54" spans="1:26" ht="15.75" customHeight="1">
      <c r="A54" s="304">
        <v>32</v>
      </c>
      <c r="B54" s="126" t="s">
        <v>907</v>
      </c>
      <c r="C54" s="285" t="s">
        <v>908</v>
      </c>
      <c r="D54" s="285" t="s">
        <v>738</v>
      </c>
      <c r="E54" s="317">
        <v>44571</v>
      </c>
      <c r="F54" s="318">
        <v>44935</v>
      </c>
      <c r="G54" s="288" t="s">
        <v>909</v>
      </c>
      <c r="H54" s="126" t="s">
        <v>910</v>
      </c>
      <c r="I54" s="285" t="s">
        <v>753</v>
      </c>
      <c r="J54" s="289">
        <v>45224</v>
      </c>
      <c r="K54" s="304"/>
      <c r="L54" s="315"/>
      <c r="M54" s="312"/>
      <c r="N54" s="312"/>
      <c r="O54" s="312"/>
      <c r="P54" s="313"/>
      <c r="Q54" s="304"/>
      <c r="R54" s="312"/>
      <c r="S54" s="313"/>
      <c r="T54" s="65"/>
      <c r="U54" s="65"/>
      <c r="V54" s="65"/>
      <c r="W54" s="65"/>
      <c r="X54" s="65"/>
      <c r="Y54" s="65"/>
      <c r="Z54" s="65"/>
    </row>
    <row r="55" spans="1:26" ht="15.75" customHeight="1">
      <c r="A55" s="304">
        <v>33</v>
      </c>
      <c r="B55" s="126" t="s">
        <v>911</v>
      </c>
      <c r="C55" s="285" t="s">
        <v>912</v>
      </c>
      <c r="D55" s="285" t="s">
        <v>738</v>
      </c>
      <c r="E55" s="317" t="s">
        <v>824</v>
      </c>
      <c r="F55" s="318" t="s">
        <v>913</v>
      </c>
      <c r="G55" s="288" t="s">
        <v>914</v>
      </c>
      <c r="H55" s="126" t="s">
        <v>915</v>
      </c>
      <c r="I55" s="285" t="s">
        <v>757</v>
      </c>
      <c r="J55" s="289" t="s">
        <v>916</v>
      </c>
      <c r="K55" s="304"/>
      <c r="L55" s="315"/>
      <c r="M55" s="312"/>
      <c r="N55" s="312"/>
      <c r="O55" s="312"/>
      <c r="P55" s="313"/>
      <c r="Q55" s="304"/>
      <c r="R55" s="312"/>
      <c r="S55" s="313"/>
      <c r="T55" s="65"/>
      <c r="U55" s="65"/>
      <c r="V55" s="65"/>
      <c r="W55" s="65"/>
      <c r="X55" s="65"/>
      <c r="Y55" s="65"/>
      <c r="Z55" s="65"/>
    </row>
    <row r="56" spans="1:26" ht="15.75" customHeight="1">
      <c r="A56" s="304">
        <v>34</v>
      </c>
      <c r="B56" s="126" t="s">
        <v>917</v>
      </c>
      <c r="C56" s="285" t="s">
        <v>918</v>
      </c>
      <c r="D56" s="285" t="s">
        <v>738</v>
      </c>
      <c r="E56" s="317">
        <v>44930</v>
      </c>
      <c r="F56" s="318">
        <v>44935</v>
      </c>
      <c r="G56" s="288" t="s">
        <v>919</v>
      </c>
      <c r="H56" s="126" t="s">
        <v>920</v>
      </c>
      <c r="I56" s="285" t="s">
        <v>753</v>
      </c>
      <c r="J56" s="289" t="s">
        <v>921</v>
      </c>
      <c r="K56" s="304"/>
      <c r="L56" s="315"/>
      <c r="M56" s="312"/>
      <c r="N56" s="312"/>
      <c r="O56" s="312"/>
      <c r="P56" s="313"/>
      <c r="Q56" s="304"/>
      <c r="R56" s="312"/>
      <c r="S56" s="313"/>
      <c r="T56" s="65"/>
      <c r="U56" s="65"/>
      <c r="V56" s="65"/>
      <c r="W56" s="65"/>
      <c r="X56" s="65"/>
      <c r="Y56" s="65"/>
      <c r="Z56" s="65"/>
    </row>
    <row r="57" spans="1:26" ht="15.75" customHeight="1">
      <c r="A57" s="304">
        <v>35</v>
      </c>
      <c r="B57" s="126" t="s">
        <v>922</v>
      </c>
      <c r="C57" s="319" t="s">
        <v>923</v>
      </c>
      <c r="D57" s="285" t="s">
        <v>738</v>
      </c>
      <c r="E57" s="317">
        <v>45054</v>
      </c>
      <c r="F57" s="318">
        <v>45057</v>
      </c>
      <c r="G57" s="288" t="s">
        <v>919</v>
      </c>
      <c r="H57" s="126" t="s">
        <v>920</v>
      </c>
      <c r="I57" s="285" t="s">
        <v>753</v>
      </c>
      <c r="J57" s="289" t="s">
        <v>921</v>
      </c>
      <c r="K57" s="304"/>
      <c r="L57" s="315"/>
      <c r="M57" s="312"/>
      <c r="N57" s="312"/>
      <c r="O57" s="312"/>
      <c r="P57" s="313"/>
      <c r="Q57" s="304"/>
      <c r="R57" s="312"/>
      <c r="S57" s="313"/>
      <c r="T57" s="65"/>
      <c r="U57" s="65"/>
      <c r="V57" s="65"/>
      <c r="W57" s="65"/>
      <c r="X57" s="65"/>
      <c r="Y57" s="65"/>
      <c r="Z57" s="65"/>
    </row>
    <row r="58" spans="1:26" ht="15.75" customHeight="1">
      <c r="A58" s="304">
        <v>36</v>
      </c>
      <c r="B58" s="126" t="s">
        <v>924</v>
      </c>
      <c r="C58" s="126" t="s">
        <v>925</v>
      </c>
      <c r="D58" s="285" t="s">
        <v>738</v>
      </c>
      <c r="E58" s="317">
        <v>45054</v>
      </c>
      <c r="F58" s="318">
        <v>45057</v>
      </c>
      <c r="G58" s="288" t="s">
        <v>919</v>
      </c>
      <c r="H58" s="126" t="s">
        <v>926</v>
      </c>
      <c r="I58" s="285" t="s">
        <v>753</v>
      </c>
      <c r="J58" s="289" t="s">
        <v>921</v>
      </c>
      <c r="K58" s="304"/>
      <c r="L58" s="315"/>
      <c r="M58" s="312"/>
      <c r="N58" s="312"/>
      <c r="O58" s="312"/>
      <c r="P58" s="313"/>
      <c r="Q58" s="304"/>
      <c r="R58" s="312"/>
      <c r="S58" s="313"/>
      <c r="T58" s="65"/>
      <c r="U58" s="65"/>
      <c r="V58" s="65"/>
      <c r="W58" s="65"/>
      <c r="X58" s="65"/>
      <c r="Y58" s="65"/>
      <c r="Z58" s="65"/>
    </row>
    <row r="59" spans="1:26" ht="15.75" customHeight="1">
      <c r="A59" s="304">
        <v>37</v>
      </c>
      <c r="B59" s="126" t="s">
        <v>927</v>
      </c>
      <c r="C59" s="126" t="s">
        <v>928</v>
      </c>
      <c r="D59" s="285" t="s">
        <v>738</v>
      </c>
      <c r="E59" s="317">
        <v>45053</v>
      </c>
      <c r="F59" s="318">
        <v>45057</v>
      </c>
      <c r="G59" s="288" t="s">
        <v>919</v>
      </c>
      <c r="H59" s="126" t="s">
        <v>926</v>
      </c>
      <c r="I59" s="285" t="s">
        <v>753</v>
      </c>
      <c r="J59" s="289" t="s">
        <v>921</v>
      </c>
      <c r="K59" s="304"/>
      <c r="L59" s="315"/>
      <c r="M59" s="312"/>
      <c r="N59" s="312"/>
      <c r="O59" s="312"/>
      <c r="P59" s="313"/>
      <c r="Q59" s="304"/>
      <c r="R59" s="312"/>
      <c r="S59" s="313"/>
      <c r="T59" s="65"/>
      <c r="U59" s="65"/>
      <c r="V59" s="65"/>
      <c r="W59" s="65"/>
      <c r="X59" s="65"/>
      <c r="Y59" s="65"/>
      <c r="Z59" s="65"/>
    </row>
    <row r="60" spans="1:26" ht="15.75" customHeight="1">
      <c r="A60" s="304">
        <v>38</v>
      </c>
      <c r="B60" s="126" t="s">
        <v>929</v>
      </c>
      <c r="C60" s="126" t="s">
        <v>930</v>
      </c>
      <c r="D60" s="285" t="s">
        <v>738</v>
      </c>
      <c r="E60" s="317">
        <v>45054</v>
      </c>
      <c r="F60" s="318">
        <v>45057</v>
      </c>
      <c r="G60" s="288" t="s">
        <v>919</v>
      </c>
      <c r="H60" s="126" t="s">
        <v>926</v>
      </c>
      <c r="I60" s="285" t="s">
        <v>753</v>
      </c>
      <c r="J60" s="289" t="s">
        <v>921</v>
      </c>
      <c r="K60" s="304"/>
      <c r="L60" s="315"/>
      <c r="M60" s="312"/>
      <c r="N60" s="312"/>
      <c r="O60" s="312"/>
      <c r="P60" s="313"/>
      <c r="Q60" s="304"/>
      <c r="R60" s="312"/>
      <c r="S60" s="313"/>
      <c r="T60" s="65"/>
      <c r="U60" s="65"/>
      <c r="V60" s="65"/>
      <c r="W60" s="65"/>
      <c r="X60" s="65"/>
      <c r="Y60" s="65"/>
      <c r="Z60" s="65"/>
    </row>
    <row r="61" spans="1:26" ht="15.75" customHeight="1">
      <c r="A61" s="304">
        <v>39</v>
      </c>
      <c r="B61" s="126" t="s">
        <v>931</v>
      </c>
      <c r="C61" s="126" t="s">
        <v>932</v>
      </c>
      <c r="D61" s="285" t="s">
        <v>738</v>
      </c>
      <c r="E61" s="317">
        <v>45054</v>
      </c>
      <c r="F61" s="318">
        <v>45057</v>
      </c>
      <c r="G61" s="288" t="s">
        <v>933</v>
      </c>
      <c r="H61" s="126" t="s">
        <v>934</v>
      </c>
      <c r="I61" s="285" t="s">
        <v>749</v>
      </c>
      <c r="J61" s="289" t="s">
        <v>935</v>
      </c>
      <c r="K61" s="304"/>
      <c r="L61" s="315"/>
      <c r="M61" s="312"/>
      <c r="N61" s="312"/>
      <c r="O61" s="312"/>
      <c r="P61" s="313"/>
      <c r="Q61" s="304"/>
      <c r="R61" s="312"/>
      <c r="S61" s="313"/>
      <c r="T61" s="65"/>
      <c r="U61" s="65"/>
      <c r="V61" s="65"/>
      <c r="W61" s="65"/>
      <c r="X61" s="65"/>
      <c r="Y61" s="65"/>
      <c r="Z61" s="65"/>
    </row>
    <row r="62" spans="1:26" ht="15.75" customHeight="1">
      <c r="A62" s="304">
        <v>40</v>
      </c>
      <c r="B62" s="126" t="s">
        <v>936</v>
      </c>
      <c r="C62" s="126" t="s">
        <v>937</v>
      </c>
      <c r="D62" s="285" t="s">
        <v>738</v>
      </c>
      <c r="E62" s="311" t="s">
        <v>902</v>
      </c>
      <c r="F62" s="300" t="s">
        <v>938</v>
      </c>
      <c r="G62" s="288" t="s">
        <v>933</v>
      </c>
      <c r="H62" s="126" t="s">
        <v>934</v>
      </c>
      <c r="I62" s="285" t="s">
        <v>749</v>
      </c>
      <c r="J62" s="289" t="s">
        <v>935</v>
      </c>
      <c r="K62" s="304"/>
      <c r="L62" s="315"/>
      <c r="M62" s="312"/>
      <c r="N62" s="312"/>
      <c r="O62" s="312"/>
      <c r="P62" s="313"/>
      <c r="Q62" s="304"/>
      <c r="R62" s="312"/>
      <c r="S62" s="313"/>
      <c r="T62" s="65"/>
      <c r="U62" s="65"/>
      <c r="V62" s="65"/>
      <c r="W62" s="65"/>
      <c r="X62" s="65"/>
      <c r="Y62" s="65"/>
      <c r="Z62" s="65"/>
    </row>
    <row r="63" spans="1:26" ht="15.75" customHeight="1">
      <c r="A63" s="304">
        <v>41</v>
      </c>
      <c r="B63" s="126" t="s">
        <v>939</v>
      </c>
      <c r="C63" s="285" t="s">
        <v>940</v>
      </c>
      <c r="D63" s="285" t="s">
        <v>738</v>
      </c>
      <c r="E63" s="311"/>
      <c r="F63" s="300"/>
      <c r="G63" s="288" t="s">
        <v>933</v>
      </c>
      <c r="H63" s="126" t="s">
        <v>934</v>
      </c>
      <c r="I63" s="285" t="s">
        <v>749</v>
      </c>
      <c r="J63" s="289" t="s">
        <v>935</v>
      </c>
      <c r="K63" s="304"/>
      <c r="L63" s="315"/>
      <c r="M63" s="312"/>
      <c r="N63" s="312"/>
      <c r="O63" s="312"/>
      <c r="P63" s="313"/>
      <c r="Q63" s="304"/>
      <c r="R63" s="312"/>
      <c r="S63" s="313"/>
      <c r="T63" s="65"/>
      <c r="U63" s="65"/>
      <c r="V63" s="65"/>
      <c r="W63" s="65"/>
      <c r="X63" s="65"/>
      <c r="Y63" s="65"/>
      <c r="Z63" s="65"/>
    </row>
    <row r="64" spans="1:26" ht="15.75" customHeight="1">
      <c r="A64" s="304">
        <v>42</v>
      </c>
      <c r="B64" s="126" t="s">
        <v>941</v>
      </c>
      <c r="C64" s="285" t="s">
        <v>942</v>
      </c>
      <c r="D64" s="285" t="s">
        <v>738</v>
      </c>
      <c r="E64" s="311">
        <v>44936</v>
      </c>
      <c r="F64" s="300">
        <v>44959</v>
      </c>
      <c r="G64" s="288" t="s">
        <v>943</v>
      </c>
      <c r="H64" s="126" t="s">
        <v>944</v>
      </c>
      <c r="I64" s="285" t="s">
        <v>757</v>
      </c>
      <c r="J64" s="289" t="s">
        <v>945</v>
      </c>
      <c r="K64" s="304"/>
      <c r="L64" s="315"/>
      <c r="M64" s="312"/>
      <c r="N64" s="312"/>
      <c r="O64" s="312"/>
      <c r="P64" s="313"/>
      <c r="Q64" s="304"/>
      <c r="R64" s="312"/>
      <c r="S64" s="313"/>
      <c r="T64" s="65"/>
      <c r="U64" s="65"/>
      <c r="V64" s="65"/>
      <c r="W64" s="65"/>
      <c r="X64" s="65"/>
      <c r="Y64" s="65"/>
      <c r="Z64" s="65"/>
    </row>
    <row r="65" spans="1:26" ht="15.75" customHeight="1">
      <c r="A65" s="304">
        <v>43</v>
      </c>
      <c r="B65" s="126" t="s">
        <v>946</v>
      </c>
      <c r="C65" s="285" t="s">
        <v>947</v>
      </c>
      <c r="D65" s="285" t="s">
        <v>738</v>
      </c>
      <c r="E65" s="311">
        <v>44936</v>
      </c>
      <c r="F65" s="300">
        <v>44959</v>
      </c>
      <c r="G65" s="288" t="s">
        <v>943</v>
      </c>
      <c r="H65" s="126" t="s">
        <v>944</v>
      </c>
      <c r="I65" s="285" t="s">
        <v>757</v>
      </c>
      <c r="J65" s="289" t="s">
        <v>945</v>
      </c>
      <c r="K65" s="304"/>
      <c r="L65" s="315"/>
      <c r="M65" s="312"/>
      <c r="N65" s="312"/>
      <c r="O65" s="312"/>
      <c r="P65" s="313"/>
      <c r="Q65" s="304"/>
      <c r="R65" s="312"/>
      <c r="S65" s="313"/>
      <c r="T65" s="65"/>
      <c r="U65" s="65"/>
      <c r="V65" s="65"/>
      <c r="W65" s="65"/>
      <c r="X65" s="65"/>
      <c r="Y65" s="65"/>
      <c r="Z65" s="65"/>
    </row>
    <row r="66" spans="1:26" ht="15.75" customHeight="1">
      <c r="A66" s="304">
        <v>44</v>
      </c>
      <c r="B66" s="126" t="s">
        <v>948</v>
      </c>
      <c r="C66" s="285" t="s">
        <v>949</v>
      </c>
      <c r="D66" s="285" t="s">
        <v>738</v>
      </c>
      <c r="E66" s="311" t="s">
        <v>950</v>
      </c>
      <c r="F66" s="300" t="s">
        <v>951</v>
      </c>
      <c r="G66" s="288" t="s">
        <v>952</v>
      </c>
      <c r="H66" s="126" t="s">
        <v>953</v>
      </c>
      <c r="I66" s="285" t="s">
        <v>757</v>
      </c>
      <c r="J66" s="289" t="s">
        <v>954</v>
      </c>
      <c r="K66" s="304"/>
      <c r="L66" s="315"/>
      <c r="M66" s="312"/>
      <c r="N66" s="312"/>
      <c r="O66" s="312"/>
      <c r="P66" s="313"/>
      <c r="Q66" s="304"/>
      <c r="R66" s="312"/>
      <c r="S66" s="313"/>
      <c r="T66" s="65"/>
      <c r="U66" s="65"/>
      <c r="V66" s="65"/>
      <c r="W66" s="65"/>
      <c r="X66" s="65"/>
      <c r="Y66" s="65"/>
      <c r="Z66" s="65"/>
    </row>
    <row r="67" spans="1:26" ht="15.75" customHeight="1">
      <c r="A67" s="304">
        <v>45</v>
      </c>
      <c r="B67" s="126" t="s">
        <v>955</v>
      </c>
      <c r="C67" s="285" t="s">
        <v>956</v>
      </c>
      <c r="D67" s="285" t="s">
        <v>738</v>
      </c>
      <c r="E67" s="286" t="s">
        <v>957</v>
      </c>
      <c r="F67" s="287" t="s">
        <v>958</v>
      </c>
      <c r="G67" s="288" t="s">
        <v>959</v>
      </c>
      <c r="H67" s="126" t="s">
        <v>960</v>
      </c>
      <c r="I67" s="285" t="s">
        <v>757</v>
      </c>
      <c r="J67" s="289" t="s">
        <v>961</v>
      </c>
      <c r="K67" s="304"/>
      <c r="L67" s="315"/>
      <c r="M67" s="312"/>
      <c r="N67" s="312"/>
      <c r="O67" s="312"/>
      <c r="P67" s="313"/>
      <c r="Q67" s="304"/>
      <c r="R67" s="312"/>
      <c r="S67" s="313"/>
      <c r="T67" s="65"/>
      <c r="U67" s="65"/>
      <c r="V67" s="65"/>
      <c r="W67" s="65"/>
      <c r="X67" s="65"/>
      <c r="Y67" s="65"/>
      <c r="Z67" s="65"/>
    </row>
    <row r="68" spans="1:26" ht="15.75" customHeight="1">
      <c r="A68" s="304">
        <v>46</v>
      </c>
      <c r="B68" s="126" t="s">
        <v>962</v>
      </c>
      <c r="C68" s="285" t="s">
        <v>772</v>
      </c>
      <c r="D68" s="285" t="s">
        <v>738</v>
      </c>
      <c r="E68" s="286" t="s">
        <v>883</v>
      </c>
      <c r="F68" s="287" t="s">
        <v>884</v>
      </c>
      <c r="G68" s="288" t="s">
        <v>963</v>
      </c>
      <c r="H68" s="126" t="s">
        <v>964</v>
      </c>
      <c r="I68" s="285" t="s">
        <v>757</v>
      </c>
      <c r="J68" s="289" t="s">
        <v>965</v>
      </c>
      <c r="K68" s="304"/>
      <c r="L68" s="315"/>
      <c r="M68" s="312"/>
      <c r="N68" s="312"/>
      <c r="O68" s="312"/>
      <c r="P68" s="313"/>
      <c r="Q68" s="304"/>
      <c r="R68" s="312"/>
      <c r="S68" s="313"/>
      <c r="T68" s="65"/>
      <c r="U68" s="65"/>
      <c r="V68" s="65"/>
      <c r="W68" s="65"/>
      <c r="X68" s="65"/>
      <c r="Y68" s="65"/>
      <c r="Z68" s="65"/>
    </row>
    <row r="69" spans="1:26" ht="15.75" customHeight="1">
      <c r="A69" s="304">
        <v>47</v>
      </c>
      <c r="B69" s="126" t="s">
        <v>966</v>
      </c>
      <c r="C69" s="285" t="s">
        <v>967</v>
      </c>
      <c r="D69" s="285" t="s">
        <v>738</v>
      </c>
      <c r="E69" s="311" t="s">
        <v>957</v>
      </c>
      <c r="F69" s="300" t="s">
        <v>958</v>
      </c>
      <c r="G69" s="288" t="s">
        <v>968</v>
      </c>
      <c r="H69" s="126" t="s">
        <v>969</v>
      </c>
      <c r="I69" s="285" t="s">
        <v>757</v>
      </c>
      <c r="J69" s="289" t="s">
        <v>965</v>
      </c>
      <c r="K69" s="304"/>
      <c r="L69" s="315"/>
      <c r="M69" s="312"/>
      <c r="N69" s="312"/>
      <c r="O69" s="312"/>
      <c r="P69" s="313"/>
      <c r="Q69" s="304"/>
      <c r="R69" s="312"/>
      <c r="S69" s="313"/>
      <c r="T69" s="65"/>
      <c r="U69" s="65"/>
      <c r="V69" s="65"/>
      <c r="W69" s="65"/>
      <c r="X69" s="65"/>
      <c r="Y69" s="65"/>
      <c r="Z69" s="65"/>
    </row>
    <row r="70" spans="1:26" ht="15.75" customHeight="1">
      <c r="A70" s="304">
        <v>48</v>
      </c>
      <c r="B70" s="126" t="s">
        <v>970</v>
      </c>
      <c r="C70" s="285" t="s">
        <v>971</v>
      </c>
      <c r="D70" s="285" t="s">
        <v>738</v>
      </c>
      <c r="E70" s="311">
        <v>45054</v>
      </c>
      <c r="F70" s="300">
        <v>45057</v>
      </c>
      <c r="G70" s="288" t="s">
        <v>972</v>
      </c>
      <c r="H70" s="126" t="s">
        <v>934</v>
      </c>
      <c r="I70" s="285" t="s">
        <v>749</v>
      </c>
      <c r="J70" s="289">
        <v>45260</v>
      </c>
      <c r="K70" s="304"/>
      <c r="L70" s="315"/>
      <c r="M70" s="312"/>
      <c r="N70" s="312"/>
      <c r="O70" s="312"/>
      <c r="P70" s="313"/>
      <c r="Q70" s="304"/>
      <c r="R70" s="312"/>
      <c r="S70" s="313"/>
      <c r="T70" s="65"/>
      <c r="U70" s="65"/>
      <c r="V70" s="65"/>
      <c r="W70" s="65"/>
      <c r="X70" s="65"/>
      <c r="Y70" s="65"/>
      <c r="Z70" s="65"/>
    </row>
    <row r="71" spans="1:26" ht="15.75" customHeight="1">
      <c r="A71" s="304">
        <v>49</v>
      </c>
      <c r="B71" s="126" t="s">
        <v>973</v>
      </c>
      <c r="C71" s="126" t="s">
        <v>974</v>
      </c>
      <c r="D71" s="285" t="s">
        <v>738</v>
      </c>
      <c r="E71" s="286" t="s">
        <v>975</v>
      </c>
      <c r="F71" s="287" t="s">
        <v>976</v>
      </c>
      <c r="G71" s="288" t="s">
        <v>977</v>
      </c>
      <c r="H71" s="126" t="s">
        <v>978</v>
      </c>
      <c r="I71" s="285" t="s">
        <v>749</v>
      </c>
      <c r="J71" s="289" t="s">
        <v>979</v>
      </c>
      <c r="K71" s="304"/>
      <c r="L71" s="315"/>
      <c r="M71" s="312"/>
      <c r="N71" s="312"/>
      <c r="O71" s="312"/>
      <c r="P71" s="313"/>
      <c r="Q71" s="304"/>
      <c r="R71" s="312"/>
      <c r="S71" s="313"/>
      <c r="T71" s="65"/>
      <c r="U71" s="65"/>
      <c r="V71" s="65"/>
      <c r="W71" s="65"/>
      <c r="X71" s="65"/>
      <c r="Y71" s="65"/>
      <c r="Z71" s="65"/>
    </row>
    <row r="72" spans="1:26" ht="15.75" customHeight="1">
      <c r="A72" s="304">
        <v>50</v>
      </c>
      <c r="B72" s="126" t="s">
        <v>980</v>
      </c>
      <c r="C72" s="285" t="s">
        <v>981</v>
      </c>
      <c r="D72" s="285" t="s">
        <v>738</v>
      </c>
      <c r="E72" s="286" t="s">
        <v>817</v>
      </c>
      <c r="F72" s="287" t="s">
        <v>951</v>
      </c>
      <c r="G72" s="288" t="s">
        <v>982</v>
      </c>
      <c r="H72" s="126" t="s">
        <v>983</v>
      </c>
      <c r="I72" s="285" t="s">
        <v>749</v>
      </c>
      <c r="J72" s="289" t="s">
        <v>984</v>
      </c>
      <c r="K72" s="304"/>
      <c r="L72" s="315"/>
      <c r="M72" s="312"/>
      <c r="N72" s="312"/>
      <c r="O72" s="312"/>
      <c r="P72" s="313"/>
      <c r="Q72" s="293" t="s">
        <v>985</v>
      </c>
      <c r="R72" s="294" t="s">
        <v>986</v>
      </c>
      <c r="S72" s="295" t="s">
        <v>987</v>
      </c>
      <c r="T72" s="65"/>
      <c r="U72" s="65"/>
      <c r="V72" s="65"/>
      <c r="W72" s="65"/>
      <c r="X72" s="65"/>
      <c r="Y72" s="65"/>
      <c r="Z72" s="65"/>
    </row>
    <row r="73" spans="1:26" ht="15.75" customHeight="1">
      <c r="A73" s="304">
        <v>51</v>
      </c>
      <c r="B73" s="126" t="s">
        <v>988</v>
      </c>
      <c r="C73" s="126" t="s">
        <v>989</v>
      </c>
      <c r="D73" s="285" t="s">
        <v>738</v>
      </c>
      <c r="E73" s="286" t="s">
        <v>823</v>
      </c>
      <c r="F73" s="287" t="s">
        <v>824</v>
      </c>
      <c r="G73" s="288" t="s">
        <v>990</v>
      </c>
      <c r="H73" s="126" t="s">
        <v>991</v>
      </c>
      <c r="I73" s="285" t="s">
        <v>757</v>
      </c>
      <c r="J73" s="289" t="s">
        <v>992</v>
      </c>
      <c r="K73" s="304"/>
      <c r="L73" s="315"/>
      <c r="M73" s="312"/>
      <c r="N73" s="312"/>
      <c r="O73" s="312"/>
      <c r="P73" s="313"/>
      <c r="Q73" s="304"/>
      <c r="R73" s="312"/>
      <c r="S73" s="313"/>
      <c r="T73" s="65"/>
      <c r="U73" s="65"/>
      <c r="V73" s="65"/>
      <c r="W73" s="65"/>
      <c r="X73" s="65"/>
      <c r="Y73" s="65"/>
      <c r="Z73" s="65"/>
    </row>
    <row r="74" spans="1:26" ht="15.75" customHeight="1">
      <c r="A74" s="304">
        <v>52</v>
      </c>
      <c r="B74" s="126" t="s">
        <v>993</v>
      </c>
      <c r="C74" s="285" t="s">
        <v>994</v>
      </c>
      <c r="D74" s="285" t="s">
        <v>738</v>
      </c>
      <c r="E74" s="286" t="s">
        <v>837</v>
      </c>
      <c r="F74" s="287" t="s">
        <v>958</v>
      </c>
      <c r="G74" s="288" t="s">
        <v>990</v>
      </c>
      <c r="H74" s="126" t="s">
        <v>991</v>
      </c>
      <c r="I74" s="285" t="s">
        <v>757</v>
      </c>
      <c r="J74" s="289" t="s">
        <v>992</v>
      </c>
      <c r="K74" s="304"/>
      <c r="L74" s="315"/>
      <c r="M74" s="312"/>
      <c r="N74" s="312"/>
      <c r="O74" s="312"/>
      <c r="P74" s="313"/>
      <c r="Q74" s="304"/>
      <c r="R74" s="312"/>
      <c r="S74" s="313"/>
      <c r="T74" s="65"/>
      <c r="U74" s="65"/>
      <c r="V74" s="65"/>
      <c r="W74" s="65"/>
      <c r="X74" s="65"/>
      <c r="Y74" s="65"/>
      <c r="Z74" s="65"/>
    </row>
    <row r="75" spans="1:26" ht="15.75" customHeight="1">
      <c r="A75" s="304">
        <v>53</v>
      </c>
      <c r="B75" s="126" t="s">
        <v>995</v>
      </c>
      <c r="C75" s="285" t="s">
        <v>996</v>
      </c>
      <c r="D75" s="285" t="s">
        <v>738</v>
      </c>
      <c r="E75" s="286" t="s">
        <v>880</v>
      </c>
      <c r="F75" s="287" t="s">
        <v>997</v>
      </c>
      <c r="G75" s="288" t="s">
        <v>990</v>
      </c>
      <c r="H75" s="126" t="s">
        <v>991</v>
      </c>
      <c r="I75" s="285" t="s">
        <v>757</v>
      </c>
      <c r="J75" s="289" t="s">
        <v>992</v>
      </c>
      <c r="K75" s="304"/>
      <c r="L75" s="315"/>
      <c r="M75" s="312"/>
      <c r="N75" s="312"/>
      <c r="O75" s="312"/>
      <c r="P75" s="313"/>
      <c r="Q75" s="304"/>
      <c r="R75" s="312"/>
      <c r="S75" s="313"/>
      <c r="T75" s="65"/>
      <c r="U75" s="65"/>
      <c r="V75" s="65"/>
      <c r="W75" s="65"/>
      <c r="X75" s="65"/>
      <c r="Y75" s="65"/>
      <c r="Z75" s="65"/>
    </row>
    <row r="76" spans="1:26" ht="15.75" customHeight="1">
      <c r="A76" s="304">
        <v>54</v>
      </c>
      <c r="B76" s="299" t="s">
        <v>998</v>
      </c>
      <c r="C76" s="285" t="s">
        <v>999</v>
      </c>
      <c r="D76" s="285" t="s">
        <v>738</v>
      </c>
      <c r="E76" s="320" t="s">
        <v>1000</v>
      </c>
      <c r="F76" s="321">
        <v>45047</v>
      </c>
      <c r="G76" s="288" t="s">
        <v>1001</v>
      </c>
      <c r="H76" s="126" t="s">
        <v>953</v>
      </c>
      <c r="I76" s="285" t="s">
        <v>757</v>
      </c>
      <c r="J76" s="289" t="s">
        <v>1002</v>
      </c>
      <c r="K76" s="304"/>
      <c r="L76" s="315"/>
      <c r="M76" s="312"/>
      <c r="N76" s="312"/>
      <c r="O76" s="312"/>
      <c r="P76" s="313"/>
      <c r="Q76" s="304"/>
      <c r="R76" s="312"/>
      <c r="S76" s="313"/>
      <c r="T76" s="65"/>
      <c r="U76" s="65"/>
      <c r="V76" s="65"/>
      <c r="W76" s="65"/>
      <c r="X76" s="65"/>
      <c r="Y76" s="65"/>
      <c r="Z76" s="65"/>
    </row>
    <row r="77" spans="1:26" ht="15.75" customHeight="1">
      <c r="A77" s="304">
        <v>55</v>
      </c>
      <c r="B77" s="322" t="s">
        <v>1003</v>
      </c>
      <c r="C77" s="323" t="s">
        <v>967</v>
      </c>
      <c r="D77" s="285" t="s">
        <v>738</v>
      </c>
      <c r="E77" s="320" t="s">
        <v>1004</v>
      </c>
      <c r="F77" s="321">
        <v>45200</v>
      </c>
      <c r="G77" s="288" t="s">
        <v>1001</v>
      </c>
      <c r="H77" s="126" t="s">
        <v>953</v>
      </c>
      <c r="I77" s="285" t="s">
        <v>757</v>
      </c>
      <c r="J77" s="289" t="s">
        <v>1002</v>
      </c>
      <c r="K77" s="304"/>
      <c r="L77" s="315"/>
      <c r="M77" s="312"/>
      <c r="N77" s="312"/>
      <c r="O77" s="312"/>
      <c r="P77" s="313"/>
      <c r="Q77" s="304"/>
      <c r="R77" s="312"/>
      <c r="S77" s="313"/>
      <c r="T77" s="65"/>
      <c r="U77" s="65"/>
      <c r="V77" s="65"/>
      <c r="W77" s="65"/>
      <c r="X77" s="65"/>
      <c r="Y77" s="65"/>
      <c r="Z77" s="65"/>
    </row>
    <row r="78" spans="1:26" ht="15.75" customHeight="1">
      <c r="A78" s="304"/>
      <c r="B78" s="324"/>
      <c r="C78" s="325"/>
      <c r="D78" s="285"/>
      <c r="E78" s="326"/>
      <c r="F78" s="327"/>
      <c r="G78" s="288"/>
      <c r="H78" s="126"/>
      <c r="I78" s="285"/>
      <c r="J78" s="289"/>
      <c r="K78" s="304"/>
      <c r="L78" s="315"/>
      <c r="M78" s="312"/>
      <c r="N78" s="312"/>
      <c r="O78" s="312"/>
      <c r="P78" s="313"/>
      <c r="Q78" s="304"/>
      <c r="R78" s="312"/>
      <c r="S78" s="313"/>
      <c r="T78" s="65"/>
      <c r="U78" s="65"/>
      <c r="V78" s="65"/>
      <c r="W78" s="65"/>
      <c r="X78" s="65"/>
      <c r="Y78" s="65"/>
      <c r="Z78" s="65"/>
    </row>
    <row r="79" spans="1:26" ht="15.75" customHeight="1">
      <c r="A79" s="328"/>
      <c r="B79" s="329">
        <v>2022</v>
      </c>
      <c r="C79" s="330"/>
      <c r="D79" s="330"/>
      <c r="E79" s="331"/>
      <c r="F79" s="332"/>
      <c r="G79" s="333"/>
      <c r="H79" s="330"/>
      <c r="I79" s="330"/>
      <c r="J79" s="334"/>
      <c r="K79" s="328"/>
      <c r="L79" s="335"/>
      <c r="M79" s="330"/>
      <c r="N79" s="330"/>
      <c r="O79" s="330"/>
      <c r="P79" s="336"/>
      <c r="Q79" s="328"/>
      <c r="R79" s="330"/>
      <c r="S79" s="336"/>
      <c r="T79" s="337"/>
      <c r="U79" s="337"/>
      <c r="V79" s="337"/>
      <c r="W79" s="337"/>
      <c r="X79" s="337"/>
      <c r="Y79" s="337"/>
      <c r="Z79" s="337"/>
    </row>
    <row r="80" spans="1:26" ht="15.75" customHeight="1">
      <c r="A80" s="304">
        <v>1</v>
      </c>
      <c r="B80" s="126" t="s">
        <v>1005</v>
      </c>
      <c r="C80" s="285" t="s">
        <v>1006</v>
      </c>
      <c r="D80" s="203" t="s">
        <v>738</v>
      </c>
      <c r="E80" s="338">
        <v>44207</v>
      </c>
      <c r="F80" s="339">
        <v>44684</v>
      </c>
      <c r="G80" s="340" t="s">
        <v>1007</v>
      </c>
      <c r="H80" s="340" t="s">
        <v>1008</v>
      </c>
      <c r="I80" s="340" t="s">
        <v>757</v>
      </c>
      <c r="J80" s="341" t="s">
        <v>1009</v>
      </c>
      <c r="K80" s="304"/>
      <c r="L80" s="315"/>
      <c r="M80" s="312"/>
      <c r="N80" s="312"/>
      <c r="O80" s="312"/>
      <c r="P80" s="313"/>
      <c r="Q80" s="304"/>
      <c r="R80" s="312"/>
      <c r="S80" s="313"/>
      <c r="T80" s="65"/>
      <c r="U80" s="65"/>
      <c r="V80" s="65"/>
      <c r="W80" s="65"/>
      <c r="X80" s="65"/>
      <c r="Y80" s="65"/>
      <c r="Z80" s="65"/>
    </row>
    <row r="81" spans="1:26" ht="15.75" customHeight="1">
      <c r="A81" s="304">
        <v>2</v>
      </c>
      <c r="B81" s="126" t="s">
        <v>1010</v>
      </c>
      <c r="C81" s="285" t="s">
        <v>1011</v>
      </c>
      <c r="D81" s="203" t="s">
        <v>738</v>
      </c>
      <c r="E81" s="338">
        <v>44327</v>
      </c>
      <c r="F81" s="339">
        <v>44684</v>
      </c>
      <c r="G81" s="340" t="s">
        <v>1007</v>
      </c>
      <c r="H81" s="340" t="s">
        <v>1008</v>
      </c>
      <c r="I81" s="340" t="s">
        <v>757</v>
      </c>
      <c r="J81" s="341" t="s">
        <v>1009</v>
      </c>
      <c r="K81" s="304"/>
      <c r="L81" s="315"/>
      <c r="M81" s="312"/>
      <c r="N81" s="312"/>
      <c r="O81" s="312"/>
      <c r="P81" s="313"/>
      <c r="Q81" s="304"/>
      <c r="R81" s="312"/>
      <c r="S81" s="313"/>
      <c r="T81" s="65"/>
      <c r="U81" s="65"/>
      <c r="V81" s="65"/>
      <c r="W81" s="65"/>
      <c r="X81" s="65"/>
      <c r="Y81" s="65"/>
      <c r="Z81" s="65"/>
    </row>
    <row r="82" spans="1:26" ht="15.75" customHeight="1">
      <c r="A82" s="304">
        <v>3</v>
      </c>
      <c r="B82" s="126" t="s">
        <v>1012</v>
      </c>
      <c r="C82" s="285" t="s">
        <v>1013</v>
      </c>
      <c r="D82" s="203" t="s">
        <v>738</v>
      </c>
      <c r="E82" s="338">
        <v>44207</v>
      </c>
      <c r="F82" s="339">
        <v>44684</v>
      </c>
      <c r="G82" s="340" t="s">
        <v>1007</v>
      </c>
      <c r="H82" s="340" t="s">
        <v>1008</v>
      </c>
      <c r="I82" s="340" t="s">
        <v>757</v>
      </c>
      <c r="J82" s="341" t="s">
        <v>1009</v>
      </c>
      <c r="K82" s="304"/>
      <c r="L82" s="315"/>
      <c r="M82" s="312"/>
      <c r="N82" s="312"/>
      <c r="O82" s="312"/>
      <c r="P82" s="313"/>
      <c r="Q82" s="304"/>
      <c r="R82" s="312"/>
      <c r="S82" s="313"/>
      <c r="T82" s="65"/>
      <c r="U82" s="65"/>
      <c r="V82" s="65"/>
      <c r="W82" s="65"/>
      <c r="X82" s="65"/>
      <c r="Y82" s="65"/>
      <c r="Z82" s="65"/>
    </row>
    <row r="83" spans="1:26" ht="15.75" customHeight="1">
      <c r="A83" s="304">
        <v>4</v>
      </c>
      <c r="B83" s="126" t="s">
        <v>1014</v>
      </c>
      <c r="C83" s="285" t="s">
        <v>1015</v>
      </c>
      <c r="D83" s="203" t="s">
        <v>738</v>
      </c>
      <c r="E83" s="338">
        <v>44326</v>
      </c>
      <c r="F83" s="339">
        <v>44684</v>
      </c>
      <c r="G83" s="340" t="s">
        <v>1016</v>
      </c>
      <c r="H83" s="340" t="s">
        <v>1017</v>
      </c>
      <c r="I83" s="340" t="s">
        <v>749</v>
      </c>
      <c r="J83" s="341" t="s">
        <v>1018</v>
      </c>
      <c r="K83" s="304"/>
      <c r="L83" s="315"/>
      <c r="M83" s="312"/>
      <c r="N83" s="312"/>
      <c r="O83" s="312"/>
      <c r="P83" s="313"/>
      <c r="Q83" s="304"/>
      <c r="R83" s="312"/>
      <c r="S83" s="313"/>
      <c r="T83" s="65"/>
      <c r="U83" s="65"/>
      <c r="V83" s="65"/>
      <c r="W83" s="65"/>
      <c r="X83" s="65"/>
      <c r="Y83" s="65"/>
      <c r="Z83" s="65"/>
    </row>
    <row r="84" spans="1:26" ht="15.75" customHeight="1">
      <c r="A84" s="304">
        <v>5</v>
      </c>
      <c r="B84" s="126" t="s">
        <v>1019</v>
      </c>
      <c r="C84" s="285" t="s">
        <v>1020</v>
      </c>
      <c r="D84" s="203" t="s">
        <v>738</v>
      </c>
      <c r="E84" s="338" t="s">
        <v>1021</v>
      </c>
      <c r="F84" s="339" t="s">
        <v>1022</v>
      </c>
      <c r="G84" s="340" t="s">
        <v>1023</v>
      </c>
      <c r="H84" s="340" t="s">
        <v>1024</v>
      </c>
      <c r="I84" s="340" t="s">
        <v>753</v>
      </c>
      <c r="J84" s="341" t="s">
        <v>1025</v>
      </c>
      <c r="K84" s="304"/>
      <c r="L84" s="315"/>
      <c r="M84" s="312"/>
      <c r="N84" s="312"/>
      <c r="O84" s="312"/>
      <c r="P84" s="313"/>
      <c r="Q84" s="304"/>
      <c r="R84" s="312"/>
      <c r="S84" s="313"/>
      <c r="T84" s="65"/>
      <c r="U84" s="65"/>
      <c r="V84" s="65"/>
      <c r="W84" s="65"/>
      <c r="X84" s="65"/>
      <c r="Y84" s="65"/>
      <c r="Z84" s="65"/>
    </row>
    <row r="85" spans="1:26" ht="15.75" customHeight="1">
      <c r="A85" s="304">
        <v>6</v>
      </c>
      <c r="B85" s="126" t="s">
        <v>1026</v>
      </c>
      <c r="C85" s="285" t="s">
        <v>1027</v>
      </c>
      <c r="D85" s="203" t="s">
        <v>738</v>
      </c>
      <c r="E85" s="338" t="s">
        <v>1028</v>
      </c>
      <c r="F85" s="339" t="s">
        <v>1029</v>
      </c>
      <c r="G85" s="340" t="s">
        <v>1030</v>
      </c>
      <c r="H85" s="340" t="s">
        <v>1031</v>
      </c>
      <c r="I85" s="340" t="s">
        <v>757</v>
      </c>
      <c r="J85" s="341" t="s">
        <v>1032</v>
      </c>
      <c r="K85" s="304"/>
      <c r="L85" s="315"/>
      <c r="M85" s="312"/>
      <c r="N85" s="312"/>
      <c r="O85" s="312"/>
      <c r="P85" s="313"/>
      <c r="Q85" s="304"/>
      <c r="R85" s="312"/>
      <c r="S85" s="313"/>
      <c r="T85" s="65"/>
      <c r="U85" s="65"/>
      <c r="V85" s="65"/>
      <c r="W85" s="65"/>
      <c r="X85" s="65"/>
      <c r="Y85" s="65"/>
      <c r="Z85" s="65"/>
    </row>
    <row r="86" spans="1:26" ht="15.75" customHeight="1">
      <c r="A86" s="304">
        <v>7</v>
      </c>
      <c r="B86" s="126" t="s">
        <v>1033</v>
      </c>
      <c r="C86" s="285" t="s">
        <v>1034</v>
      </c>
      <c r="D86" s="203" t="s">
        <v>738</v>
      </c>
      <c r="E86" s="338" t="s">
        <v>1035</v>
      </c>
      <c r="F86" s="339" t="s">
        <v>1036</v>
      </c>
      <c r="G86" s="340" t="s">
        <v>1037</v>
      </c>
      <c r="H86" s="340" t="s">
        <v>1038</v>
      </c>
      <c r="I86" s="340" t="s">
        <v>757</v>
      </c>
      <c r="J86" s="341" t="s">
        <v>1039</v>
      </c>
      <c r="K86" s="304"/>
      <c r="L86" s="315"/>
      <c r="M86" s="312"/>
      <c r="N86" s="312"/>
      <c r="O86" s="312"/>
      <c r="P86" s="313"/>
      <c r="Q86" s="304"/>
      <c r="R86" s="312"/>
      <c r="S86" s="313"/>
      <c r="T86" s="65"/>
      <c r="U86" s="65"/>
      <c r="V86" s="65"/>
      <c r="W86" s="65"/>
      <c r="X86" s="65"/>
      <c r="Y86" s="65"/>
      <c r="Z86" s="65"/>
    </row>
    <row r="87" spans="1:26" ht="15.75" customHeight="1">
      <c r="A87" s="304">
        <v>8</v>
      </c>
      <c r="B87" s="126" t="s">
        <v>1040</v>
      </c>
      <c r="C87" s="126" t="s">
        <v>1041</v>
      </c>
      <c r="D87" s="203" t="s">
        <v>738</v>
      </c>
      <c r="E87" s="338">
        <v>44836</v>
      </c>
      <c r="F87" s="339">
        <v>44839</v>
      </c>
      <c r="G87" s="340" t="s">
        <v>1042</v>
      </c>
      <c r="H87" s="340" t="s">
        <v>1043</v>
      </c>
      <c r="I87" s="340" t="s">
        <v>757</v>
      </c>
      <c r="J87" s="341" t="s">
        <v>1044</v>
      </c>
      <c r="K87" s="304"/>
      <c r="L87" s="315"/>
      <c r="M87" s="312"/>
      <c r="N87" s="312"/>
      <c r="O87" s="312"/>
      <c r="P87" s="313"/>
      <c r="Q87" s="304"/>
      <c r="R87" s="312"/>
      <c r="S87" s="313"/>
      <c r="T87" s="65"/>
      <c r="U87" s="65"/>
      <c r="V87" s="65"/>
      <c r="W87" s="65"/>
      <c r="X87" s="65"/>
      <c r="Y87" s="65"/>
      <c r="Z87" s="65"/>
    </row>
    <row r="88" spans="1:26" ht="15.75" customHeight="1">
      <c r="A88" s="304">
        <v>9</v>
      </c>
      <c r="B88" s="126" t="s">
        <v>1045</v>
      </c>
      <c r="C88" s="126" t="s">
        <v>1046</v>
      </c>
      <c r="D88" s="203" t="s">
        <v>738</v>
      </c>
      <c r="E88" s="338">
        <v>44682</v>
      </c>
      <c r="F88" s="339">
        <v>44686</v>
      </c>
      <c r="G88" s="340" t="s">
        <v>1047</v>
      </c>
      <c r="H88" s="340" t="s">
        <v>1048</v>
      </c>
      <c r="I88" s="340" t="s">
        <v>757</v>
      </c>
      <c r="J88" s="341" t="s">
        <v>1049</v>
      </c>
      <c r="K88" s="304"/>
      <c r="L88" s="315"/>
      <c r="M88" s="312"/>
      <c r="N88" s="312"/>
      <c r="O88" s="312"/>
      <c r="P88" s="313"/>
      <c r="Q88" s="304"/>
      <c r="R88" s="312"/>
      <c r="S88" s="313"/>
      <c r="T88" s="65"/>
      <c r="U88" s="65"/>
      <c r="V88" s="65"/>
      <c r="W88" s="65"/>
      <c r="X88" s="65"/>
      <c r="Y88" s="65"/>
      <c r="Z88" s="65"/>
    </row>
    <row r="89" spans="1:26" ht="15.75" customHeight="1">
      <c r="A89" s="304">
        <v>10</v>
      </c>
      <c r="B89" s="126" t="s">
        <v>1050</v>
      </c>
      <c r="C89" s="285" t="s">
        <v>1051</v>
      </c>
      <c r="D89" s="203" t="s">
        <v>738</v>
      </c>
      <c r="E89" s="338">
        <v>44682</v>
      </c>
      <c r="F89" s="339">
        <v>44686</v>
      </c>
      <c r="G89" s="340" t="s">
        <v>1047</v>
      </c>
      <c r="H89" s="340" t="s">
        <v>1048</v>
      </c>
      <c r="I89" s="340" t="s">
        <v>757</v>
      </c>
      <c r="J89" s="341" t="s">
        <v>1049</v>
      </c>
      <c r="K89" s="304"/>
      <c r="L89" s="315"/>
      <c r="M89" s="312"/>
      <c r="N89" s="312"/>
      <c r="O89" s="312"/>
      <c r="P89" s="313"/>
      <c r="Q89" s="304"/>
      <c r="R89" s="312"/>
      <c r="S89" s="313"/>
      <c r="T89" s="65"/>
      <c r="U89" s="65"/>
      <c r="V89" s="65"/>
      <c r="W89" s="65"/>
      <c r="X89" s="65"/>
      <c r="Y89" s="65"/>
      <c r="Z89" s="65"/>
    </row>
    <row r="90" spans="1:26" ht="15.75" customHeight="1">
      <c r="A90" s="304">
        <v>11</v>
      </c>
      <c r="B90" s="126" t="s">
        <v>1052</v>
      </c>
      <c r="C90" s="126" t="s">
        <v>1053</v>
      </c>
      <c r="D90" s="203" t="s">
        <v>738</v>
      </c>
      <c r="E90" s="338" t="s">
        <v>1054</v>
      </c>
      <c r="F90" s="339" t="s">
        <v>848</v>
      </c>
      <c r="G90" s="340" t="s">
        <v>1055</v>
      </c>
      <c r="H90" s="340" t="s">
        <v>1055</v>
      </c>
      <c r="I90" s="340" t="s">
        <v>757</v>
      </c>
      <c r="J90" s="341" t="s">
        <v>1056</v>
      </c>
      <c r="K90" s="304"/>
      <c r="L90" s="315"/>
      <c r="M90" s="312"/>
      <c r="N90" s="312"/>
      <c r="O90" s="312"/>
      <c r="P90" s="313"/>
      <c r="Q90" s="304"/>
      <c r="R90" s="312"/>
      <c r="S90" s="313"/>
      <c r="T90" s="65"/>
      <c r="U90" s="65"/>
      <c r="V90" s="65"/>
      <c r="W90" s="65"/>
      <c r="X90" s="65"/>
      <c r="Y90" s="65"/>
      <c r="Z90" s="65"/>
    </row>
    <row r="91" spans="1:26" ht="15.75" customHeight="1">
      <c r="A91" s="304">
        <v>12</v>
      </c>
      <c r="B91" s="126" t="s">
        <v>1057</v>
      </c>
      <c r="C91" s="126" t="s">
        <v>1058</v>
      </c>
      <c r="D91" s="203" t="s">
        <v>738</v>
      </c>
      <c r="E91" s="338">
        <v>44835</v>
      </c>
      <c r="F91" s="339">
        <v>44840</v>
      </c>
      <c r="G91" s="340" t="s">
        <v>1059</v>
      </c>
      <c r="H91" s="340" t="s">
        <v>1060</v>
      </c>
      <c r="I91" s="340" t="s">
        <v>753</v>
      </c>
      <c r="J91" s="341" t="s">
        <v>1061</v>
      </c>
      <c r="K91" s="304"/>
      <c r="L91" s="315"/>
      <c r="M91" s="312"/>
      <c r="N91" s="312"/>
      <c r="O91" s="312"/>
      <c r="P91" s="313"/>
      <c r="Q91" s="304"/>
      <c r="R91" s="312"/>
      <c r="S91" s="313"/>
      <c r="T91" s="65"/>
      <c r="U91" s="65"/>
      <c r="V91" s="65"/>
      <c r="W91" s="65"/>
      <c r="X91" s="65"/>
      <c r="Y91" s="65"/>
      <c r="Z91" s="65"/>
    </row>
    <row r="92" spans="1:26" ht="15.75" customHeight="1">
      <c r="A92" s="304">
        <v>13</v>
      </c>
      <c r="B92" s="126" t="s">
        <v>1062</v>
      </c>
      <c r="C92" s="285" t="s">
        <v>1063</v>
      </c>
      <c r="D92" s="203" t="s">
        <v>738</v>
      </c>
      <c r="E92" s="338">
        <v>44682</v>
      </c>
      <c r="F92" s="339">
        <v>44686</v>
      </c>
      <c r="G92" s="340" t="s">
        <v>1059</v>
      </c>
      <c r="H92" s="340" t="s">
        <v>1060</v>
      </c>
      <c r="I92" s="340" t="s">
        <v>753</v>
      </c>
      <c r="J92" s="341" t="s">
        <v>1061</v>
      </c>
      <c r="K92" s="304"/>
      <c r="L92" s="315"/>
      <c r="M92" s="312"/>
      <c r="N92" s="312"/>
      <c r="O92" s="312"/>
      <c r="P92" s="313"/>
      <c r="Q92" s="304"/>
      <c r="R92" s="312"/>
      <c r="S92" s="313"/>
      <c r="T92" s="65"/>
      <c r="U92" s="65"/>
      <c r="V92" s="65"/>
      <c r="W92" s="65"/>
      <c r="X92" s="65"/>
      <c r="Y92" s="65"/>
      <c r="Z92" s="65"/>
    </row>
    <row r="93" spans="1:26" ht="15.75" customHeight="1">
      <c r="A93" s="304">
        <v>14</v>
      </c>
      <c r="B93" s="126" t="s">
        <v>1064</v>
      </c>
      <c r="C93" s="126" t="s">
        <v>1065</v>
      </c>
      <c r="D93" s="203" t="s">
        <v>738</v>
      </c>
      <c r="E93" s="338" t="s">
        <v>1066</v>
      </c>
      <c r="F93" s="339" t="s">
        <v>1067</v>
      </c>
      <c r="G93" s="340" t="s">
        <v>1059</v>
      </c>
      <c r="H93" s="340" t="s">
        <v>1060</v>
      </c>
      <c r="I93" s="340" t="s">
        <v>753</v>
      </c>
      <c r="J93" s="341" t="s">
        <v>1061</v>
      </c>
      <c r="K93" s="304"/>
      <c r="L93" s="315"/>
      <c r="M93" s="312"/>
      <c r="N93" s="312"/>
      <c r="O93" s="312"/>
      <c r="P93" s="313"/>
      <c r="Q93" s="304"/>
      <c r="R93" s="312"/>
      <c r="S93" s="313"/>
      <c r="T93" s="65"/>
      <c r="U93" s="65"/>
      <c r="V93" s="65"/>
      <c r="W93" s="65"/>
      <c r="X93" s="65"/>
      <c r="Y93" s="65"/>
      <c r="Z93" s="65"/>
    </row>
    <row r="94" spans="1:26" ht="15.75" customHeight="1">
      <c r="A94" s="304">
        <v>15</v>
      </c>
      <c r="B94" s="126" t="s">
        <v>1068</v>
      </c>
      <c r="C94" s="285" t="s">
        <v>956</v>
      </c>
      <c r="D94" s="203" t="s">
        <v>738</v>
      </c>
      <c r="E94" s="338">
        <v>44835</v>
      </c>
      <c r="F94" s="339">
        <v>44840</v>
      </c>
      <c r="G94" s="340" t="s">
        <v>1059</v>
      </c>
      <c r="H94" s="340" t="s">
        <v>1060</v>
      </c>
      <c r="I94" s="340" t="s">
        <v>753</v>
      </c>
      <c r="J94" s="341" t="s">
        <v>1061</v>
      </c>
      <c r="K94" s="304"/>
      <c r="L94" s="315"/>
      <c r="M94" s="312"/>
      <c r="N94" s="312"/>
      <c r="O94" s="312"/>
      <c r="P94" s="313"/>
      <c r="Q94" s="304"/>
      <c r="R94" s="312"/>
      <c r="S94" s="313"/>
      <c r="T94" s="65"/>
      <c r="U94" s="65"/>
      <c r="V94" s="65"/>
      <c r="W94" s="65"/>
      <c r="X94" s="65"/>
      <c r="Y94" s="65"/>
      <c r="Z94" s="65"/>
    </row>
    <row r="95" spans="1:26" ht="15.75" customHeight="1">
      <c r="A95" s="304">
        <v>16</v>
      </c>
      <c r="B95" s="126" t="s">
        <v>1069</v>
      </c>
      <c r="C95" s="126" t="s">
        <v>1070</v>
      </c>
      <c r="D95" s="203" t="s">
        <v>738</v>
      </c>
      <c r="E95" s="338">
        <v>44835</v>
      </c>
      <c r="F95" s="339">
        <v>44840</v>
      </c>
      <c r="G95" s="340" t="s">
        <v>1059</v>
      </c>
      <c r="H95" s="340" t="s">
        <v>1060</v>
      </c>
      <c r="I95" s="340" t="s">
        <v>753</v>
      </c>
      <c r="J95" s="341" t="s">
        <v>1061</v>
      </c>
      <c r="K95" s="304"/>
      <c r="L95" s="315"/>
      <c r="M95" s="312"/>
      <c r="N95" s="312"/>
      <c r="O95" s="312"/>
      <c r="P95" s="313"/>
      <c r="Q95" s="304"/>
      <c r="R95" s="312"/>
      <c r="S95" s="313"/>
      <c r="T95" s="65"/>
      <c r="U95" s="65"/>
      <c r="V95" s="65"/>
      <c r="W95" s="65"/>
      <c r="X95" s="65"/>
      <c r="Y95" s="65"/>
      <c r="Z95" s="65"/>
    </row>
    <row r="96" spans="1:26" ht="15.75" customHeight="1">
      <c r="A96" s="304">
        <v>17</v>
      </c>
      <c r="B96" s="126" t="s">
        <v>1071</v>
      </c>
      <c r="C96" s="126" t="s">
        <v>1072</v>
      </c>
      <c r="D96" s="203" t="s">
        <v>738</v>
      </c>
      <c r="E96" s="338" t="s">
        <v>1066</v>
      </c>
      <c r="F96" s="339" t="s">
        <v>1073</v>
      </c>
      <c r="G96" s="340" t="s">
        <v>1059</v>
      </c>
      <c r="H96" s="340" t="s">
        <v>1060</v>
      </c>
      <c r="I96" s="340" t="s">
        <v>753</v>
      </c>
      <c r="J96" s="341" t="s">
        <v>1061</v>
      </c>
      <c r="K96" s="304"/>
      <c r="L96" s="315"/>
      <c r="M96" s="312"/>
      <c r="N96" s="312"/>
      <c r="O96" s="312"/>
      <c r="P96" s="313"/>
      <c r="Q96" s="304"/>
      <c r="R96" s="312"/>
      <c r="S96" s="313"/>
      <c r="T96" s="65"/>
      <c r="U96" s="65"/>
      <c r="V96" s="65"/>
      <c r="W96" s="65"/>
      <c r="X96" s="65"/>
      <c r="Y96" s="65"/>
      <c r="Z96" s="65"/>
    </row>
    <row r="97" spans="1:26" ht="15.75" customHeight="1">
      <c r="A97" s="304">
        <v>18</v>
      </c>
      <c r="B97" s="126" t="s">
        <v>1074</v>
      </c>
      <c r="C97" s="126" t="s">
        <v>1075</v>
      </c>
      <c r="D97" s="203" t="s">
        <v>738</v>
      </c>
      <c r="E97" s="338">
        <v>44682</v>
      </c>
      <c r="F97" s="339">
        <v>44686</v>
      </c>
      <c r="G97" s="340" t="s">
        <v>1059</v>
      </c>
      <c r="H97" s="340" t="s">
        <v>1060</v>
      </c>
      <c r="I97" s="340" t="s">
        <v>753</v>
      </c>
      <c r="J97" s="341" t="s">
        <v>1061</v>
      </c>
      <c r="K97" s="304"/>
      <c r="L97" s="315"/>
      <c r="M97" s="312"/>
      <c r="N97" s="312"/>
      <c r="O97" s="312"/>
      <c r="P97" s="313"/>
      <c r="Q97" s="304"/>
      <c r="R97" s="312"/>
      <c r="S97" s="313"/>
      <c r="T97" s="65"/>
      <c r="U97" s="65"/>
      <c r="V97" s="65"/>
      <c r="W97" s="65"/>
      <c r="X97" s="65"/>
      <c r="Y97" s="65"/>
      <c r="Z97" s="65"/>
    </row>
    <row r="98" spans="1:26" ht="15.75" customHeight="1">
      <c r="A98" s="304">
        <v>19</v>
      </c>
      <c r="B98" s="126" t="s">
        <v>1076</v>
      </c>
      <c r="C98" s="126" t="s">
        <v>1077</v>
      </c>
      <c r="D98" s="203" t="s">
        <v>738</v>
      </c>
      <c r="E98" s="338" t="s">
        <v>1066</v>
      </c>
      <c r="F98" s="339" t="s">
        <v>1067</v>
      </c>
      <c r="G98" s="340" t="s">
        <v>1059</v>
      </c>
      <c r="H98" s="340" t="s">
        <v>1060</v>
      </c>
      <c r="I98" s="340" t="s">
        <v>753</v>
      </c>
      <c r="J98" s="341" t="s">
        <v>1061</v>
      </c>
      <c r="K98" s="304"/>
      <c r="L98" s="315"/>
      <c r="M98" s="312"/>
      <c r="N98" s="312"/>
      <c r="O98" s="312"/>
      <c r="P98" s="313"/>
      <c r="Q98" s="304"/>
      <c r="R98" s="312"/>
      <c r="S98" s="313"/>
      <c r="T98" s="65"/>
      <c r="U98" s="65"/>
      <c r="V98" s="65"/>
      <c r="W98" s="65"/>
      <c r="X98" s="65"/>
      <c r="Y98" s="65"/>
      <c r="Z98" s="65"/>
    </row>
    <row r="99" spans="1:26" ht="15.75" customHeight="1">
      <c r="A99" s="304">
        <v>20</v>
      </c>
      <c r="B99" s="126" t="s">
        <v>1078</v>
      </c>
      <c r="C99" s="126" t="s">
        <v>1079</v>
      </c>
      <c r="D99" s="203" t="s">
        <v>738</v>
      </c>
      <c r="E99" s="338">
        <v>44563</v>
      </c>
      <c r="F99" s="339">
        <v>44567</v>
      </c>
      <c r="G99" s="340" t="s">
        <v>1059</v>
      </c>
      <c r="H99" s="340" t="s">
        <v>1060</v>
      </c>
      <c r="I99" s="340" t="s">
        <v>753</v>
      </c>
      <c r="J99" s="341" t="s">
        <v>1061</v>
      </c>
      <c r="K99" s="304"/>
      <c r="L99" s="315"/>
      <c r="M99" s="312"/>
      <c r="N99" s="312"/>
      <c r="O99" s="312"/>
      <c r="P99" s="313"/>
      <c r="Q99" s="304"/>
      <c r="R99" s="312"/>
      <c r="S99" s="313"/>
      <c r="T99" s="65"/>
      <c r="U99" s="65"/>
      <c r="V99" s="65"/>
      <c r="W99" s="65"/>
      <c r="X99" s="65"/>
      <c r="Y99" s="65"/>
      <c r="Z99" s="65"/>
    </row>
    <row r="100" spans="1:26" ht="15.75" customHeight="1">
      <c r="A100" s="304">
        <v>21</v>
      </c>
      <c r="B100" s="126" t="s">
        <v>1080</v>
      </c>
      <c r="C100" s="126" t="s">
        <v>1081</v>
      </c>
      <c r="D100" s="203" t="s">
        <v>738</v>
      </c>
      <c r="E100" s="338">
        <v>44682</v>
      </c>
      <c r="F100" s="339">
        <v>44686</v>
      </c>
      <c r="G100" s="340" t="s">
        <v>1059</v>
      </c>
      <c r="H100" s="340" t="s">
        <v>1060</v>
      </c>
      <c r="I100" s="340" t="s">
        <v>753</v>
      </c>
      <c r="J100" s="341" t="s">
        <v>1061</v>
      </c>
      <c r="K100" s="304"/>
      <c r="L100" s="315"/>
      <c r="M100" s="312"/>
      <c r="N100" s="312"/>
      <c r="O100" s="312"/>
      <c r="P100" s="313"/>
      <c r="Q100" s="304"/>
      <c r="R100" s="312"/>
      <c r="S100" s="313"/>
      <c r="T100" s="65"/>
      <c r="U100" s="65"/>
      <c r="V100" s="65"/>
      <c r="W100" s="65"/>
      <c r="X100" s="65"/>
      <c r="Y100" s="65"/>
      <c r="Z100" s="65"/>
    </row>
    <row r="101" spans="1:26" ht="15.75" customHeight="1">
      <c r="A101" s="304">
        <v>22</v>
      </c>
      <c r="B101" s="126" t="s">
        <v>1082</v>
      </c>
      <c r="C101" s="126" t="s">
        <v>1083</v>
      </c>
      <c r="D101" s="203" t="s">
        <v>738</v>
      </c>
      <c r="E101" s="338">
        <v>44563</v>
      </c>
      <c r="F101" s="339">
        <v>44567</v>
      </c>
      <c r="G101" s="340" t="s">
        <v>1059</v>
      </c>
      <c r="H101" s="340" t="s">
        <v>1060</v>
      </c>
      <c r="I101" s="340" t="s">
        <v>753</v>
      </c>
      <c r="J101" s="341" t="s">
        <v>1061</v>
      </c>
      <c r="K101" s="304"/>
      <c r="L101" s="315"/>
      <c r="M101" s="312"/>
      <c r="N101" s="312"/>
      <c r="O101" s="312"/>
      <c r="P101" s="313"/>
      <c r="Q101" s="304"/>
      <c r="R101" s="312"/>
      <c r="S101" s="313"/>
      <c r="T101" s="65"/>
      <c r="U101" s="65"/>
      <c r="V101" s="65"/>
      <c r="W101" s="65"/>
      <c r="X101" s="65"/>
      <c r="Y101" s="65"/>
      <c r="Z101" s="65"/>
    </row>
    <row r="102" spans="1:26" ht="15.75" customHeight="1">
      <c r="A102" s="304">
        <v>23</v>
      </c>
      <c r="B102" s="126" t="s">
        <v>1084</v>
      </c>
      <c r="C102" s="126" t="s">
        <v>1085</v>
      </c>
      <c r="D102" s="203" t="s">
        <v>738</v>
      </c>
      <c r="E102" s="338">
        <v>44563</v>
      </c>
      <c r="F102" s="339">
        <v>44567</v>
      </c>
      <c r="G102" s="340" t="s">
        <v>1059</v>
      </c>
      <c r="H102" s="340" t="s">
        <v>1060</v>
      </c>
      <c r="I102" s="340" t="s">
        <v>753</v>
      </c>
      <c r="J102" s="341" t="s">
        <v>1061</v>
      </c>
      <c r="K102" s="304"/>
      <c r="L102" s="315"/>
      <c r="M102" s="312"/>
      <c r="N102" s="312"/>
      <c r="O102" s="312"/>
      <c r="P102" s="313"/>
      <c r="Q102" s="304"/>
      <c r="R102" s="312"/>
      <c r="S102" s="313"/>
      <c r="T102" s="65"/>
      <c r="U102" s="65"/>
      <c r="V102" s="65"/>
      <c r="W102" s="65"/>
      <c r="X102" s="65"/>
      <c r="Y102" s="65"/>
      <c r="Z102" s="65"/>
    </row>
    <row r="103" spans="1:26" ht="15.75" customHeight="1">
      <c r="A103" s="304">
        <v>24</v>
      </c>
      <c r="B103" s="126" t="s">
        <v>1086</v>
      </c>
      <c r="C103" s="285" t="s">
        <v>1087</v>
      </c>
      <c r="D103" s="203" t="s">
        <v>738</v>
      </c>
      <c r="E103" s="338" t="s">
        <v>1088</v>
      </c>
      <c r="F103" s="339" t="s">
        <v>1089</v>
      </c>
      <c r="G103" s="340" t="s">
        <v>1059</v>
      </c>
      <c r="H103" s="340" t="s">
        <v>1060</v>
      </c>
      <c r="I103" s="340" t="s">
        <v>753</v>
      </c>
      <c r="J103" s="341" t="s">
        <v>1061</v>
      </c>
      <c r="K103" s="304"/>
      <c r="L103" s="315"/>
      <c r="M103" s="312"/>
      <c r="N103" s="312"/>
      <c r="O103" s="312"/>
      <c r="P103" s="313"/>
      <c r="Q103" s="304"/>
      <c r="R103" s="312"/>
      <c r="S103" s="313"/>
      <c r="T103" s="65"/>
      <c r="U103" s="65"/>
      <c r="V103" s="65"/>
      <c r="W103" s="65"/>
      <c r="X103" s="65"/>
      <c r="Y103" s="65"/>
      <c r="Z103" s="65"/>
    </row>
    <row r="104" spans="1:26" ht="15.75" customHeight="1">
      <c r="A104" s="304">
        <v>25</v>
      </c>
      <c r="B104" s="126" t="s">
        <v>1090</v>
      </c>
      <c r="C104" s="126" t="s">
        <v>1091</v>
      </c>
      <c r="D104" s="203" t="s">
        <v>738</v>
      </c>
      <c r="E104" s="338">
        <v>44682</v>
      </c>
      <c r="F104" s="339">
        <v>44686</v>
      </c>
      <c r="G104" s="340" t="s">
        <v>1059</v>
      </c>
      <c r="H104" s="340" t="s">
        <v>1060</v>
      </c>
      <c r="I104" s="340" t="s">
        <v>753</v>
      </c>
      <c r="J104" s="341" t="s">
        <v>1061</v>
      </c>
      <c r="K104" s="304"/>
      <c r="L104" s="315"/>
      <c r="M104" s="312"/>
      <c r="N104" s="312"/>
      <c r="O104" s="312"/>
      <c r="P104" s="313"/>
      <c r="Q104" s="304"/>
      <c r="R104" s="312"/>
      <c r="S104" s="313"/>
      <c r="T104" s="65"/>
      <c r="U104" s="65"/>
      <c r="V104" s="65"/>
      <c r="W104" s="65"/>
      <c r="X104" s="65"/>
      <c r="Y104" s="65"/>
      <c r="Z104" s="65"/>
    </row>
    <row r="105" spans="1:26" ht="15.75" customHeight="1">
      <c r="A105" s="304">
        <v>26</v>
      </c>
      <c r="B105" s="126" t="s">
        <v>1092</v>
      </c>
      <c r="C105" s="126" t="s">
        <v>1093</v>
      </c>
      <c r="D105" s="203" t="s">
        <v>738</v>
      </c>
      <c r="E105" s="338">
        <v>44563</v>
      </c>
      <c r="F105" s="339">
        <v>44567</v>
      </c>
      <c r="G105" s="340" t="s">
        <v>1059</v>
      </c>
      <c r="H105" s="340" t="s">
        <v>1060</v>
      </c>
      <c r="I105" s="340" t="s">
        <v>753</v>
      </c>
      <c r="J105" s="341" t="s">
        <v>1061</v>
      </c>
      <c r="K105" s="304"/>
      <c r="L105" s="315"/>
      <c r="M105" s="312"/>
      <c r="N105" s="312"/>
      <c r="O105" s="312"/>
      <c r="P105" s="313"/>
      <c r="Q105" s="304"/>
      <c r="R105" s="312"/>
      <c r="S105" s="313"/>
      <c r="T105" s="65"/>
      <c r="U105" s="65"/>
      <c r="V105" s="65"/>
      <c r="W105" s="65"/>
      <c r="X105" s="65"/>
      <c r="Y105" s="65"/>
      <c r="Z105" s="65"/>
    </row>
    <row r="106" spans="1:26" ht="15.75" customHeight="1">
      <c r="A106" s="304">
        <v>27</v>
      </c>
      <c r="B106" s="126" t="s">
        <v>1094</v>
      </c>
      <c r="C106" s="285" t="s">
        <v>1095</v>
      </c>
      <c r="D106" s="203" t="s">
        <v>738</v>
      </c>
      <c r="E106" s="338" t="s">
        <v>1088</v>
      </c>
      <c r="F106" s="339" t="s">
        <v>1089</v>
      </c>
      <c r="G106" s="340" t="s">
        <v>1059</v>
      </c>
      <c r="H106" s="340" t="s">
        <v>1060</v>
      </c>
      <c r="I106" s="340" t="s">
        <v>753</v>
      </c>
      <c r="J106" s="341" t="s">
        <v>1061</v>
      </c>
      <c r="K106" s="304"/>
      <c r="L106" s="315"/>
      <c r="M106" s="312"/>
      <c r="N106" s="312"/>
      <c r="O106" s="312"/>
      <c r="P106" s="313"/>
      <c r="Q106" s="304"/>
      <c r="R106" s="312"/>
      <c r="S106" s="313"/>
      <c r="T106" s="65"/>
      <c r="U106" s="65"/>
      <c r="V106" s="65"/>
      <c r="W106" s="65"/>
      <c r="X106" s="65"/>
      <c r="Y106" s="65"/>
      <c r="Z106" s="65"/>
    </row>
    <row r="107" spans="1:26" ht="15.75" customHeight="1">
      <c r="A107" s="304">
        <v>28</v>
      </c>
      <c r="B107" s="126" t="s">
        <v>1096</v>
      </c>
      <c r="C107" s="285" t="s">
        <v>1097</v>
      </c>
      <c r="D107" s="203" t="s">
        <v>738</v>
      </c>
      <c r="E107" s="338">
        <v>44682</v>
      </c>
      <c r="F107" s="339">
        <v>44686</v>
      </c>
      <c r="G107" s="340" t="s">
        <v>1059</v>
      </c>
      <c r="H107" s="340" t="s">
        <v>1060</v>
      </c>
      <c r="I107" s="340" t="s">
        <v>753</v>
      </c>
      <c r="J107" s="341" t="s">
        <v>1061</v>
      </c>
      <c r="K107" s="304"/>
      <c r="L107" s="315"/>
      <c r="M107" s="312"/>
      <c r="N107" s="312"/>
      <c r="O107" s="312"/>
      <c r="P107" s="313"/>
      <c r="Q107" s="304"/>
      <c r="R107" s="312"/>
      <c r="S107" s="313"/>
      <c r="T107" s="65"/>
      <c r="U107" s="65"/>
      <c r="V107" s="65"/>
      <c r="W107" s="65"/>
      <c r="X107" s="65"/>
      <c r="Y107" s="65"/>
      <c r="Z107" s="65"/>
    </row>
    <row r="108" spans="1:26" ht="15.75" customHeight="1">
      <c r="A108" s="304">
        <v>29</v>
      </c>
      <c r="B108" s="126" t="s">
        <v>1098</v>
      </c>
      <c r="C108" s="285" t="s">
        <v>1099</v>
      </c>
      <c r="D108" s="203" t="s">
        <v>738</v>
      </c>
      <c r="E108" s="338">
        <v>44682</v>
      </c>
      <c r="F108" s="339">
        <v>44686</v>
      </c>
      <c r="G108" s="340" t="s">
        <v>1059</v>
      </c>
      <c r="H108" s="340" t="s">
        <v>1060</v>
      </c>
      <c r="I108" s="340" t="s">
        <v>753</v>
      </c>
      <c r="J108" s="341" t="s">
        <v>1061</v>
      </c>
      <c r="K108" s="304"/>
      <c r="L108" s="315"/>
      <c r="M108" s="312"/>
      <c r="N108" s="312"/>
      <c r="O108" s="312"/>
      <c r="P108" s="313"/>
      <c r="Q108" s="304"/>
      <c r="R108" s="312"/>
      <c r="S108" s="313"/>
      <c r="T108" s="65"/>
      <c r="U108" s="65"/>
      <c r="V108" s="65"/>
      <c r="W108" s="65"/>
      <c r="X108" s="65"/>
      <c r="Y108" s="65"/>
      <c r="Z108" s="65"/>
    </row>
    <row r="109" spans="1:26" ht="15.75" customHeight="1">
      <c r="A109" s="304">
        <v>30</v>
      </c>
      <c r="B109" s="126" t="s">
        <v>1100</v>
      </c>
      <c r="C109" s="126" t="s">
        <v>1101</v>
      </c>
      <c r="D109" s="203" t="s">
        <v>738</v>
      </c>
      <c r="E109" s="338">
        <v>44682</v>
      </c>
      <c r="F109" s="339">
        <v>44686</v>
      </c>
      <c r="G109" s="340" t="s">
        <v>1059</v>
      </c>
      <c r="H109" s="340" t="s">
        <v>1060</v>
      </c>
      <c r="I109" s="340" t="s">
        <v>753</v>
      </c>
      <c r="J109" s="341" t="s">
        <v>1061</v>
      </c>
      <c r="K109" s="304"/>
      <c r="L109" s="315"/>
      <c r="M109" s="312"/>
      <c r="N109" s="312"/>
      <c r="O109" s="312"/>
      <c r="P109" s="313"/>
      <c r="Q109" s="304"/>
      <c r="R109" s="312"/>
      <c r="S109" s="313"/>
      <c r="T109" s="65"/>
      <c r="U109" s="65"/>
      <c r="V109" s="65"/>
      <c r="W109" s="65"/>
      <c r="X109" s="65"/>
      <c r="Y109" s="65"/>
      <c r="Z109" s="65"/>
    </row>
    <row r="110" spans="1:26" ht="15.75" customHeight="1">
      <c r="A110" s="304">
        <v>31</v>
      </c>
      <c r="B110" s="126" t="s">
        <v>1102</v>
      </c>
      <c r="C110" s="285" t="s">
        <v>1103</v>
      </c>
      <c r="D110" s="203" t="s">
        <v>738</v>
      </c>
      <c r="E110" s="338">
        <v>44682</v>
      </c>
      <c r="F110" s="339">
        <v>44686</v>
      </c>
      <c r="G110" s="340" t="s">
        <v>1059</v>
      </c>
      <c r="H110" s="340" t="s">
        <v>1060</v>
      </c>
      <c r="I110" s="340" t="s">
        <v>753</v>
      </c>
      <c r="J110" s="341" t="s">
        <v>1061</v>
      </c>
      <c r="K110" s="304"/>
      <c r="L110" s="315"/>
      <c r="M110" s="312"/>
      <c r="N110" s="312"/>
      <c r="O110" s="312"/>
      <c r="P110" s="313"/>
      <c r="Q110" s="304"/>
      <c r="R110" s="312"/>
      <c r="S110" s="313"/>
      <c r="T110" s="65"/>
      <c r="U110" s="65"/>
      <c r="V110" s="65"/>
      <c r="W110" s="65"/>
      <c r="X110" s="65"/>
      <c r="Y110" s="65"/>
      <c r="Z110" s="65"/>
    </row>
    <row r="111" spans="1:26" ht="15.75" customHeight="1">
      <c r="A111" s="304">
        <v>32</v>
      </c>
      <c r="B111" s="126" t="s">
        <v>1104</v>
      </c>
      <c r="C111" s="285" t="s">
        <v>1105</v>
      </c>
      <c r="D111" s="203" t="s">
        <v>738</v>
      </c>
      <c r="E111" s="338">
        <v>44563</v>
      </c>
      <c r="F111" s="339">
        <v>44567</v>
      </c>
      <c r="G111" s="340" t="s">
        <v>1059</v>
      </c>
      <c r="H111" s="340" t="s">
        <v>1060</v>
      </c>
      <c r="I111" s="340" t="s">
        <v>753</v>
      </c>
      <c r="J111" s="341" t="s">
        <v>1061</v>
      </c>
      <c r="K111" s="304"/>
      <c r="L111" s="315"/>
      <c r="M111" s="312"/>
      <c r="N111" s="312"/>
      <c r="O111" s="312"/>
      <c r="P111" s="313"/>
      <c r="Q111" s="304"/>
      <c r="R111" s="312"/>
      <c r="S111" s="313"/>
      <c r="T111" s="65"/>
      <c r="U111" s="65"/>
      <c r="V111" s="65"/>
      <c r="W111" s="65"/>
      <c r="X111" s="65"/>
      <c r="Y111" s="65"/>
      <c r="Z111" s="65"/>
    </row>
    <row r="112" spans="1:26" ht="15.75" customHeight="1">
      <c r="A112" s="304">
        <v>33</v>
      </c>
      <c r="B112" s="126" t="s">
        <v>1106</v>
      </c>
      <c r="C112" s="126" t="s">
        <v>1107</v>
      </c>
      <c r="D112" s="203" t="s">
        <v>738</v>
      </c>
      <c r="E112" s="338">
        <v>44682</v>
      </c>
      <c r="F112" s="339">
        <v>44686</v>
      </c>
      <c r="G112" s="340" t="s">
        <v>1059</v>
      </c>
      <c r="H112" s="340" t="s">
        <v>1060</v>
      </c>
      <c r="I112" s="340" t="s">
        <v>753</v>
      </c>
      <c r="J112" s="341" t="s">
        <v>1061</v>
      </c>
      <c r="K112" s="304"/>
      <c r="L112" s="315"/>
      <c r="M112" s="312"/>
      <c r="N112" s="312"/>
      <c r="O112" s="312"/>
      <c r="P112" s="313"/>
      <c r="Q112" s="304"/>
      <c r="R112" s="312"/>
      <c r="S112" s="313"/>
      <c r="T112" s="65"/>
      <c r="U112" s="65"/>
      <c r="V112" s="65"/>
      <c r="W112" s="65"/>
      <c r="X112" s="65"/>
      <c r="Y112" s="65"/>
      <c r="Z112" s="65"/>
    </row>
    <row r="113" spans="1:26" ht="15.75" customHeight="1">
      <c r="A113" s="304">
        <v>34</v>
      </c>
      <c r="B113" s="126" t="s">
        <v>1108</v>
      </c>
      <c r="C113" s="126" t="s">
        <v>1109</v>
      </c>
      <c r="D113" s="203" t="s">
        <v>738</v>
      </c>
      <c r="E113" s="338">
        <v>44682</v>
      </c>
      <c r="F113" s="339">
        <v>44686</v>
      </c>
      <c r="G113" s="340" t="s">
        <v>1059</v>
      </c>
      <c r="H113" s="340" t="s">
        <v>1060</v>
      </c>
      <c r="I113" s="340" t="s">
        <v>753</v>
      </c>
      <c r="J113" s="341" t="s">
        <v>1061</v>
      </c>
      <c r="K113" s="304"/>
      <c r="L113" s="315"/>
      <c r="M113" s="312"/>
      <c r="N113" s="312"/>
      <c r="O113" s="312"/>
      <c r="P113" s="313"/>
      <c r="Q113" s="304"/>
      <c r="R113" s="312"/>
      <c r="S113" s="313"/>
      <c r="T113" s="65"/>
      <c r="U113" s="65"/>
      <c r="V113" s="65"/>
      <c r="W113" s="65"/>
      <c r="X113" s="65"/>
      <c r="Y113" s="65"/>
      <c r="Z113" s="65"/>
    </row>
    <row r="114" spans="1:26" ht="15.75" customHeight="1">
      <c r="A114" s="304">
        <v>35</v>
      </c>
      <c r="B114" s="126" t="s">
        <v>1110</v>
      </c>
      <c r="C114" s="285" t="s">
        <v>1111</v>
      </c>
      <c r="D114" s="203" t="s">
        <v>738</v>
      </c>
      <c r="E114" s="338">
        <v>44682</v>
      </c>
      <c r="F114" s="339">
        <v>44686</v>
      </c>
      <c r="G114" s="340" t="s">
        <v>1059</v>
      </c>
      <c r="H114" s="340" t="s">
        <v>1060</v>
      </c>
      <c r="I114" s="340" t="s">
        <v>753</v>
      </c>
      <c r="J114" s="341" t="s">
        <v>1061</v>
      </c>
      <c r="K114" s="304"/>
      <c r="L114" s="315"/>
      <c r="M114" s="312"/>
      <c r="N114" s="312"/>
      <c r="O114" s="312"/>
      <c r="P114" s="313"/>
      <c r="Q114" s="304"/>
      <c r="R114" s="312"/>
      <c r="S114" s="313"/>
      <c r="T114" s="65"/>
      <c r="U114" s="65"/>
      <c r="V114" s="65"/>
      <c r="W114" s="65"/>
      <c r="X114" s="65"/>
      <c r="Y114" s="65"/>
      <c r="Z114" s="65"/>
    </row>
    <row r="115" spans="1:26" ht="15.75" customHeight="1">
      <c r="A115" s="304">
        <v>36</v>
      </c>
      <c r="B115" s="126" t="s">
        <v>1112</v>
      </c>
      <c r="C115" s="285" t="s">
        <v>1113</v>
      </c>
      <c r="D115" s="203" t="s">
        <v>738</v>
      </c>
      <c r="E115" s="338">
        <v>44682</v>
      </c>
      <c r="F115" s="339">
        <v>44686</v>
      </c>
      <c r="G115" s="340" t="s">
        <v>1059</v>
      </c>
      <c r="H115" s="340" t="s">
        <v>1060</v>
      </c>
      <c r="I115" s="340" t="s">
        <v>753</v>
      </c>
      <c r="J115" s="341" t="s">
        <v>1061</v>
      </c>
      <c r="K115" s="304"/>
      <c r="L115" s="315"/>
      <c r="M115" s="312"/>
      <c r="N115" s="312"/>
      <c r="O115" s="312"/>
      <c r="P115" s="313"/>
      <c r="Q115" s="304"/>
      <c r="R115" s="312"/>
      <c r="S115" s="313"/>
      <c r="T115" s="65"/>
      <c r="U115" s="65"/>
      <c r="V115" s="65"/>
      <c r="W115" s="65"/>
      <c r="X115" s="65"/>
      <c r="Y115" s="65"/>
      <c r="Z115" s="65"/>
    </row>
    <row r="116" spans="1:26" ht="15.75" customHeight="1">
      <c r="A116" s="304">
        <v>37</v>
      </c>
      <c r="B116" s="126" t="s">
        <v>1114</v>
      </c>
      <c r="C116" s="285" t="s">
        <v>967</v>
      </c>
      <c r="D116" s="203" t="s">
        <v>738</v>
      </c>
      <c r="E116" s="338" t="s">
        <v>1115</v>
      </c>
      <c r="F116" s="339" t="s">
        <v>1116</v>
      </c>
      <c r="G116" s="340" t="s">
        <v>1117</v>
      </c>
      <c r="H116" s="340" t="s">
        <v>1118</v>
      </c>
      <c r="I116" s="340" t="s">
        <v>757</v>
      </c>
      <c r="J116" s="341" t="s">
        <v>1119</v>
      </c>
      <c r="K116" s="304"/>
      <c r="L116" s="315"/>
      <c r="M116" s="312"/>
      <c r="N116" s="312"/>
      <c r="O116" s="312"/>
      <c r="P116" s="313"/>
      <c r="Q116" s="304"/>
      <c r="R116" s="312"/>
      <c r="S116" s="313"/>
      <c r="T116" s="65"/>
      <c r="U116" s="65"/>
      <c r="V116" s="65"/>
      <c r="W116" s="65"/>
      <c r="X116" s="65"/>
      <c r="Y116" s="65"/>
      <c r="Z116" s="65"/>
    </row>
    <row r="117" spans="1:26" ht="15.75" customHeight="1">
      <c r="A117" s="304">
        <v>38</v>
      </c>
      <c r="B117" s="126" t="s">
        <v>1120</v>
      </c>
      <c r="C117" s="126" t="s">
        <v>1121</v>
      </c>
      <c r="D117" s="203" t="s">
        <v>738</v>
      </c>
      <c r="E117" s="338">
        <v>44564</v>
      </c>
      <c r="F117" s="339">
        <v>44570</v>
      </c>
      <c r="G117" s="340" t="s">
        <v>1122</v>
      </c>
      <c r="H117" s="340" t="s">
        <v>1123</v>
      </c>
      <c r="I117" s="340" t="s">
        <v>757</v>
      </c>
      <c r="J117" s="341" t="s">
        <v>1124</v>
      </c>
      <c r="K117" s="304"/>
      <c r="L117" s="315"/>
      <c r="M117" s="312"/>
      <c r="N117" s="312"/>
      <c r="O117" s="312"/>
      <c r="P117" s="313"/>
      <c r="Q117" s="304"/>
      <c r="R117" s="312"/>
      <c r="S117" s="313"/>
      <c r="T117" s="65"/>
      <c r="U117" s="65"/>
      <c r="V117" s="65"/>
      <c r="W117" s="65"/>
      <c r="X117" s="65"/>
      <c r="Y117" s="65"/>
      <c r="Z117" s="65"/>
    </row>
    <row r="118" spans="1:26" ht="15.75" customHeight="1">
      <c r="A118" s="304">
        <v>39</v>
      </c>
      <c r="B118" s="126" t="s">
        <v>1125</v>
      </c>
      <c r="C118" s="126" t="s">
        <v>1126</v>
      </c>
      <c r="D118" s="203" t="s">
        <v>738</v>
      </c>
      <c r="E118" s="338" t="s">
        <v>1127</v>
      </c>
      <c r="F118" s="339" t="s">
        <v>1128</v>
      </c>
      <c r="G118" s="340" t="s">
        <v>1129</v>
      </c>
      <c r="H118" s="340" t="s">
        <v>1130</v>
      </c>
      <c r="I118" s="340" t="s">
        <v>753</v>
      </c>
      <c r="J118" s="341" t="s">
        <v>1131</v>
      </c>
      <c r="K118" s="304"/>
      <c r="L118" s="315"/>
      <c r="M118" s="312"/>
      <c r="N118" s="312"/>
      <c r="O118" s="312"/>
      <c r="P118" s="313"/>
      <c r="Q118" s="304"/>
      <c r="R118" s="312"/>
      <c r="S118" s="313"/>
      <c r="T118" s="65"/>
      <c r="U118" s="65"/>
      <c r="V118" s="65"/>
      <c r="W118" s="65"/>
      <c r="X118" s="65"/>
      <c r="Y118" s="65"/>
      <c r="Z118" s="65"/>
    </row>
    <row r="119" spans="1:26" ht="15.75" customHeight="1">
      <c r="A119" s="304">
        <v>40</v>
      </c>
      <c r="B119" s="126" t="s">
        <v>1132</v>
      </c>
      <c r="C119" s="126" t="s">
        <v>1133</v>
      </c>
      <c r="D119" s="203" t="s">
        <v>738</v>
      </c>
      <c r="E119" s="338">
        <v>44568</v>
      </c>
      <c r="F119" s="339">
        <v>44571</v>
      </c>
      <c r="G119" s="340" t="s">
        <v>1134</v>
      </c>
      <c r="H119" s="340" t="s">
        <v>1135</v>
      </c>
      <c r="I119" s="340" t="s">
        <v>749</v>
      </c>
      <c r="J119" s="341" t="s">
        <v>1136</v>
      </c>
      <c r="K119" s="304"/>
      <c r="L119" s="315"/>
      <c r="M119" s="312"/>
      <c r="N119" s="312"/>
      <c r="O119" s="312"/>
      <c r="P119" s="313"/>
      <c r="Q119" s="304"/>
      <c r="R119" s="312"/>
      <c r="S119" s="313"/>
      <c r="T119" s="65"/>
      <c r="U119" s="65"/>
      <c r="V119" s="65"/>
      <c r="W119" s="65"/>
      <c r="X119" s="65"/>
      <c r="Y119" s="65"/>
      <c r="Z119" s="65"/>
    </row>
    <row r="120" spans="1:26" ht="15.75" customHeight="1">
      <c r="A120" s="304">
        <v>41</v>
      </c>
      <c r="B120" s="126" t="s">
        <v>1137</v>
      </c>
      <c r="C120" s="126" t="s">
        <v>1138</v>
      </c>
      <c r="D120" s="203" t="s">
        <v>738</v>
      </c>
      <c r="E120" s="338" t="s">
        <v>1139</v>
      </c>
      <c r="F120" s="339" t="s">
        <v>1128</v>
      </c>
      <c r="G120" s="340" t="s">
        <v>1134</v>
      </c>
      <c r="H120" s="340" t="s">
        <v>1135</v>
      </c>
      <c r="I120" s="340" t="s">
        <v>749</v>
      </c>
      <c r="J120" s="341" t="s">
        <v>1136</v>
      </c>
      <c r="K120" s="304"/>
      <c r="L120" s="315"/>
      <c r="M120" s="312"/>
      <c r="N120" s="312"/>
      <c r="O120" s="312"/>
      <c r="P120" s="313"/>
      <c r="Q120" s="304"/>
      <c r="R120" s="312"/>
      <c r="S120" s="313"/>
      <c r="T120" s="65"/>
      <c r="U120" s="65"/>
      <c r="V120" s="65"/>
      <c r="W120" s="65"/>
      <c r="X120" s="65"/>
      <c r="Y120" s="65"/>
      <c r="Z120" s="65"/>
    </row>
    <row r="121" spans="1:26" ht="15.75" customHeight="1">
      <c r="A121" s="304">
        <v>42</v>
      </c>
      <c r="B121" s="126" t="s">
        <v>1140</v>
      </c>
      <c r="C121" s="285" t="s">
        <v>1141</v>
      </c>
      <c r="D121" s="203" t="s">
        <v>738</v>
      </c>
      <c r="E121" s="338" t="s">
        <v>1142</v>
      </c>
      <c r="F121" s="339" t="s">
        <v>1143</v>
      </c>
      <c r="G121" s="340" t="s">
        <v>1144</v>
      </c>
      <c r="H121" s="340" t="s">
        <v>1145</v>
      </c>
      <c r="I121" s="340" t="s">
        <v>757</v>
      </c>
      <c r="J121" s="341" t="s">
        <v>1146</v>
      </c>
      <c r="K121" s="304"/>
      <c r="L121" s="315"/>
      <c r="M121" s="312"/>
      <c r="N121" s="312"/>
      <c r="O121" s="312"/>
      <c r="P121" s="313"/>
      <c r="Q121" s="304"/>
      <c r="R121" s="312"/>
      <c r="S121" s="313"/>
      <c r="T121" s="65"/>
      <c r="U121" s="65"/>
      <c r="V121" s="65"/>
      <c r="W121" s="65"/>
      <c r="X121" s="65"/>
      <c r="Y121" s="65"/>
      <c r="Z121" s="65"/>
    </row>
    <row r="122" spans="1:26" ht="15.75" customHeight="1">
      <c r="A122" s="304">
        <v>43</v>
      </c>
      <c r="B122" s="126" t="s">
        <v>1147</v>
      </c>
      <c r="C122" s="285" t="s">
        <v>1148</v>
      </c>
      <c r="D122" s="203" t="s">
        <v>738</v>
      </c>
      <c r="E122" s="338">
        <v>44566</v>
      </c>
      <c r="F122" s="339">
        <v>44572</v>
      </c>
      <c r="G122" s="340" t="s">
        <v>1149</v>
      </c>
      <c r="H122" s="340" t="s">
        <v>969</v>
      </c>
      <c r="I122" s="340" t="s">
        <v>757</v>
      </c>
      <c r="J122" s="341" t="s">
        <v>1150</v>
      </c>
      <c r="K122" s="304"/>
      <c r="L122" s="315"/>
      <c r="M122" s="312"/>
      <c r="N122" s="312"/>
      <c r="O122" s="312"/>
      <c r="P122" s="313"/>
      <c r="Q122" s="304"/>
      <c r="R122" s="312"/>
      <c r="S122" s="313"/>
      <c r="T122" s="65"/>
      <c r="U122" s="65"/>
      <c r="V122" s="65"/>
      <c r="W122" s="65"/>
      <c r="X122" s="65"/>
      <c r="Y122" s="65"/>
      <c r="Z122" s="65"/>
    </row>
    <row r="123" spans="1:26" ht="15.75" customHeight="1">
      <c r="A123" s="304">
        <v>44</v>
      </c>
      <c r="B123" s="126" t="s">
        <v>1151</v>
      </c>
      <c r="C123" s="285" t="s">
        <v>967</v>
      </c>
      <c r="D123" s="203" t="s">
        <v>738</v>
      </c>
      <c r="E123" s="338">
        <v>44568</v>
      </c>
      <c r="F123" s="339">
        <v>44573</v>
      </c>
      <c r="G123" s="340" t="s">
        <v>1149</v>
      </c>
      <c r="H123" s="340" t="s">
        <v>969</v>
      </c>
      <c r="I123" s="340" t="s">
        <v>757</v>
      </c>
      <c r="J123" s="341" t="s">
        <v>1150</v>
      </c>
      <c r="K123" s="304"/>
      <c r="L123" s="315"/>
      <c r="M123" s="312"/>
      <c r="N123" s="312"/>
      <c r="O123" s="312"/>
      <c r="P123" s="313"/>
      <c r="Q123" s="304"/>
      <c r="R123" s="312"/>
      <c r="S123" s="313"/>
      <c r="T123" s="65"/>
      <c r="U123" s="65"/>
      <c r="V123" s="65"/>
      <c r="W123" s="65"/>
      <c r="X123" s="65"/>
      <c r="Y123" s="65"/>
      <c r="Z123" s="65"/>
    </row>
    <row r="124" spans="1:26" ht="15.75" customHeight="1">
      <c r="A124" s="304">
        <v>45</v>
      </c>
      <c r="B124" s="126" t="s">
        <v>1152</v>
      </c>
      <c r="C124" s="285" t="s">
        <v>1153</v>
      </c>
      <c r="D124" s="203" t="s">
        <v>738</v>
      </c>
      <c r="E124" s="338" t="s">
        <v>1127</v>
      </c>
      <c r="F124" s="339" t="s">
        <v>1143</v>
      </c>
      <c r="G124" s="340" t="s">
        <v>1154</v>
      </c>
      <c r="H124" s="340" t="s">
        <v>1155</v>
      </c>
      <c r="I124" s="340" t="s">
        <v>753</v>
      </c>
      <c r="J124" s="341" t="s">
        <v>1156</v>
      </c>
      <c r="K124" s="304"/>
      <c r="L124" s="315"/>
      <c r="M124" s="312"/>
      <c r="N124" s="312"/>
      <c r="O124" s="312"/>
      <c r="P124" s="313"/>
      <c r="Q124" s="304"/>
      <c r="R124" s="312"/>
      <c r="S124" s="313"/>
      <c r="T124" s="65"/>
      <c r="U124" s="65"/>
      <c r="V124" s="65"/>
      <c r="W124" s="65"/>
      <c r="X124" s="65"/>
      <c r="Y124" s="65"/>
      <c r="Z124" s="65"/>
    </row>
    <row r="125" spans="1:26" ht="15.75" customHeight="1">
      <c r="A125" s="304">
        <v>46</v>
      </c>
      <c r="B125" s="126" t="s">
        <v>1157</v>
      </c>
      <c r="C125" s="126" t="s">
        <v>1158</v>
      </c>
      <c r="D125" s="203" t="s">
        <v>738</v>
      </c>
      <c r="E125" s="342" t="s">
        <v>1116</v>
      </c>
      <c r="F125" s="343" t="s">
        <v>836</v>
      </c>
      <c r="G125" s="340" t="s">
        <v>1154</v>
      </c>
      <c r="H125" s="340" t="s">
        <v>1159</v>
      </c>
      <c r="I125" s="340" t="s">
        <v>753</v>
      </c>
      <c r="J125" s="341" t="s">
        <v>1156</v>
      </c>
      <c r="K125" s="304"/>
      <c r="L125" s="315"/>
      <c r="M125" s="312"/>
      <c r="N125" s="312"/>
      <c r="O125" s="312"/>
      <c r="P125" s="313"/>
      <c r="Q125" s="304"/>
      <c r="R125" s="312"/>
      <c r="S125" s="313"/>
      <c r="T125" s="65"/>
      <c r="U125" s="65"/>
      <c r="V125" s="65"/>
      <c r="W125" s="65"/>
      <c r="X125" s="65"/>
      <c r="Y125" s="65"/>
      <c r="Z125" s="65"/>
    </row>
    <row r="126" spans="1:26" ht="15.75" customHeight="1">
      <c r="A126" s="304">
        <v>47</v>
      </c>
      <c r="B126" s="126" t="s">
        <v>1160</v>
      </c>
      <c r="C126" s="126" t="s">
        <v>1161</v>
      </c>
      <c r="D126" s="203" t="s">
        <v>738</v>
      </c>
      <c r="E126" s="342" t="s">
        <v>1127</v>
      </c>
      <c r="F126" s="343" t="s">
        <v>836</v>
      </c>
      <c r="G126" s="340" t="s">
        <v>1154</v>
      </c>
      <c r="H126" s="340" t="s">
        <v>1159</v>
      </c>
      <c r="I126" s="340" t="s">
        <v>753</v>
      </c>
      <c r="J126" s="341" t="s">
        <v>1156</v>
      </c>
      <c r="K126" s="304"/>
      <c r="L126" s="315"/>
      <c r="M126" s="312"/>
      <c r="N126" s="312"/>
      <c r="O126" s="312"/>
      <c r="P126" s="313"/>
      <c r="Q126" s="304"/>
      <c r="R126" s="312"/>
      <c r="S126" s="313"/>
      <c r="T126" s="65"/>
      <c r="U126" s="65"/>
      <c r="V126" s="65"/>
      <c r="W126" s="65"/>
      <c r="X126" s="65"/>
      <c r="Y126" s="65"/>
      <c r="Z126" s="65"/>
    </row>
    <row r="127" spans="1:26" ht="15.75" customHeight="1">
      <c r="A127" s="304">
        <v>48</v>
      </c>
      <c r="B127" s="126" t="s">
        <v>1162</v>
      </c>
      <c r="C127" s="285" t="s">
        <v>892</v>
      </c>
      <c r="D127" s="203" t="s">
        <v>738</v>
      </c>
      <c r="E127" s="338" t="s">
        <v>848</v>
      </c>
      <c r="F127" s="339" t="s">
        <v>1163</v>
      </c>
      <c r="G127" s="340" t="s">
        <v>1154</v>
      </c>
      <c r="H127" s="340" t="s">
        <v>1159</v>
      </c>
      <c r="I127" s="340" t="s">
        <v>753</v>
      </c>
      <c r="J127" s="341" t="s">
        <v>1156</v>
      </c>
      <c r="K127" s="304"/>
      <c r="L127" s="315"/>
      <c r="M127" s="312"/>
      <c r="N127" s="312"/>
      <c r="O127" s="312"/>
      <c r="P127" s="313"/>
      <c r="Q127" s="304"/>
      <c r="R127" s="312"/>
      <c r="S127" s="313"/>
      <c r="T127" s="65"/>
      <c r="U127" s="65"/>
      <c r="V127" s="65"/>
      <c r="W127" s="65"/>
      <c r="X127" s="65"/>
      <c r="Y127" s="65"/>
      <c r="Z127" s="65"/>
    </row>
    <row r="128" spans="1:26" ht="15.75" customHeight="1">
      <c r="A128" s="304">
        <v>49</v>
      </c>
      <c r="B128" s="126" t="s">
        <v>1164</v>
      </c>
      <c r="C128" s="285" t="s">
        <v>1165</v>
      </c>
      <c r="D128" s="203" t="s">
        <v>738</v>
      </c>
      <c r="E128" s="338">
        <v>44567</v>
      </c>
      <c r="F128" s="339">
        <v>44573</v>
      </c>
      <c r="G128" s="340" t="s">
        <v>1154</v>
      </c>
      <c r="H128" s="340" t="s">
        <v>1159</v>
      </c>
      <c r="I128" s="340" t="s">
        <v>753</v>
      </c>
      <c r="J128" s="341" t="s">
        <v>1156</v>
      </c>
      <c r="K128" s="304"/>
      <c r="L128" s="315"/>
      <c r="M128" s="312"/>
      <c r="N128" s="312"/>
      <c r="O128" s="312"/>
      <c r="P128" s="313"/>
      <c r="Q128" s="304"/>
      <c r="R128" s="312"/>
      <c r="S128" s="313"/>
      <c r="T128" s="65"/>
      <c r="U128" s="65"/>
      <c r="V128" s="65"/>
      <c r="W128" s="65"/>
      <c r="X128" s="65"/>
      <c r="Y128" s="65"/>
      <c r="Z128" s="65"/>
    </row>
    <row r="129" spans="1:26" ht="15.75" customHeight="1">
      <c r="A129" s="304">
        <v>50</v>
      </c>
      <c r="B129" s="126" t="s">
        <v>1166</v>
      </c>
      <c r="C129" s="126" t="s">
        <v>1167</v>
      </c>
      <c r="D129" s="203" t="s">
        <v>738</v>
      </c>
      <c r="E129" s="338">
        <v>44207</v>
      </c>
      <c r="F129" s="339">
        <v>44572</v>
      </c>
      <c r="G129" s="340" t="s">
        <v>1154</v>
      </c>
      <c r="H129" s="340" t="s">
        <v>1159</v>
      </c>
      <c r="I129" s="340" t="s">
        <v>753</v>
      </c>
      <c r="J129" s="341" t="s">
        <v>1156</v>
      </c>
      <c r="K129" s="304"/>
      <c r="L129" s="315"/>
      <c r="M129" s="312"/>
      <c r="N129" s="312"/>
      <c r="O129" s="312"/>
      <c r="P129" s="313"/>
      <c r="Q129" s="304"/>
      <c r="R129" s="312"/>
      <c r="S129" s="313"/>
      <c r="T129" s="65"/>
      <c r="U129" s="65"/>
      <c r="V129" s="65"/>
      <c r="W129" s="65"/>
      <c r="X129" s="65"/>
      <c r="Y129" s="65"/>
      <c r="Z129" s="65"/>
    </row>
    <row r="130" spans="1:26" ht="15.75" customHeight="1">
      <c r="A130" s="304">
        <v>51</v>
      </c>
      <c r="B130" s="126" t="s">
        <v>1168</v>
      </c>
      <c r="C130" s="285" t="s">
        <v>1169</v>
      </c>
      <c r="D130" s="203" t="s">
        <v>738</v>
      </c>
      <c r="E130" s="338">
        <v>44565</v>
      </c>
      <c r="F130" s="344">
        <v>44568</v>
      </c>
      <c r="G130" s="340" t="s">
        <v>1154</v>
      </c>
      <c r="H130" s="340" t="s">
        <v>1159</v>
      </c>
      <c r="I130" s="340" t="s">
        <v>753</v>
      </c>
      <c r="J130" s="341" t="s">
        <v>1156</v>
      </c>
      <c r="K130" s="304"/>
      <c r="L130" s="315"/>
      <c r="M130" s="312"/>
      <c r="N130" s="312"/>
      <c r="O130" s="312"/>
      <c r="P130" s="313"/>
      <c r="Q130" s="304"/>
      <c r="R130" s="312"/>
      <c r="S130" s="313"/>
      <c r="T130" s="65"/>
      <c r="U130" s="65"/>
      <c r="V130" s="65"/>
      <c r="W130" s="65"/>
      <c r="X130" s="65"/>
      <c r="Y130" s="65"/>
      <c r="Z130" s="65"/>
    </row>
    <row r="131" spans="1:26" ht="15.75" customHeight="1">
      <c r="A131" s="304">
        <v>52</v>
      </c>
      <c r="B131" s="126" t="s">
        <v>1170</v>
      </c>
      <c r="C131" s="285" t="s">
        <v>1171</v>
      </c>
      <c r="D131" s="203" t="s">
        <v>738</v>
      </c>
      <c r="E131" s="338">
        <v>44564</v>
      </c>
      <c r="F131" s="344">
        <v>44568</v>
      </c>
      <c r="G131" s="340" t="s">
        <v>1154</v>
      </c>
      <c r="H131" s="340" t="s">
        <v>1159</v>
      </c>
      <c r="I131" s="340" t="s">
        <v>753</v>
      </c>
      <c r="J131" s="341" t="s">
        <v>1156</v>
      </c>
      <c r="K131" s="304"/>
      <c r="L131" s="315"/>
      <c r="M131" s="312"/>
      <c r="N131" s="312"/>
      <c r="O131" s="312"/>
      <c r="P131" s="313"/>
      <c r="Q131" s="304"/>
      <c r="R131" s="312"/>
      <c r="S131" s="313"/>
      <c r="T131" s="65"/>
      <c r="U131" s="65"/>
      <c r="V131" s="65"/>
      <c r="W131" s="65"/>
      <c r="X131" s="65"/>
      <c r="Y131" s="65"/>
      <c r="Z131" s="65"/>
    </row>
    <row r="132" spans="1:26" ht="15.75" customHeight="1">
      <c r="A132" s="304">
        <v>53</v>
      </c>
      <c r="B132" s="126" t="s">
        <v>1172</v>
      </c>
      <c r="C132" s="285" t="s">
        <v>1173</v>
      </c>
      <c r="D132" s="203" t="s">
        <v>738</v>
      </c>
      <c r="E132" s="338" t="s">
        <v>1115</v>
      </c>
      <c r="F132" s="344" t="s">
        <v>1143</v>
      </c>
      <c r="G132" s="340" t="s">
        <v>1154</v>
      </c>
      <c r="H132" s="340" t="s">
        <v>1159</v>
      </c>
      <c r="I132" s="340" t="s">
        <v>753</v>
      </c>
      <c r="J132" s="341" t="s">
        <v>1156</v>
      </c>
      <c r="K132" s="304"/>
      <c r="L132" s="315"/>
      <c r="M132" s="312"/>
      <c r="N132" s="312"/>
      <c r="O132" s="312"/>
      <c r="P132" s="313"/>
      <c r="Q132" s="304"/>
      <c r="R132" s="312"/>
      <c r="S132" s="313"/>
      <c r="T132" s="65"/>
      <c r="U132" s="65"/>
      <c r="V132" s="65"/>
      <c r="W132" s="65"/>
      <c r="X132" s="65"/>
      <c r="Y132" s="65"/>
      <c r="Z132" s="65"/>
    </row>
    <row r="133" spans="1:26" ht="15.75" customHeight="1">
      <c r="A133" s="304">
        <v>54</v>
      </c>
      <c r="B133" s="126" t="s">
        <v>1174</v>
      </c>
      <c r="C133" s="285" t="s">
        <v>1175</v>
      </c>
      <c r="D133" s="203" t="s">
        <v>738</v>
      </c>
      <c r="E133" s="338">
        <v>44564</v>
      </c>
      <c r="F133" s="344">
        <v>44570</v>
      </c>
      <c r="G133" s="340" t="s">
        <v>1154</v>
      </c>
      <c r="H133" s="340" t="s">
        <v>1159</v>
      </c>
      <c r="I133" s="340" t="s">
        <v>753</v>
      </c>
      <c r="J133" s="341" t="s">
        <v>1156</v>
      </c>
      <c r="K133" s="304"/>
      <c r="L133" s="315"/>
      <c r="M133" s="312"/>
      <c r="N133" s="312"/>
      <c r="O133" s="312"/>
      <c r="P133" s="313"/>
      <c r="Q133" s="304"/>
      <c r="R133" s="312"/>
      <c r="S133" s="313"/>
      <c r="T133" s="65"/>
      <c r="U133" s="65"/>
      <c r="V133" s="65"/>
      <c r="W133" s="65"/>
      <c r="X133" s="65"/>
      <c r="Y133" s="65"/>
      <c r="Z133" s="65"/>
    </row>
    <row r="134" spans="1:26" ht="15.75" customHeight="1">
      <c r="A134" s="304">
        <v>55</v>
      </c>
      <c r="B134" s="324" t="s">
        <v>1176</v>
      </c>
      <c r="C134" s="324" t="s">
        <v>1177</v>
      </c>
      <c r="D134" s="203" t="s">
        <v>738</v>
      </c>
      <c r="E134" s="338">
        <v>44565</v>
      </c>
      <c r="F134" s="344">
        <v>44569</v>
      </c>
      <c r="G134" s="340" t="s">
        <v>1154</v>
      </c>
      <c r="H134" s="340" t="s">
        <v>1159</v>
      </c>
      <c r="I134" s="340" t="s">
        <v>753</v>
      </c>
      <c r="J134" s="341" t="s">
        <v>1156</v>
      </c>
      <c r="K134" s="304"/>
      <c r="L134" s="315"/>
      <c r="M134" s="312"/>
      <c r="N134" s="312"/>
      <c r="O134" s="312"/>
      <c r="P134" s="313"/>
      <c r="Q134" s="304"/>
      <c r="R134" s="312"/>
      <c r="S134" s="313"/>
      <c r="T134" s="65"/>
      <c r="U134" s="65"/>
      <c r="V134" s="65"/>
      <c r="W134" s="65"/>
      <c r="X134" s="65"/>
      <c r="Y134" s="65"/>
      <c r="Z134" s="65"/>
    </row>
    <row r="135" spans="1:26" ht="15.75" customHeight="1">
      <c r="A135" s="304">
        <v>56</v>
      </c>
      <c r="B135" s="324" t="s">
        <v>1172</v>
      </c>
      <c r="C135" s="325" t="s">
        <v>1178</v>
      </c>
      <c r="D135" s="203" t="s">
        <v>738</v>
      </c>
      <c r="E135" s="338" t="s">
        <v>1116</v>
      </c>
      <c r="F135" s="339" t="s">
        <v>836</v>
      </c>
      <c r="G135" s="340" t="s">
        <v>1154</v>
      </c>
      <c r="H135" s="340" t="s">
        <v>1159</v>
      </c>
      <c r="I135" s="340" t="s">
        <v>753</v>
      </c>
      <c r="J135" s="341" t="s">
        <v>1156</v>
      </c>
      <c r="K135" s="304"/>
      <c r="L135" s="315"/>
      <c r="M135" s="312"/>
      <c r="N135" s="312"/>
      <c r="O135" s="312"/>
      <c r="P135" s="313"/>
      <c r="Q135" s="304"/>
      <c r="R135" s="312"/>
      <c r="S135" s="313"/>
      <c r="T135" s="65"/>
      <c r="U135" s="65"/>
      <c r="V135" s="65"/>
      <c r="W135" s="65"/>
      <c r="X135" s="65"/>
      <c r="Y135" s="65"/>
      <c r="Z135" s="65"/>
    </row>
    <row r="136" spans="1:26" ht="15.75" customHeight="1">
      <c r="A136" s="304">
        <v>57</v>
      </c>
      <c r="B136" s="322" t="s">
        <v>1179</v>
      </c>
      <c r="C136" s="325" t="s">
        <v>1180</v>
      </c>
      <c r="D136" s="203" t="s">
        <v>738</v>
      </c>
      <c r="E136" s="338" t="s">
        <v>1181</v>
      </c>
      <c r="F136" s="339" t="s">
        <v>848</v>
      </c>
      <c r="G136" s="340" t="s">
        <v>1154</v>
      </c>
      <c r="H136" s="340" t="s">
        <v>1159</v>
      </c>
      <c r="I136" s="340" t="s">
        <v>753</v>
      </c>
      <c r="J136" s="341" t="s">
        <v>1156</v>
      </c>
      <c r="K136" s="304"/>
      <c r="L136" s="315"/>
      <c r="M136" s="312"/>
      <c r="N136" s="312"/>
      <c r="O136" s="312"/>
      <c r="P136" s="313"/>
      <c r="Q136" s="304"/>
      <c r="R136" s="312"/>
      <c r="S136" s="313"/>
      <c r="T136" s="65"/>
      <c r="U136" s="65"/>
      <c r="V136" s="65"/>
      <c r="W136" s="65"/>
      <c r="X136" s="65"/>
      <c r="Y136" s="65"/>
      <c r="Z136" s="65"/>
    </row>
    <row r="137" spans="1:26" ht="15.75" customHeight="1">
      <c r="A137" s="304">
        <v>58</v>
      </c>
      <c r="B137" s="345" t="s">
        <v>1182</v>
      </c>
      <c r="C137" s="126" t="s">
        <v>1183</v>
      </c>
      <c r="D137" s="203" t="s">
        <v>738</v>
      </c>
      <c r="E137" s="338" t="s">
        <v>1054</v>
      </c>
      <c r="F137" s="339" t="s">
        <v>836</v>
      </c>
      <c r="G137" s="340" t="s">
        <v>1154</v>
      </c>
      <c r="H137" s="340" t="s">
        <v>1159</v>
      </c>
      <c r="I137" s="340" t="s">
        <v>753</v>
      </c>
      <c r="J137" s="341" t="s">
        <v>1156</v>
      </c>
      <c r="K137" s="304"/>
      <c r="L137" s="315"/>
      <c r="M137" s="312"/>
      <c r="N137" s="312"/>
      <c r="O137" s="312"/>
      <c r="P137" s="313"/>
      <c r="Q137" s="304"/>
      <c r="R137" s="312"/>
      <c r="S137" s="313"/>
      <c r="T137" s="65"/>
      <c r="U137" s="65"/>
      <c r="V137" s="65"/>
      <c r="W137" s="65"/>
      <c r="X137" s="65"/>
      <c r="Y137" s="65"/>
      <c r="Z137" s="65"/>
    </row>
    <row r="138" spans="1:26" ht="15.75" customHeight="1">
      <c r="A138" s="304">
        <v>59</v>
      </c>
      <c r="B138" s="345" t="s">
        <v>1184</v>
      </c>
      <c r="C138" s="196" t="s">
        <v>1185</v>
      </c>
      <c r="D138" s="203" t="s">
        <v>738</v>
      </c>
      <c r="E138" s="338">
        <v>44564</v>
      </c>
      <c r="F138" s="339">
        <v>44569</v>
      </c>
      <c r="G138" s="340" t="s">
        <v>1154</v>
      </c>
      <c r="H138" s="340" t="s">
        <v>1159</v>
      </c>
      <c r="I138" s="340" t="s">
        <v>753</v>
      </c>
      <c r="J138" s="341" t="s">
        <v>1156</v>
      </c>
      <c r="K138" s="304"/>
      <c r="L138" s="315"/>
      <c r="M138" s="312"/>
      <c r="N138" s="312"/>
      <c r="O138" s="312"/>
      <c r="P138" s="313"/>
      <c r="Q138" s="304"/>
      <c r="R138" s="312"/>
      <c r="S138" s="313"/>
      <c r="T138" s="65"/>
      <c r="U138" s="65"/>
      <c r="V138" s="65"/>
      <c r="W138" s="65"/>
      <c r="X138" s="65"/>
      <c r="Y138" s="65"/>
      <c r="Z138" s="65"/>
    </row>
    <row r="139" spans="1:26" ht="15.75" customHeight="1">
      <c r="A139" s="304">
        <v>60</v>
      </c>
      <c r="B139" s="324" t="s">
        <v>1186</v>
      </c>
      <c r="C139" s="319" t="s">
        <v>1187</v>
      </c>
      <c r="D139" s="203" t="s">
        <v>738</v>
      </c>
      <c r="E139" s="338">
        <v>44565</v>
      </c>
      <c r="F139" s="339">
        <v>44568</v>
      </c>
      <c r="G139" s="340" t="s">
        <v>1154</v>
      </c>
      <c r="H139" s="340" t="s">
        <v>1159</v>
      </c>
      <c r="I139" s="340" t="s">
        <v>753</v>
      </c>
      <c r="J139" s="341" t="s">
        <v>1156</v>
      </c>
      <c r="K139" s="304"/>
      <c r="L139" s="315"/>
      <c r="M139" s="312"/>
      <c r="N139" s="312"/>
      <c r="O139" s="312"/>
      <c r="P139" s="313"/>
      <c r="Q139" s="304"/>
      <c r="R139" s="312"/>
      <c r="S139" s="313"/>
      <c r="T139" s="65"/>
      <c r="U139" s="65"/>
      <c r="V139" s="65"/>
      <c r="W139" s="65"/>
      <c r="X139" s="65"/>
      <c r="Y139" s="65"/>
      <c r="Z139" s="65"/>
    </row>
    <row r="140" spans="1:26" ht="15.75" customHeight="1">
      <c r="A140" s="304">
        <v>61</v>
      </c>
      <c r="B140" s="322" t="s">
        <v>1188</v>
      </c>
      <c r="C140" s="323" t="s">
        <v>1020</v>
      </c>
      <c r="D140" s="203" t="s">
        <v>738</v>
      </c>
      <c r="E140" s="338">
        <v>44566</v>
      </c>
      <c r="F140" s="339">
        <v>44572</v>
      </c>
      <c r="G140" s="340" t="s">
        <v>1154</v>
      </c>
      <c r="H140" s="340" t="s">
        <v>1159</v>
      </c>
      <c r="I140" s="340" t="s">
        <v>753</v>
      </c>
      <c r="J140" s="341" t="s">
        <v>1156</v>
      </c>
      <c r="K140" s="304"/>
      <c r="L140" s="315"/>
      <c r="M140" s="312"/>
      <c r="N140" s="312"/>
      <c r="O140" s="312"/>
      <c r="P140" s="313"/>
      <c r="Q140" s="304"/>
      <c r="R140" s="312"/>
      <c r="S140" s="313"/>
      <c r="T140" s="65"/>
      <c r="U140" s="65"/>
      <c r="V140" s="65"/>
      <c r="W140" s="65"/>
      <c r="X140" s="65"/>
      <c r="Y140" s="65"/>
      <c r="Z140" s="65"/>
    </row>
    <row r="141" spans="1:26" ht="15.75" customHeight="1">
      <c r="A141" s="304">
        <v>62</v>
      </c>
      <c r="B141" s="324" t="s">
        <v>1189</v>
      </c>
      <c r="C141" s="324" t="s">
        <v>1190</v>
      </c>
      <c r="D141" s="203" t="s">
        <v>738</v>
      </c>
      <c r="E141" s="338" t="s">
        <v>1191</v>
      </c>
      <c r="F141" s="339" t="s">
        <v>1192</v>
      </c>
      <c r="G141" s="340" t="s">
        <v>1154</v>
      </c>
      <c r="H141" s="340" t="s">
        <v>1159</v>
      </c>
      <c r="I141" s="340" t="s">
        <v>753</v>
      </c>
      <c r="J141" s="341" t="s">
        <v>1156</v>
      </c>
      <c r="K141" s="304"/>
      <c r="L141" s="315"/>
      <c r="M141" s="312"/>
      <c r="N141" s="312"/>
      <c r="O141" s="312"/>
      <c r="P141" s="313"/>
      <c r="Q141" s="304"/>
      <c r="R141" s="312"/>
      <c r="S141" s="313"/>
      <c r="T141" s="65"/>
      <c r="U141" s="65"/>
      <c r="V141" s="65"/>
      <c r="W141" s="65"/>
      <c r="X141" s="65"/>
      <c r="Y141" s="65"/>
      <c r="Z141" s="65"/>
    </row>
    <row r="142" spans="1:26" ht="15.75" customHeight="1">
      <c r="A142" s="304">
        <v>63</v>
      </c>
      <c r="B142" s="324" t="s">
        <v>1193</v>
      </c>
      <c r="C142" s="324" t="s">
        <v>1194</v>
      </c>
      <c r="D142" s="203" t="s">
        <v>738</v>
      </c>
      <c r="E142" s="338">
        <v>44689</v>
      </c>
      <c r="F142" s="339">
        <v>44693</v>
      </c>
      <c r="G142" s="340" t="s">
        <v>1154</v>
      </c>
      <c r="H142" s="340" t="s">
        <v>1159</v>
      </c>
      <c r="I142" s="340" t="s">
        <v>753</v>
      </c>
      <c r="J142" s="341" t="s">
        <v>1156</v>
      </c>
      <c r="K142" s="304"/>
      <c r="L142" s="315"/>
      <c r="M142" s="312"/>
      <c r="N142" s="312"/>
      <c r="O142" s="312"/>
      <c r="P142" s="313"/>
      <c r="Q142" s="304"/>
      <c r="R142" s="312"/>
      <c r="S142" s="313"/>
      <c r="T142" s="65"/>
      <c r="U142" s="65"/>
      <c r="V142" s="65"/>
      <c r="W142" s="65"/>
      <c r="X142" s="65"/>
      <c r="Y142" s="65"/>
      <c r="Z142" s="65"/>
    </row>
    <row r="143" spans="1:26" ht="15.75" customHeight="1">
      <c r="A143" s="346"/>
      <c r="B143" s="329">
        <v>2021</v>
      </c>
      <c r="C143" s="347"/>
      <c r="D143" s="347"/>
      <c r="E143" s="348"/>
      <c r="F143" s="349"/>
      <c r="G143" s="350"/>
      <c r="H143" s="347"/>
      <c r="I143" s="347"/>
      <c r="J143" s="351"/>
      <c r="K143" s="346"/>
      <c r="L143" s="352"/>
      <c r="M143" s="347"/>
      <c r="N143" s="347"/>
      <c r="O143" s="347"/>
      <c r="P143" s="353"/>
      <c r="Q143" s="346"/>
      <c r="R143" s="347"/>
      <c r="S143" s="353"/>
      <c r="T143" s="354"/>
      <c r="U143" s="354"/>
      <c r="V143" s="354"/>
      <c r="W143" s="354"/>
      <c r="X143" s="354"/>
      <c r="Y143" s="354"/>
      <c r="Z143" s="354"/>
    </row>
    <row r="144" spans="1:26" ht="15.75" customHeight="1">
      <c r="A144" s="304">
        <v>1</v>
      </c>
      <c r="B144" s="340" t="s">
        <v>1195</v>
      </c>
      <c r="C144" s="285" t="s">
        <v>1196</v>
      </c>
      <c r="D144" s="355" t="s">
        <v>738</v>
      </c>
      <c r="E144" s="338">
        <v>44109</v>
      </c>
      <c r="F144" s="339">
        <v>44201</v>
      </c>
      <c r="G144" s="288" t="s">
        <v>1197</v>
      </c>
      <c r="H144" s="126" t="s">
        <v>1198</v>
      </c>
      <c r="I144" s="126" t="s">
        <v>757</v>
      </c>
      <c r="J144" s="356" t="s">
        <v>1199</v>
      </c>
      <c r="K144" s="304"/>
      <c r="L144" s="315"/>
      <c r="M144" s="312"/>
      <c r="N144" s="312"/>
      <c r="O144" s="312"/>
      <c r="P144" s="313"/>
      <c r="Q144" s="304"/>
      <c r="R144" s="312"/>
      <c r="S144" s="313"/>
      <c r="T144" s="65"/>
      <c r="U144" s="65"/>
      <c r="V144" s="65"/>
      <c r="W144" s="65"/>
      <c r="X144" s="65"/>
      <c r="Y144" s="65"/>
      <c r="Z144" s="65"/>
    </row>
    <row r="145" spans="1:26" ht="15.75" customHeight="1">
      <c r="A145" s="304">
        <v>2</v>
      </c>
      <c r="B145" s="340" t="s">
        <v>1200</v>
      </c>
      <c r="C145" s="285" t="s">
        <v>1201</v>
      </c>
      <c r="D145" s="355" t="s">
        <v>738</v>
      </c>
      <c r="E145" s="338">
        <v>44089</v>
      </c>
      <c r="F145" s="339">
        <v>44545</v>
      </c>
      <c r="G145" s="288" t="s">
        <v>1197</v>
      </c>
      <c r="H145" s="126" t="s">
        <v>1198</v>
      </c>
      <c r="I145" s="126" t="s">
        <v>757</v>
      </c>
      <c r="J145" s="356" t="s">
        <v>1199</v>
      </c>
      <c r="K145" s="304"/>
      <c r="L145" s="315"/>
      <c r="M145" s="312"/>
      <c r="N145" s="312"/>
      <c r="O145" s="312"/>
      <c r="P145" s="313"/>
      <c r="Q145" s="304"/>
      <c r="R145" s="312"/>
      <c r="S145" s="313"/>
      <c r="T145" s="65"/>
      <c r="U145" s="65"/>
      <c r="V145" s="65"/>
      <c r="W145" s="65"/>
      <c r="X145" s="65"/>
      <c r="Y145" s="65"/>
      <c r="Z145" s="65"/>
    </row>
    <row r="146" spans="1:26" ht="15.75" customHeight="1">
      <c r="A146" s="304">
        <v>3</v>
      </c>
      <c r="B146" s="340" t="s">
        <v>1202</v>
      </c>
      <c r="C146" s="285" t="s">
        <v>1203</v>
      </c>
      <c r="D146" s="355" t="s">
        <v>738</v>
      </c>
      <c r="E146" s="338">
        <v>44109</v>
      </c>
      <c r="F146" s="339">
        <v>44201</v>
      </c>
      <c r="G146" s="288" t="s">
        <v>1197</v>
      </c>
      <c r="H146" s="126" t="s">
        <v>1198</v>
      </c>
      <c r="I146" s="126" t="s">
        <v>757</v>
      </c>
      <c r="J146" s="356" t="s">
        <v>1199</v>
      </c>
      <c r="K146" s="304"/>
      <c r="L146" s="315"/>
      <c r="M146" s="312"/>
      <c r="N146" s="312"/>
      <c r="O146" s="312"/>
      <c r="P146" s="313"/>
      <c r="Q146" s="304"/>
      <c r="R146" s="312"/>
      <c r="S146" s="313"/>
      <c r="T146" s="65"/>
      <c r="U146" s="65"/>
      <c r="V146" s="65"/>
      <c r="W146" s="65"/>
      <c r="X146" s="65"/>
      <c r="Y146" s="65"/>
      <c r="Z146" s="65"/>
    </row>
    <row r="147" spans="1:26" ht="15.75" customHeight="1">
      <c r="A147" s="304">
        <v>4</v>
      </c>
      <c r="B147" s="340" t="s">
        <v>1204</v>
      </c>
      <c r="C147" s="285" t="s">
        <v>1205</v>
      </c>
      <c r="D147" s="355" t="s">
        <v>738</v>
      </c>
      <c r="E147" s="338">
        <v>44075</v>
      </c>
      <c r="F147" s="339">
        <v>44197</v>
      </c>
      <c r="G147" s="288" t="s">
        <v>1197</v>
      </c>
      <c r="H147" s="126" t="s">
        <v>1198</v>
      </c>
      <c r="I147" s="126" t="s">
        <v>757</v>
      </c>
      <c r="J147" s="356" t="s">
        <v>1199</v>
      </c>
      <c r="K147" s="304"/>
      <c r="L147" s="315"/>
      <c r="M147" s="312"/>
      <c r="N147" s="312"/>
      <c r="O147" s="312"/>
      <c r="P147" s="313"/>
      <c r="Q147" s="304"/>
      <c r="R147" s="312"/>
      <c r="S147" s="313"/>
      <c r="T147" s="65"/>
      <c r="U147" s="65"/>
      <c r="V147" s="65"/>
      <c r="W147" s="65"/>
      <c r="X147" s="65"/>
      <c r="Y147" s="65"/>
      <c r="Z147" s="65"/>
    </row>
    <row r="148" spans="1:26" ht="15.75" customHeight="1">
      <c r="A148" s="304">
        <v>5</v>
      </c>
      <c r="B148" s="340" t="s">
        <v>1206</v>
      </c>
      <c r="C148" s="285" t="s">
        <v>1207</v>
      </c>
      <c r="D148" s="355" t="s">
        <v>738</v>
      </c>
      <c r="E148" s="338">
        <v>44089</v>
      </c>
      <c r="F148" s="339">
        <v>44211</v>
      </c>
      <c r="G148" s="288" t="s">
        <v>1208</v>
      </c>
      <c r="H148" s="126" t="s">
        <v>1209</v>
      </c>
      <c r="I148" s="126" t="s">
        <v>757</v>
      </c>
      <c r="J148" s="356" t="s">
        <v>1210</v>
      </c>
      <c r="K148" s="304"/>
      <c r="L148" s="315"/>
      <c r="M148" s="312"/>
      <c r="N148" s="312"/>
      <c r="O148" s="312"/>
      <c r="P148" s="313"/>
      <c r="Q148" s="304"/>
      <c r="R148" s="312"/>
      <c r="S148" s="313"/>
      <c r="T148" s="65"/>
      <c r="U148" s="65"/>
      <c r="V148" s="65"/>
      <c r="W148" s="65"/>
      <c r="X148" s="65"/>
      <c r="Y148" s="65"/>
      <c r="Z148" s="65"/>
    </row>
    <row r="149" spans="1:26" ht="15.75" customHeight="1">
      <c r="A149" s="304">
        <v>6</v>
      </c>
      <c r="B149" s="340" t="s">
        <v>1211</v>
      </c>
      <c r="C149" s="285" t="s">
        <v>1212</v>
      </c>
      <c r="D149" s="355" t="s">
        <v>738</v>
      </c>
      <c r="E149" s="338">
        <v>44027</v>
      </c>
      <c r="F149" s="339">
        <v>44180</v>
      </c>
      <c r="G149" s="288" t="s">
        <v>1208</v>
      </c>
      <c r="H149" s="126" t="s">
        <v>1209</v>
      </c>
      <c r="I149" s="126" t="s">
        <v>757</v>
      </c>
      <c r="J149" s="356" t="s">
        <v>1210</v>
      </c>
      <c r="K149" s="304"/>
      <c r="L149" s="315"/>
      <c r="M149" s="312"/>
      <c r="N149" s="312"/>
      <c r="O149" s="312"/>
      <c r="P149" s="313"/>
      <c r="Q149" s="304"/>
      <c r="R149" s="312"/>
      <c r="S149" s="313"/>
      <c r="T149" s="65"/>
      <c r="U149" s="65"/>
      <c r="V149" s="65"/>
      <c r="W149" s="65"/>
      <c r="X149" s="65"/>
      <c r="Y149" s="65"/>
      <c r="Z149" s="65"/>
    </row>
    <row r="150" spans="1:26" ht="15.75" customHeight="1">
      <c r="A150" s="304">
        <v>7</v>
      </c>
      <c r="B150" s="340" t="s">
        <v>1213</v>
      </c>
      <c r="C150" s="285" t="s">
        <v>1214</v>
      </c>
      <c r="D150" s="355" t="s">
        <v>738</v>
      </c>
      <c r="E150" s="338">
        <v>44089</v>
      </c>
      <c r="F150" s="339">
        <v>44545</v>
      </c>
      <c r="G150" s="288" t="s">
        <v>1215</v>
      </c>
      <c r="H150" s="126" t="s">
        <v>1216</v>
      </c>
      <c r="I150" s="126" t="s">
        <v>757</v>
      </c>
      <c r="J150" s="356" t="s">
        <v>1217</v>
      </c>
      <c r="K150" s="304"/>
      <c r="L150" s="315"/>
      <c r="M150" s="312"/>
      <c r="N150" s="312"/>
      <c r="O150" s="312"/>
      <c r="P150" s="313"/>
      <c r="Q150" s="304"/>
      <c r="R150" s="312"/>
      <c r="S150" s="313"/>
      <c r="T150" s="65"/>
      <c r="U150" s="65"/>
      <c r="V150" s="65"/>
      <c r="W150" s="65"/>
      <c r="X150" s="65"/>
      <c r="Y150" s="65"/>
      <c r="Z150" s="65"/>
    </row>
    <row r="151" spans="1:26" ht="15.75" customHeight="1">
      <c r="A151" s="304">
        <v>8</v>
      </c>
      <c r="B151" s="196" t="s">
        <v>1218</v>
      </c>
      <c r="C151" s="285" t="s">
        <v>1013</v>
      </c>
      <c r="D151" s="355" t="s">
        <v>738</v>
      </c>
      <c r="E151" s="338">
        <v>44166</v>
      </c>
      <c r="F151" s="339">
        <v>44228</v>
      </c>
      <c r="G151" s="288" t="s">
        <v>1215</v>
      </c>
      <c r="H151" s="126" t="s">
        <v>1216</v>
      </c>
      <c r="I151" s="126" t="s">
        <v>757</v>
      </c>
      <c r="J151" s="356" t="s">
        <v>1217</v>
      </c>
      <c r="K151" s="304"/>
      <c r="L151" s="315"/>
      <c r="M151" s="312"/>
      <c r="N151" s="312"/>
      <c r="O151" s="312"/>
      <c r="P151" s="313"/>
      <c r="Q151" s="304"/>
      <c r="R151" s="312"/>
      <c r="S151" s="313"/>
      <c r="T151" s="65"/>
      <c r="U151" s="65"/>
      <c r="V151" s="65"/>
      <c r="W151" s="65"/>
      <c r="X151" s="65"/>
      <c r="Y151" s="65"/>
      <c r="Z151" s="65"/>
    </row>
    <row r="152" spans="1:26" ht="15.75" customHeight="1">
      <c r="A152" s="304">
        <v>9</v>
      </c>
      <c r="B152" s="196" t="s">
        <v>1219</v>
      </c>
      <c r="C152" s="285" t="s">
        <v>1006</v>
      </c>
      <c r="D152" s="355" t="s">
        <v>738</v>
      </c>
      <c r="E152" s="338">
        <v>43845</v>
      </c>
      <c r="F152" s="339">
        <v>43997</v>
      </c>
      <c r="G152" s="288" t="s">
        <v>1215</v>
      </c>
      <c r="H152" s="126" t="s">
        <v>1216</v>
      </c>
      <c r="I152" s="126" t="s">
        <v>757</v>
      </c>
      <c r="J152" s="356" t="s">
        <v>1217</v>
      </c>
      <c r="K152" s="304"/>
      <c r="L152" s="315"/>
      <c r="M152" s="312"/>
      <c r="N152" s="312"/>
      <c r="O152" s="312"/>
      <c r="P152" s="313"/>
      <c r="Q152" s="304"/>
      <c r="R152" s="312"/>
      <c r="S152" s="313"/>
      <c r="T152" s="65"/>
      <c r="U152" s="65"/>
      <c r="V152" s="65"/>
      <c r="W152" s="65"/>
      <c r="X152" s="65"/>
      <c r="Y152" s="65"/>
      <c r="Z152" s="65"/>
    </row>
    <row r="153" spans="1:26" ht="15.75" customHeight="1">
      <c r="A153" s="304">
        <v>10</v>
      </c>
      <c r="B153" s="196" t="s">
        <v>1220</v>
      </c>
      <c r="C153" s="285" t="s">
        <v>1205</v>
      </c>
      <c r="D153" s="355" t="s">
        <v>738</v>
      </c>
      <c r="E153" s="338">
        <v>44105</v>
      </c>
      <c r="F153" s="339">
        <v>44211</v>
      </c>
      <c r="G153" s="288" t="s">
        <v>1215</v>
      </c>
      <c r="H153" s="126" t="s">
        <v>1216</v>
      </c>
      <c r="I153" s="126" t="s">
        <v>757</v>
      </c>
      <c r="J153" s="356" t="s">
        <v>1217</v>
      </c>
      <c r="K153" s="304"/>
      <c r="L153" s="315"/>
      <c r="M153" s="312"/>
      <c r="N153" s="312"/>
      <c r="O153" s="312"/>
      <c r="P153" s="313"/>
      <c r="Q153" s="304"/>
      <c r="R153" s="312"/>
      <c r="S153" s="313"/>
      <c r="T153" s="65"/>
      <c r="U153" s="65"/>
      <c r="V153" s="65"/>
      <c r="W153" s="65"/>
      <c r="X153" s="65"/>
      <c r="Y153" s="65"/>
      <c r="Z153" s="65"/>
    </row>
    <row r="154" spans="1:26" ht="15.75" customHeight="1">
      <c r="A154" s="304">
        <v>11</v>
      </c>
      <c r="B154" s="196" t="s">
        <v>1221</v>
      </c>
      <c r="C154" s="285" t="s">
        <v>1222</v>
      </c>
      <c r="D154" s="355" t="s">
        <v>738</v>
      </c>
      <c r="E154" s="338">
        <v>44119</v>
      </c>
      <c r="F154" s="339">
        <v>44242</v>
      </c>
      <c r="G154" s="288" t="s">
        <v>1215</v>
      </c>
      <c r="H154" s="126" t="s">
        <v>1216</v>
      </c>
      <c r="I154" s="126" t="s">
        <v>757</v>
      </c>
      <c r="J154" s="356" t="s">
        <v>1217</v>
      </c>
      <c r="K154" s="304"/>
      <c r="L154" s="315"/>
      <c r="M154" s="312"/>
      <c r="N154" s="312"/>
      <c r="O154" s="312"/>
      <c r="P154" s="313"/>
      <c r="Q154" s="304"/>
      <c r="R154" s="312"/>
      <c r="S154" s="313"/>
      <c r="T154" s="65"/>
      <c r="U154" s="65"/>
      <c r="V154" s="65"/>
      <c r="W154" s="65"/>
      <c r="X154" s="65"/>
      <c r="Y154" s="65"/>
      <c r="Z154" s="65"/>
    </row>
    <row r="155" spans="1:26" ht="15.75" customHeight="1">
      <c r="A155" s="304">
        <v>12</v>
      </c>
      <c r="B155" s="196" t="s">
        <v>1223</v>
      </c>
      <c r="C155" s="126" t="s">
        <v>1224</v>
      </c>
      <c r="D155" s="357" t="s">
        <v>1225</v>
      </c>
      <c r="E155" s="338">
        <v>43831</v>
      </c>
      <c r="F155" s="339">
        <v>44926</v>
      </c>
      <c r="G155" s="288" t="s">
        <v>1226</v>
      </c>
      <c r="H155" s="126" t="s">
        <v>1227</v>
      </c>
      <c r="I155" s="126" t="s">
        <v>757</v>
      </c>
      <c r="J155" s="356" t="s">
        <v>1228</v>
      </c>
      <c r="K155" s="304"/>
      <c r="L155" s="315"/>
      <c r="M155" s="312"/>
      <c r="N155" s="312"/>
      <c r="O155" s="312"/>
      <c r="P155" s="313"/>
      <c r="Q155" s="304"/>
      <c r="R155" s="312"/>
      <c r="S155" s="313"/>
      <c r="T155" s="65"/>
      <c r="U155" s="65"/>
      <c r="V155" s="65"/>
      <c r="W155" s="65"/>
      <c r="X155" s="65"/>
      <c r="Y155" s="65"/>
      <c r="Z155" s="65"/>
    </row>
    <row r="156" spans="1:26" ht="15.75" customHeight="1">
      <c r="A156" s="304">
        <v>13</v>
      </c>
      <c r="B156" s="196" t="s">
        <v>1229</v>
      </c>
      <c r="C156" s="285" t="s">
        <v>1230</v>
      </c>
      <c r="D156" s="355" t="s">
        <v>738</v>
      </c>
      <c r="E156" s="338">
        <v>44180</v>
      </c>
      <c r="F156" s="339">
        <v>44270</v>
      </c>
      <c r="G156" s="288" t="s">
        <v>1231</v>
      </c>
      <c r="H156" s="126" t="s">
        <v>1232</v>
      </c>
      <c r="I156" s="126" t="s">
        <v>757</v>
      </c>
      <c r="J156" s="356" t="s">
        <v>1233</v>
      </c>
      <c r="K156" s="304"/>
      <c r="L156" s="315"/>
      <c r="M156" s="312"/>
      <c r="N156" s="312"/>
      <c r="O156" s="312"/>
      <c r="P156" s="313"/>
      <c r="Q156" s="304"/>
      <c r="R156" s="312"/>
      <c r="S156" s="313"/>
      <c r="T156" s="65"/>
      <c r="U156" s="65"/>
      <c r="V156" s="65"/>
      <c r="W156" s="65"/>
      <c r="X156" s="65"/>
      <c r="Y156" s="65"/>
      <c r="Z156" s="65"/>
    </row>
    <row r="157" spans="1:26" ht="15.75" customHeight="1">
      <c r="A157" s="304">
        <v>14</v>
      </c>
      <c r="B157" s="196" t="s">
        <v>1234</v>
      </c>
      <c r="C157" s="285" t="s">
        <v>1201</v>
      </c>
      <c r="D157" s="355" t="s">
        <v>738</v>
      </c>
      <c r="E157" s="338">
        <v>44206</v>
      </c>
      <c r="F157" s="339">
        <v>44265</v>
      </c>
      <c r="G157" s="288" t="s">
        <v>1235</v>
      </c>
      <c r="H157" s="126" t="s">
        <v>1236</v>
      </c>
      <c r="I157" s="126" t="s">
        <v>757</v>
      </c>
      <c r="J157" s="356" t="s">
        <v>1237</v>
      </c>
      <c r="K157" s="304"/>
      <c r="L157" s="315"/>
      <c r="M157" s="312"/>
      <c r="N157" s="312"/>
      <c r="O157" s="312"/>
      <c r="P157" s="313"/>
      <c r="Q157" s="304"/>
      <c r="R157" s="312"/>
      <c r="S157" s="313"/>
      <c r="T157" s="65"/>
      <c r="U157" s="65"/>
      <c r="V157" s="65"/>
      <c r="W157" s="65"/>
      <c r="X157" s="65"/>
      <c r="Y157" s="65"/>
      <c r="Z157" s="65"/>
    </row>
    <row r="158" spans="1:26" ht="15.75" customHeight="1">
      <c r="A158" s="304">
        <v>15</v>
      </c>
      <c r="B158" s="196" t="s">
        <v>1238</v>
      </c>
      <c r="C158" s="285" t="s">
        <v>912</v>
      </c>
      <c r="D158" s="355" t="s">
        <v>738</v>
      </c>
      <c r="E158" s="338">
        <v>44201</v>
      </c>
      <c r="F158" s="339">
        <v>44291</v>
      </c>
      <c r="G158" s="288" t="s">
        <v>1239</v>
      </c>
      <c r="H158" s="126" t="s">
        <v>1240</v>
      </c>
      <c r="I158" s="126" t="s">
        <v>757</v>
      </c>
      <c r="J158" s="356" t="s">
        <v>1241</v>
      </c>
      <c r="K158" s="304"/>
      <c r="L158" s="315"/>
      <c r="M158" s="312"/>
      <c r="N158" s="312"/>
      <c r="O158" s="312"/>
      <c r="P158" s="313"/>
      <c r="Q158" s="304"/>
      <c r="R158" s="312"/>
      <c r="S158" s="313"/>
      <c r="T158" s="65"/>
      <c r="U158" s="65"/>
      <c r="V158" s="65"/>
      <c r="W158" s="65"/>
      <c r="X158" s="65"/>
      <c r="Y158" s="65"/>
      <c r="Z158" s="65"/>
    </row>
    <row r="159" spans="1:26" ht="15.75" customHeight="1">
      <c r="A159" s="304">
        <v>16</v>
      </c>
      <c r="B159" s="196" t="s">
        <v>1242</v>
      </c>
      <c r="C159" s="126" t="s">
        <v>1243</v>
      </c>
      <c r="D159" s="355" t="s">
        <v>738</v>
      </c>
      <c r="E159" s="338">
        <v>44180</v>
      </c>
      <c r="F159" s="339">
        <v>44301</v>
      </c>
      <c r="G159" s="288" t="s">
        <v>1244</v>
      </c>
      <c r="H159" s="126" t="s">
        <v>1245</v>
      </c>
      <c r="I159" s="126" t="s">
        <v>757</v>
      </c>
      <c r="J159" s="356" t="s">
        <v>1246</v>
      </c>
      <c r="K159" s="304"/>
      <c r="L159" s="315"/>
      <c r="M159" s="312"/>
      <c r="N159" s="312"/>
      <c r="O159" s="312"/>
      <c r="P159" s="313"/>
      <c r="Q159" s="304"/>
      <c r="R159" s="312"/>
      <c r="S159" s="313"/>
      <c r="T159" s="65"/>
      <c r="U159" s="65"/>
      <c r="V159" s="65"/>
      <c r="W159" s="65"/>
      <c r="X159" s="65"/>
      <c r="Y159" s="65"/>
      <c r="Z159" s="65"/>
    </row>
    <row r="160" spans="1:26" ht="15.75" customHeight="1">
      <c r="A160" s="304">
        <v>17</v>
      </c>
      <c r="B160" s="196" t="s">
        <v>1247</v>
      </c>
      <c r="C160" s="285" t="s">
        <v>1248</v>
      </c>
      <c r="D160" s="355" t="s">
        <v>738</v>
      </c>
      <c r="E160" s="338">
        <v>44150</v>
      </c>
      <c r="F160" s="339">
        <v>44301</v>
      </c>
      <c r="G160" s="288" t="s">
        <v>1249</v>
      </c>
      <c r="H160" s="126" t="s">
        <v>1250</v>
      </c>
      <c r="I160" s="126" t="s">
        <v>757</v>
      </c>
      <c r="J160" s="356" t="s">
        <v>1251</v>
      </c>
      <c r="K160" s="304"/>
      <c r="L160" s="315"/>
      <c r="M160" s="312"/>
      <c r="N160" s="312"/>
      <c r="O160" s="312"/>
      <c r="P160" s="313"/>
      <c r="Q160" s="304"/>
      <c r="R160" s="312"/>
      <c r="S160" s="313"/>
      <c r="T160" s="65"/>
      <c r="U160" s="65"/>
      <c r="V160" s="65"/>
      <c r="W160" s="65"/>
      <c r="X160" s="65"/>
      <c r="Y160" s="65"/>
      <c r="Z160" s="65"/>
    </row>
    <row r="161" spans="1:26" ht="15.75" customHeight="1">
      <c r="A161" s="304">
        <v>18</v>
      </c>
      <c r="B161" s="196" t="s">
        <v>1252</v>
      </c>
      <c r="C161" s="285" t="s">
        <v>1253</v>
      </c>
      <c r="D161" s="355" t="s">
        <v>738</v>
      </c>
      <c r="E161" s="338">
        <v>43845</v>
      </c>
      <c r="F161" s="339">
        <v>43997</v>
      </c>
      <c r="G161" s="288" t="s">
        <v>1254</v>
      </c>
      <c r="H161" s="126" t="s">
        <v>1255</v>
      </c>
      <c r="I161" s="126" t="s">
        <v>753</v>
      </c>
      <c r="J161" s="356">
        <v>44376</v>
      </c>
      <c r="K161" s="304"/>
      <c r="L161" s="315"/>
      <c r="M161" s="312"/>
      <c r="N161" s="312"/>
      <c r="O161" s="312"/>
      <c r="P161" s="313"/>
      <c r="Q161" s="304"/>
      <c r="R161" s="312"/>
      <c r="S161" s="313"/>
      <c r="T161" s="65"/>
      <c r="U161" s="65"/>
      <c r="V161" s="65"/>
      <c r="W161" s="65"/>
      <c r="X161" s="65"/>
      <c r="Y161" s="65"/>
      <c r="Z161" s="65"/>
    </row>
    <row r="162" spans="1:26" ht="15.75" customHeight="1">
      <c r="A162" s="304">
        <v>19</v>
      </c>
      <c r="B162" s="196" t="s">
        <v>1256</v>
      </c>
      <c r="C162" s="126" t="s">
        <v>1257</v>
      </c>
      <c r="D162" s="355" t="s">
        <v>738</v>
      </c>
      <c r="E162" s="338">
        <v>44211</v>
      </c>
      <c r="F162" s="339">
        <v>44331</v>
      </c>
      <c r="G162" s="288" t="s">
        <v>1254</v>
      </c>
      <c r="H162" s="126" t="s">
        <v>1255</v>
      </c>
      <c r="I162" s="126" t="s">
        <v>753</v>
      </c>
      <c r="J162" s="356">
        <v>44376</v>
      </c>
      <c r="K162" s="304"/>
      <c r="L162" s="315"/>
      <c r="M162" s="312"/>
      <c r="N162" s="312"/>
      <c r="O162" s="312"/>
      <c r="P162" s="313"/>
      <c r="Q162" s="304"/>
      <c r="R162" s="312"/>
      <c r="S162" s="313"/>
      <c r="T162" s="65"/>
      <c r="U162" s="65"/>
      <c r="V162" s="65"/>
      <c r="W162" s="65"/>
      <c r="X162" s="65"/>
      <c r="Y162" s="65"/>
      <c r="Z162" s="65"/>
    </row>
    <row r="163" spans="1:26" ht="15.75" customHeight="1">
      <c r="A163" s="304">
        <v>20</v>
      </c>
      <c r="B163" s="196" t="s">
        <v>1258</v>
      </c>
      <c r="C163" s="126" t="s">
        <v>1259</v>
      </c>
      <c r="D163" s="355" t="s">
        <v>738</v>
      </c>
      <c r="E163" s="338">
        <v>44211</v>
      </c>
      <c r="F163" s="339">
        <v>44331</v>
      </c>
      <c r="G163" s="288" t="s">
        <v>1254</v>
      </c>
      <c r="H163" s="126" t="s">
        <v>1255</v>
      </c>
      <c r="I163" s="126" t="s">
        <v>753</v>
      </c>
      <c r="J163" s="356">
        <v>44376</v>
      </c>
      <c r="K163" s="304"/>
      <c r="L163" s="315"/>
      <c r="M163" s="312"/>
      <c r="N163" s="312"/>
      <c r="O163" s="312"/>
      <c r="P163" s="313"/>
      <c r="Q163" s="304"/>
      <c r="R163" s="312"/>
      <c r="S163" s="313"/>
      <c r="T163" s="65"/>
      <c r="U163" s="65"/>
      <c r="V163" s="65"/>
      <c r="W163" s="65"/>
      <c r="X163" s="65"/>
      <c r="Y163" s="65"/>
      <c r="Z163" s="65"/>
    </row>
    <row r="164" spans="1:26" ht="15.75" customHeight="1">
      <c r="A164" s="304">
        <v>21</v>
      </c>
      <c r="B164" s="196" t="s">
        <v>1260</v>
      </c>
      <c r="C164" s="285" t="s">
        <v>1261</v>
      </c>
      <c r="D164" s="355" t="s">
        <v>738</v>
      </c>
      <c r="E164" s="338">
        <v>44256</v>
      </c>
      <c r="F164" s="339">
        <v>44348</v>
      </c>
      <c r="G164" s="288" t="s">
        <v>1254</v>
      </c>
      <c r="H164" s="126" t="s">
        <v>1255</v>
      </c>
      <c r="I164" s="126" t="s">
        <v>753</v>
      </c>
      <c r="J164" s="356">
        <v>44376</v>
      </c>
      <c r="K164" s="304"/>
      <c r="L164" s="315"/>
      <c r="M164" s="312"/>
      <c r="N164" s="312"/>
      <c r="O164" s="312"/>
      <c r="P164" s="313"/>
      <c r="Q164" s="304"/>
      <c r="R164" s="312"/>
      <c r="S164" s="313"/>
      <c r="T164" s="65"/>
      <c r="U164" s="65"/>
      <c r="V164" s="65"/>
      <c r="W164" s="65"/>
      <c r="X164" s="65"/>
      <c r="Y164" s="65"/>
      <c r="Z164" s="65"/>
    </row>
    <row r="165" spans="1:26" ht="15.75" customHeight="1">
      <c r="A165" s="304">
        <v>22</v>
      </c>
      <c r="B165" s="196" t="s">
        <v>1262</v>
      </c>
      <c r="C165" s="285" t="s">
        <v>967</v>
      </c>
      <c r="D165" s="355" t="s">
        <v>738</v>
      </c>
      <c r="E165" s="338">
        <v>44180</v>
      </c>
      <c r="F165" s="339">
        <v>44362</v>
      </c>
      <c r="G165" s="288" t="s">
        <v>1254</v>
      </c>
      <c r="H165" s="126" t="s">
        <v>1255</v>
      </c>
      <c r="I165" s="126" t="s">
        <v>753</v>
      </c>
      <c r="J165" s="356">
        <v>44376</v>
      </c>
      <c r="K165" s="304"/>
      <c r="L165" s="315"/>
      <c r="M165" s="312"/>
      <c r="N165" s="312"/>
      <c r="O165" s="312"/>
      <c r="P165" s="313"/>
      <c r="Q165" s="304"/>
      <c r="R165" s="312"/>
      <c r="S165" s="313"/>
      <c r="T165" s="65"/>
      <c r="U165" s="65"/>
      <c r="V165" s="65"/>
      <c r="W165" s="65"/>
      <c r="X165" s="65"/>
      <c r="Y165" s="65"/>
      <c r="Z165" s="65"/>
    </row>
    <row r="166" spans="1:26" ht="15.75" customHeight="1">
      <c r="A166" s="304">
        <v>23</v>
      </c>
      <c r="B166" s="358" t="s">
        <v>1263</v>
      </c>
      <c r="C166" s="126" t="s">
        <v>1264</v>
      </c>
      <c r="D166" s="357" t="s">
        <v>1225</v>
      </c>
      <c r="E166" s="342">
        <v>2017</v>
      </c>
      <c r="F166" s="343">
        <v>2021</v>
      </c>
      <c r="G166" s="288" t="s">
        <v>1254</v>
      </c>
      <c r="H166" s="126" t="s">
        <v>1255</v>
      </c>
      <c r="I166" s="126" t="s">
        <v>753</v>
      </c>
      <c r="J166" s="356">
        <v>44376</v>
      </c>
      <c r="K166" s="304"/>
      <c r="L166" s="315"/>
      <c r="M166" s="312"/>
      <c r="N166" s="312"/>
      <c r="O166" s="312"/>
      <c r="P166" s="313"/>
      <c r="Q166" s="304"/>
      <c r="R166" s="312"/>
      <c r="S166" s="313"/>
      <c r="T166" s="65"/>
      <c r="U166" s="65"/>
      <c r="V166" s="65"/>
      <c r="W166" s="65"/>
      <c r="X166" s="65"/>
      <c r="Y166" s="65"/>
      <c r="Z166" s="65"/>
    </row>
    <row r="167" spans="1:26" ht="15.75" customHeight="1">
      <c r="A167" s="304">
        <v>24</v>
      </c>
      <c r="B167" s="358" t="s">
        <v>1265</v>
      </c>
      <c r="C167" s="285" t="s">
        <v>1266</v>
      </c>
      <c r="D167" s="355" t="s">
        <v>738</v>
      </c>
      <c r="E167" s="338">
        <v>44211</v>
      </c>
      <c r="F167" s="339">
        <v>44362</v>
      </c>
      <c r="G167" s="288" t="s">
        <v>1254</v>
      </c>
      <c r="H167" s="126" t="s">
        <v>1255</v>
      </c>
      <c r="I167" s="126" t="s">
        <v>753</v>
      </c>
      <c r="J167" s="356">
        <v>44376</v>
      </c>
      <c r="K167" s="304"/>
      <c r="L167" s="315"/>
      <c r="M167" s="312"/>
      <c r="N167" s="312"/>
      <c r="O167" s="312"/>
      <c r="P167" s="313"/>
      <c r="Q167" s="304"/>
      <c r="R167" s="312"/>
      <c r="S167" s="313"/>
      <c r="T167" s="65"/>
      <c r="U167" s="65"/>
      <c r="V167" s="65"/>
      <c r="W167" s="65"/>
      <c r="X167" s="65"/>
      <c r="Y167" s="65"/>
      <c r="Z167" s="65"/>
    </row>
    <row r="168" spans="1:26" ht="15.75" customHeight="1">
      <c r="A168" s="304">
        <v>25</v>
      </c>
      <c r="B168" s="358" t="s">
        <v>1267</v>
      </c>
      <c r="C168" s="285" t="s">
        <v>1268</v>
      </c>
      <c r="D168" s="355" t="s">
        <v>738</v>
      </c>
      <c r="E168" s="338">
        <v>44216</v>
      </c>
      <c r="F168" s="339">
        <v>44336</v>
      </c>
      <c r="G168" s="288" t="s">
        <v>1254</v>
      </c>
      <c r="H168" s="126" t="s">
        <v>1255</v>
      </c>
      <c r="I168" s="126" t="s">
        <v>753</v>
      </c>
      <c r="J168" s="356">
        <v>44376</v>
      </c>
      <c r="K168" s="304"/>
      <c r="L168" s="315"/>
      <c r="M168" s="312"/>
      <c r="N168" s="312"/>
      <c r="O168" s="312"/>
      <c r="P168" s="313"/>
      <c r="Q168" s="304"/>
      <c r="R168" s="312"/>
      <c r="S168" s="313"/>
      <c r="T168" s="65"/>
      <c r="U168" s="65"/>
      <c r="V168" s="65"/>
      <c r="W168" s="65"/>
      <c r="X168" s="65"/>
      <c r="Y168" s="65"/>
      <c r="Z168" s="65"/>
    </row>
    <row r="169" spans="1:26" ht="15.75" customHeight="1">
      <c r="A169" s="304">
        <v>26</v>
      </c>
      <c r="B169" s="358" t="s">
        <v>1269</v>
      </c>
      <c r="C169" s="126" t="s">
        <v>1270</v>
      </c>
      <c r="D169" s="355" t="s">
        <v>738</v>
      </c>
      <c r="E169" s="338">
        <v>44211</v>
      </c>
      <c r="F169" s="339">
        <v>44331</v>
      </c>
      <c r="G169" s="288" t="s">
        <v>1254</v>
      </c>
      <c r="H169" s="126" t="s">
        <v>1255</v>
      </c>
      <c r="I169" s="126" t="s">
        <v>753</v>
      </c>
      <c r="J169" s="356">
        <v>44376</v>
      </c>
      <c r="K169" s="304"/>
      <c r="L169" s="315"/>
      <c r="M169" s="312"/>
      <c r="N169" s="312"/>
      <c r="O169" s="312"/>
      <c r="P169" s="313"/>
      <c r="Q169" s="304"/>
      <c r="R169" s="312"/>
      <c r="S169" s="313"/>
      <c r="T169" s="65"/>
      <c r="U169" s="65"/>
      <c r="V169" s="65"/>
      <c r="W169" s="65"/>
      <c r="X169" s="65"/>
      <c r="Y169" s="65"/>
      <c r="Z169" s="65"/>
    </row>
    <row r="170" spans="1:26" ht="15.75" customHeight="1">
      <c r="A170" s="304">
        <v>27</v>
      </c>
      <c r="B170" s="358" t="s">
        <v>1271</v>
      </c>
      <c r="C170" s="126" t="s">
        <v>1272</v>
      </c>
      <c r="D170" s="355" t="s">
        <v>738</v>
      </c>
      <c r="E170" s="338">
        <v>44211</v>
      </c>
      <c r="F170" s="339">
        <v>44362</v>
      </c>
      <c r="G170" s="288" t="s">
        <v>1254</v>
      </c>
      <c r="H170" s="126" t="s">
        <v>1255</v>
      </c>
      <c r="I170" s="126" t="s">
        <v>753</v>
      </c>
      <c r="J170" s="356">
        <v>44376</v>
      </c>
      <c r="K170" s="304"/>
      <c r="L170" s="315"/>
      <c r="M170" s="312"/>
      <c r="N170" s="312"/>
      <c r="O170" s="312"/>
      <c r="P170" s="313"/>
      <c r="Q170" s="304"/>
      <c r="R170" s="312"/>
      <c r="S170" s="313"/>
      <c r="T170" s="65"/>
      <c r="U170" s="65"/>
      <c r="V170" s="65"/>
      <c r="W170" s="65"/>
      <c r="X170" s="65"/>
      <c r="Y170" s="65"/>
      <c r="Z170" s="65"/>
    </row>
    <row r="171" spans="1:26" ht="15.75" customHeight="1">
      <c r="A171" s="304">
        <v>28</v>
      </c>
      <c r="B171" s="358" t="s">
        <v>1273</v>
      </c>
      <c r="C171" s="126" t="s">
        <v>1274</v>
      </c>
      <c r="D171" s="355" t="s">
        <v>738</v>
      </c>
      <c r="E171" s="338">
        <v>44180</v>
      </c>
      <c r="F171" s="339">
        <v>44362</v>
      </c>
      <c r="G171" s="288" t="s">
        <v>1254</v>
      </c>
      <c r="H171" s="126" t="s">
        <v>1255</v>
      </c>
      <c r="I171" s="126" t="s">
        <v>753</v>
      </c>
      <c r="J171" s="356">
        <v>44376</v>
      </c>
      <c r="K171" s="304"/>
      <c r="L171" s="315"/>
      <c r="M171" s="312"/>
      <c r="N171" s="312"/>
      <c r="O171" s="312"/>
      <c r="P171" s="313"/>
      <c r="Q171" s="304"/>
      <c r="R171" s="312"/>
      <c r="S171" s="313"/>
      <c r="T171" s="65"/>
      <c r="U171" s="65"/>
      <c r="V171" s="65"/>
      <c r="W171" s="65"/>
      <c r="X171" s="65"/>
      <c r="Y171" s="65"/>
      <c r="Z171" s="65"/>
    </row>
    <row r="172" spans="1:26" ht="15.75" customHeight="1">
      <c r="A172" s="304">
        <v>29</v>
      </c>
      <c r="B172" s="358" t="s">
        <v>1275</v>
      </c>
      <c r="C172" s="126" t="s">
        <v>1276</v>
      </c>
      <c r="D172" s="355" t="s">
        <v>738</v>
      </c>
      <c r="E172" s="338">
        <v>44216</v>
      </c>
      <c r="F172" s="339">
        <v>44336</v>
      </c>
      <c r="G172" s="288" t="s">
        <v>1254</v>
      </c>
      <c r="H172" s="126" t="s">
        <v>1255</v>
      </c>
      <c r="I172" s="126" t="s">
        <v>753</v>
      </c>
      <c r="J172" s="356">
        <v>44376</v>
      </c>
      <c r="K172" s="304"/>
      <c r="L172" s="315"/>
      <c r="M172" s="312"/>
      <c r="N172" s="312"/>
      <c r="O172" s="312"/>
      <c r="P172" s="313"/>
      <c r="Q172" s="304"/>
      <c r="R172" s="312"/>
      <c r="S172" s="313"/>
      <c r="T172" s="65"/>
      <c r="U172" s="65"/>
      <c r="V172" s="65"/>
      <c r="W172" s="65"/>
      <c r="X172" s="65"/>
      <c r="Y172" s="65"/>
      <c r="Z172" s="65"/>
    </row>
    <row r="173" spans="1:26" ht="15.75" customHeight="1">
      <c r="A173" s="304">
        <v>30</v>
      </c>
      <c r="B173" s="358" t="s">
        <v>1275</v>
      </c>
      <c r="C173" s="126" t="s">
        <v>1277</v>
      </c>
      <c r="D173" s="355" t="s">
        <v>738</v>
      </c>
      <c r="E173" s="338">
        <v>44153</v>
      </c>
      <c r="F173" s="339">
        <v>44273</v>
      </c>
      <c r="G173" s="288" t="s">
        <v>1254</v>
      </c>
      <c r="H173" s="126" t="s">
        <v>1255</v>
      </c>
      <c r="I173" s="126" t="s">
        <v>753</v>
      </c>
      <c r="J173" s="356">
        <v>44376</v>
      </c>
      <c r="K173" s="304"/>
      <c r="L173" s="315"/>
      <c r="M173" s="312"/>
      <c r="N173" s="312"/>
      <c r="O173" s="312"/>
      <c r="P173" s="313"/>
      <c r="Q173" s="304"/>
      <c r="R173" s="312"/>
      <c r="S173" s="313"/>
      <c r="T173" s="65"/>
      <c r="U173" s="65"/>
      <c r="V173" s="65"/>
      <c r="W173" s="65"/>
      <c r="X173" s="65"/>
      <c r="Y173" s="65"/>
      <c r="Z173" s="65"/>
    </row>
    <row r="174" spans="1:26" ht="15.75" customHeight="1">
      <c r="A174" s="304">
        <v>31</v>
      </c>
      <c r="B174" s="358" t="s">
        <v>1278</v>
      </c>
      <c r="C174" s="285" t="s">
        <v>1279</v>
      </c>
      <c r="D174" s="355" t="s">
        <v>738</v>
      </c>
      <c r="E174" s="338">
        <v>44211</v>
      </c>
      <c r="F174" s="339">
        <v>44362</v>
      </c>
      <c r="G174" s="288" t="s">
        <v>1280</v>
      </c>
      <c r="H174" s="126" t="s">
        <v>1043</v>
      </c>
      <c r="I174" s="126" t="s">
        <v>757</v>
      </c>
      <c r="J174" s="356" t="s">
        <v>1281</v>
      </c>
      <c r="K174" s="304"/>
      <c r="L174" s="315"/>
      <c r="M174" s="312"/>
      <c r="N174" s="312"/>
      <c r="O174" s="312"/>
      <c r="P174" s="313"/>
      <c r="Q174" s="304"/>
      <c r="R174" s="312"/>
      <c r="S174" s="313"/>
      <c r="T174" s="65"/>
      <c r="U174" s="65"/>
      <c r="V174" s="65"/>
      <c r="W174" s="65"/>
      <c r="X174" s="65"/>
      <c r="Y174" s="65"/>
      <c r="Z174" s="65"/>
    </row>
    <row r="175" spans="1:26" ht="15.75" customHeight="1">
      <c r="A175" s="304">
        <v>32</v>
      </c>
      <c r="B175" s="358" t="s">
        <v>1282</v>
      </c>
      <c r="C175" s="285" t="s">
        <v>1283</v>
      </c>
      <c r="D175" s="355" t="s">
        <v>738</v>
      </c>
      <c r="E175" s="338">
        <v>44211</v>
      </c>
      <c r="F175" s="339">
        <v>44362</v>
      </c>
      <c r="G175" s="288" t="s">
        <v>1280</v>
      </c>
      <c r="H175" s="126" t="s">
        <v>1043</v>
      </c>
      <c r="I175" s="126" t="s">
        <v>757</v>
      </c>
      <c r="J175" s="356" t="s">
        <v>1281</v>
      </c>
      <c r="K175" s="304"/>
      <c r="L175" s="315"/>
      <c r="M175" s="312"/>
      <c r="N175" s="312"/>
      <c r="O175" s="312"/>
      <c r="P175" s="313"/>
      <c r="Q175" s="304"/>
      <c r="R175" s="312"/>
      <c r="S175" s="313"/>
      <c r="T175" s="65"/>
      <c r="U175" s="65"/>
      <c r="V175" s="65"/>
      <c r="W175" s="65"/>
      <c r="X175" s="65"/>
      <c r="Y175" s="65"/>
      <c r="Z175" s="65"/>
    </row>
    <row r="176" spans="1:26" ht="15.75" customHeight="1">
      <c r="A176" s="304">
        <v>33</v>
      </c>
      <c r="B176" s="358" t="s">
        <v>1284</v>
      </c>
      <c r="C176" s="285" t="s">
        <v>1285</v>
      </c>
      <c r="D176" s="355" t="s">
        <v>738</v>
      </c>
      <c r="E176" s="338">
        <v>44211</v>
      </c>
      <c r="F176" s="339">
        <v>44362</v>
      </c>
      <c r="G176" s="288" t="s">
        <v>1280</v>
      </c>
      <c r="H176" s="126" t="s">
        <v>1043</v>
      </c>
      <c r="I176" s="126" t="s">
        <v>757</v>
      </c>
      <c r="J176" s="356" t="s">
        <v>1281</v>
      </c>
      <c r="K176" s="304"/>
      <c r="L176" s="315"/>
      <c r="M176" s="312"/>
      <c r="N176" s="312"/>
      <c r="O176" s="312"/>
      <c r="P176" s="313"/>
      <c r="Q176" s="304"/>
      <c r="R176" s="312"/>
      <c r="S176" s="313"/>
      <c r="T176" s="65"/>
      <c r="U176" s="65"/>
      <c r="V176" s="65"/>
      <c r="W176" s="65"/>
      <c r="X176" s="65"/>
      <c r="Y176" s="65"/>
      <c r="Z176" s="65"/>
    </row>
    <row r="177" spans="1:26" ht="15.75" customHeight="1">
      <c r="A177" s="304">
        <v>34</v>
      </c>
      <c r="B177" s="358" t="s">
        <v>1286</v>
      </c>
      <c r="C177" s="285" t="s">
        <v>1287</v>
      </c>
      <c r="D177" s="355" t="s">
        <v>738</v>
      </c>
      <c r="E177" s="338">
        <v>44201</v>
      </c>
      <c r="F177" s="339">
        <v>44321</v>
      </c>
      <c r="G177" s="288" t="s">
        <v>1280</v>
      </c>
      <c r="H177" s="126" t="s">
        <v>1043</v>
      </c>
      <c r="I177" s="126" t="s">
        <v>757</v>
      </c>
      <c r="J177" s="356" t="s">
        <v>1281</v>
      </c>
      <c r="K177" s="304"/>
      <c r="L177" s="315"/>
      <c r="M177" s="312"/>
      <c r="N177" s="312"/>
      <c r="O177" s="312"/>
      <c r="P177" s="313"/>
      <c r="Q177" s="304"/>
      <c r="R177" s="312"/>
      <c r="S177" s="313"/>
      <c r="T177" s="65"/>
      <c r="U177" s="65"/>
      <c r="V177" s="65"/>
      <c r="W177" s="65"/>
      <c r="X177" s="65"/>
      <c r="Y177" s="65"/>
      <c r="Z177" s="65"/>
    </row>
    <row r="178" spans="1:26" ht="15.75" customHeight="1">
      <c r="A178" s="304">
        <v>35</v>
      </c>
      <c r="B178" s="358" t="s">
        <v>1288</v>
      </c>
      <c r="C178" s="285" t="s">
        <v>1289</v>
      </c>
      <c r="D178" s="355" t="s">
        <v>738</v>
      </c>
      <c r="E178" s="338">
        <v>44150</v>
      </c>
      <c r="F178" s="339">
        <v>44301</v>
      </c>
      <c r="G178" s="288" t="s">
        <v>1290</v>
      </c>
      <c r="H178" s="126" t="s">
        <v>1291</v>
      </c>
      <c r="I178" s="126" t="s">
        <v>757</v>
      </c>
      <c r="J178" s="356" t="s">
        <v>1292</v>
      </c>
      <c r="K178" s="304"/>
      <c r="L178" s="315"/>
      <c r="M178" s="312"/>
      <c r="N178" s="312"/>
      <c r="O178" s="312"/>
      <c r="P178" s="313"/>
      <c r="Q178" s="304"/>
      <c r="R178" s="312"/>
      <c r="S178" s="313"/>
      <c r="T178" s="65"/>
      <c r="U178" s="65"/>
      <c r="V178" s="65"/>
      <c r="W178" s="65"/>
      <c r="X178" s="65"/>
      <c r="Y178" s="65"/>
      <c r="Z178" s="65"/>
    </row>
    <row r="179" spans="1:26" ht="15.75" customHeight="1">
      <c r="A179" s="304">
        <v>36</v>
      </c>
      <c r="B179" s="358" t="s">
        <v>1293</v>
      </c>
      <c r="C179" s="285" t="s">
        <v>967</v>
      </c>
      <c r="D179" s="355" t="s">
        <v>738</v>
      </c>
      <c r="E179" s="338">
        <v>44216</v>
      </c>
      <c r="F179" s="339">
        <v>44367</v>
      </c>
      <c r="G179" s="288" t="s">
        <v>1294</v>
      </c>
      <c r="H179" s="126" t="s">
        <v>1295</v>
      </c>
      <c r="I179" s="126" t="s">
        <v>757</v>
      </c>
      <c r="J179" s="356" t="s">
        <v>1296</v>
      </c>
      <c r="K179" s="304"/>
      <c r="L179" s="315"/>
      <c r="M179" s="312"/>
      <c r="N179" s="312"/>
      <c r="O179" s="312"/>
      <c r="P179" s="313"/>
      <c r="Q179" s="304"/>
      <c r="R179" s="312"/>
      <c r="S179" s="313"/>
      <c r="T179" s="65"/>
      <c r="U179" s="65"/>
      <c r="V179" s="65"/>
      <c r="W179" s="65"/>
      <c r="X179" s="65"/>
      <c r="Y179" s="65"/>
      <c r="Z179" s="65"/>
    </row>
    <row r="180" spans="1:26" ht="15.75" customHeight="1">
      <c r="A180" s="304">
        <v>37</v>
      </c>
      <c r="B180" s="358" t="s">
        <v>1297</v>
      </c>
      <c r="C180" s="126" t="s">
        <v>1298</v>
      </c>
      <c r="D180" s="355" t="s">
        <v>738</v>
      </c>
      <c r="E180" s="338">
        <v>44242</v>
      </c>
      <c r="F180" s="339">
        <v>44392</v>
      </c>
      <c r="G180" s="288" t="s">
        <v>1299</v>
      </c>
      <c r="H180" s="126" t="s">
        <v>1043</v>
      </c>
      <c r="I180" s="126" t="s">
        <v>753</v>
      </c>
      <c r="J180" s="356" t="s">
        <v>1300</v>
      </c>
      <c r="K180" s="304"/>
      <c r="L180" s="315"/>
      <c r="M180" s="312"/>
      <c r="N180" s="312"/>
      <c r="O180" s="312"/>
      <c r="P180" s="313"/>
      <c r="Q180" s="304"/>
      <c r="R180" s="312"/>
      <c r="S180" s="313"/>
      <c r="T180" s="65"/>
      <c r="U180" s="65"/>
      <c r="V180" s="65"/>
      <c r="W180" s="65"/>
      <c r="X180" s="65"/>
      <c r="Y180" s="65"/>
      <c r="Z180" s="65"/>
    </row>
    <row r="181" spans="1:26" ht="15.75" customHeight="1">
      <c r="A181" s="304">
        <v>38</v>
      </c>
      <c r="B181" s="358" t="s">
        <v>1301</v>
      </c>
      <c r="C181" s="126" t="s">
        <v>1302</v>
      </c>
      <c r="D181" s="357" t="s">
        <v>1225</v>
      </c>
      <c r="E181" s="338">
        <v>43831</v>
      </c>
      <c r="F181" s="339">
        <v>44926</v>
      </c>
      <c r="G181" s="288" t="s">
        <v>1303</v>
      </c>
      <c r="H181" s="126" t="s">
        <v>1043</v>
      </c>
      <c r="I181" s="126" t="s">
        <v>757</v>
      </c>
      <c r="J181" s="356" t="s">
        <v>1304</v>
      </c>
      <c r="K181" s="304"/>
      <c r="L181" s="315"/>
      <c r="M181" s="312"/>
      <c r="N181" s="312"/>
      <c r="O181" s="312"/>
      <c r="P181" s="313"/>
      <c r="Q181" s="304"/>
      <c r="R181" s="312"/>
      <c r="S181" s="313"/>
      <c r="T181" s="65"/>
      <c r="U181" s="65"/>
      <c r="V181" s="65"/>
      <c r="W181" s="65"/>
      <c r="X181" s="65"/>
      <c r="Y181" s="65"/>
      <c r="Z181" s="65"/>
    </row>
    <row r="182" spans="1:26" ht="15.75" customHeight="1">
      <c r="A182" s="304">
        <v>39</v>
      </c>
      <c r="B182" s="358" t="s">
        <v>1305</v>
      </c>
      <c r="C182" s="285" t="s">
        <v>1306</v>
      </c>
      <c r="D182" s="355" t="s">
        <v>738</v>
      </c>
      <c r="E182" s="338">
        <v>44362</v>
      </c>
      <c r="F182" s="339">
        <v>44484</v>
      </c>
      <c r="G182" s="288" t="s">
        <v>1307</v>
      </c>
      <c r="H182" s="126" t="s">
        <v>1308</v>
      </c>
      <c r="I182" s="126" t="s">
        <v>753</v>
      </c>
      <c r="J182" s="356" t="s">
        <v>1309</v>
      </c>
      <c r="K182" s="304"/>
      <c r="L182" s="315"/>
      <c r="M182" s="312"/>
      <c r="N182" s="312"/>
      <c r="O182" s="312"/>
      <c r="P182" s="313"/>
      <c r="Q182" s="304"/>
      <c r="R182" s="312"/>
      <c r="S182" s="313"/>
      <c r="T182" s="65"/>
      <c r="U182" s="65"/>
      <c r="V182" s="65"/>
      <c r="W182" s="65"/>
      <c r="X182" s="65"/>
      <c r="Y182" s="65"/>
      <c r="Z182" s="65"/>
    </row>
    <row r="183" spans="1:26" ht="15.75" customHeight="1">
      <c r="A183" s="304">
        <v>40</v>
      </c>
      <c r="B183" s="358" t="s">
        <v>1310</v>
      </c>
      <c r="C183" s="126" t="s">
        <v>1311</v>
      </c>
      <c r="D183" s="355" t="s">
        <v>738</v>
      </c>
      <c r="E183" s="338">
        <v>44440</v>
      </c>
      <c r="F183" s="339">
        <v>44501</v>
      </c>
      <c r="G183" s="288" t="s">
        <v>1307</v>
      </c>
      <c r="H183" s="126" t="s">
        <v>1308</v>
      </c>
      <c r="I183" s="126" t="s">
        <v>753</v>
      </c>
      <c r="J183" s="356" t="s">
        <v>1309</v>
      </c>
      <c r="K183" s="304"/>
      <c r="L183" s="315"/>
      <c r="M183" s="312"/>
      <c r="N183" s="312"/>
      <c r="O183" s="312"/>
      <c r="P183" s="313"/>
      <c r="Q183" s="304"/>
      <c r="R183" s="312"/>
      <c r="S183" s="313"/>
      <c r="T183" s="65"/>
      <c r="U183" s="65"/>
      <c r="V183" s="65"/>
      <c r="W183" s="65"/>
      <c r="X183" s="65"/>
      <c r="Y183" s="65"/>
      <c r="Z183" s="65"/>
    </row>
    <row r="184" spans="1:26" ht="15.75" customHeight="1">
      <c r="A184" s="304">
        <v>41</v>
      </c>
      <c r="B184" s="358" t="s">
        <v>1312</v>
      </c>
      <c r="C184" s="126" t="s">
        <v>1313</v>
      </c>
      <c r="D184" s="355" t="s">
        <v>738</v>
      </c>
      <c r="E184" s="338">
        <v>44211</v>
      </c>
      <c r="F184" s="339">
        <v>44331</v>
      </c>
      <c r="G184" s="288" t="s">
        <v>1307</v>
      </c>
      <c r="H184" s="126" t="s">
        <v>1308</v>
      </c>
      <c r="I184" s="126" t="s">
        <v>753</v>
      </c>
      <c r="J184" s="356" t="s">
        <v>1309</v>
      </c>
      <c r="K184" s="304"/>
      <c r="L184" s="315"/>
      <c r="M184" s="312"/>
      <c r="N184" s="312"/>
      <c r="O184" s="312"/>
      <c r="P184" s="313"/>
      <c r="Q184" s="304"/>
      <c r="R184" s="312"/>
      <c r="S184" s="313"/>
      <c r="T184" s="65"/>
      <c r="U184" s="65"/>
      <c r="V184" s="65"/>
      <c r="W184" s="65"/>
      <c r="X184" s="65"/>
      <c r="Y184" s="65"/>
      <c r="Z184" s="65"/>
    </row>
    <row r="185" spans="1:26" ht="15.75" customHeight="1">
      <c r="A185" s="304">
        <v>42</v>
      </c>
      <c r="B185" s="358" t="s">
        <v>1314</v>
      </c>
      <c r="C185" s="126" t="s">
        <v>1315</v>
      </c>
      <c r="D185" s="355" t="s">
        <v>738</v>
      </c>
      <c r="E185" s="338">
        <v>44153</v>
      </c>
      <c r="F185" s="339">
        <v>44273</v>
      </c>
      <c r="G185" s="288" t="s">
        <v>1307</v>
      </c>
      <c r="H185" s="126" t="s">
        <v>1308</v>
      </c>
      <c r="I185" s="126" t="s">
        <v>753</v>
      </c>
      <c r="J185" s="356" t="s">
        <v>1309</v>
      </c>
      <c r="K185" s="304"/>
      <c r="L185" s="315"/>
      <c r="M185" s="312"/>
      <c r="N185" s="312"/>
      <c r="O185" s="312"/>
      <c r="P185" s="313"/>
      <c r="Q185" s="304"/>
      <c r="R185" s="312"/>
      <c r="S185" s="313"/>
      <c r="T185" s="65"/>
      <c r="U185" s="65"/>
      <c r="V185" s="65"/>
      <c r="W185" s="65"/>
      <c r="X185" s="65"/>
      <c r="Y185" s="65"/>
      <c r="Z185" s="65"/>
    </row>
    <row r="186" spans="1:26" ht="15.75" customHeight="1">
      <c r="A186" s="304">
        <v>43</v>
      </c>
      <c r="B186" s="358" t="s">
        <v>1316</v>
      </c>
      <c r="C186" s="285" t="s">
        <v>1087</v>
      </c>
      <c r="D186" s="355" t="s">
        <v>738</v>
      </c>
      <c r="E186" s="338">
        <v>44275</v>
      </c>
      <c r="F186" s="339">
        <v>44428</v>
      </c>
      <c r="G186" s="288" t="s">
        <v>1317</v>
      </c>
      <c r="H186" s="126" t="s">
        <v>1308</v>
      </c>
      <c r="I186" s="126" t="s">
        <v>757</v>
      </c>
      <c r="J186" s="356" t="s">
        <v>1318</v>
      </c>
      <c r="K186" s="304"/>
      <c r="L186" s="315"/>
      <c r="M186" s="312"/>
      <c r="N186" s="312"/>
      <c r="O186" s="312"/>
      <c r="P186" s="313"/>
      <c r="Q186" s="293" t="s">
        <v>1319</v>
      </c>
      <c r="R186" s="294" t="s">
        <v>1320</v>
      </c>
      <c r="S186" s="295" t="s">
        <v>1321</v>
      </c>
      <c r="U186" s="65"/>
      <c r="V186" s="65"/>
      <c r="W186" s="65"/>
      <c r="X186" s="65"/>
      <c r="Y186" s="65"/>
      <c r="Z186" s="65"/>
    </row>
    <row r="187" spans="1:26" ht="15.75" customHeight="1">
      <c r="A187" s="304">
        <v>44</v>
      </c>
      <c r="B187" s="358" t="s">
        <v>1322</v>
      </c>
      <c r="C187" s="285" t="s">
        <v>1020</v>
      </c>
      <c r="D187" s="355" t="s">
        <v>738</v>
      </c>
      <c r="E187" s="338">
        <v>44211</v>
      </c>
      <c r="F187" s="339">
        <v>44392</v>
      </c>
      <c r="G187" s="288" t="s">
        <v>1323</v>
      </c>
      <c r="H187" s="126" t="s">
        <v>1308</v>
      </c>
      <c r="I187" s="126" t="s">
        <v>749</v>
      </c>
      <c r="J187" s="356">
        <v>44520</v>
      </c>
      <c r="K187" s="304"/>
      <c r="L187" s="315"/>
      <c r="M187" s="312"/>
      <c r="N187" s="312"/>
      <c r="O187" s="312"/>
      <c r="P187" s="313"/>
      <c r="Q187" s="304"/>
      <c r="R187" s="312"/>
      <c r="S187" s="313"/>
      <c r="T187" s="65"/>
      <c r="U187" s="65"/>
      <c r="V187" s="65"/>
      <c r="W187" s="65"/>
      <c r="X187" s="65"/>
      <c r="Y187" s="65"/>
      <c r="Z187" s="65"/>
    </row>
    <row r="188" spans="1:26" ht="15.75" customHeight="1">
      <c r="A188" s="304">
        <v>45</v>
      </c>
      <c r="B188" s="358" t="s">
        <v>1324</v>
      </c>
      <c r="C188" s="285" t="s">
        <v>772</v>
      </c>
      <c r="D188" s="355" t="s">
        <v>738</v>
      </c>
      <c r="E188" s="338">
        <v>43936</v>
      </c>
      <c r="F188" s="339">
        <v>44454</v>
      </c>
      <c r="G188" s="288" t="s">
        <v>1325</v>
      </c>
      <c r="H188" s="126" t="s">
        <v>1308</v>
      </c>
      <c r="I188" s="126" t="s">
        <v>757</v>
      </c>
      <c r="J188" s="356" t="s">
        <v>1326</v>
      </c>
      <c r="K188" s="304"/>
      <c r="L188" s="315"/>
      <c r="M188" s="312"/>
      <c r="N188" s="312"/>
      <c r="O188" s="312"/>
      <c r="P188" s="313"/>
      <c r="Q188" s="293" t="s">
        <v>1327</v>
      </c>
      <c r="R188" s="294" t="s">
        <v>1328</v>
      </c>
      <c r="S188" s="295" t="s">
        <v>1329</v>
      </c>
      <c r="T188" s="65"/>
      <c r="U188" s="65"/>
      <c r="V188" s="65"/>
      <c r="W188" s="65"/>
      <c r="X188" s="65"/>
      <c r="Y188" s="65"/>
      <c r="Z188" s="65"/>
    </row>
    <row r="189" spans="1:26" ht="15.75" customHeight="1">
      <c r="A189" s="304">
        <v>46</v>
      </c>
      <c r="B189" s="358" t="s">
        <v>1172</v>
      </c>
      <c r="C189" s="285" t="s">
        <v>1330</v>
      </c>
      <c r="D189" s="357" t="s">
        <v>1331</v>
      </c>
      <c r="E189" s="342">
        <v>2018</v>
      </c>
      <c r="F189" s="343">
        <v>2022</v>
      </c>
      <c r="G189" s="288" t="s">
        <v>1332</v>
      </c>
      <c r="H189" s="126" t="s">
        <v>1308</v>
      </c>
      <c r="I189" s="126" t="s">
        <v>757</v>
      </c>
      <c r="J189" s="356">
        <v>44540</v>
      </c>
      <c r="K189" s="304"/>
      <c r="L189" s="315"/>
      <c r="M189" s="312"/>
      <c r="N189" s="312"/>
      <c r="O189" s="312"/>
      <c r="P189" s="313"/>
      <c r="Q189" s="359" t="s">
        <v>1333</v>
      </c>
      <c r="R189" s="319" t="s">
        <v>1328</v>
      </c>
      <c r="S189" s="360" t="s">
        <v>1329</v>
      </c>
      <c r="T189" s="65"/>
      <c r="U189" s="65"/>
      <c r="V189" s="65"/>
      <c r="W189" s="65"/>
      <c r="X189" s="65"/>
      <c r="Y189" s="65"/>
      <c r="Z189" s="65"/>
    </row>
    <row r="190" spans="1:26" ht="15.75" customHeight="1">
      <c r="A190" s="304">
        <v>47</v>
      </c>
      <c r="B190" s="358" t="s">
        <v>1172</v>
      </c>
      <c r="C190" s="126" t="s">
        <v>1334</v>
      </c>
      <c r="D190" s="357" t="s">
        <v>1331</v>
      </c>
      <c r="E190" s="342">
        <v>2018</v>
      </c>
      <c r="F190" s="343">
        <v>2022</v>
      </c>
      <c r="G190" s="288" t="s">
        <v>1335</v>
      </c>
      <c r="H190" s="126" t="s">
        <v>1043</v>
      </c>
      <c r="I190" s="126" t="s">
        <v>757</v>
      </c>
      <c r="J190" s="356" t="s">
        <v>1336</v>
      </c>
      <c r="K190" s="304"/>
      <c r="L190" s="315"/>
      <c r="M190" s="312"/>
      <c r="N190" s="312"/>
      <c r="O190" s="312"/>
      <c r="P190" s="313"/>
      <c r="Q190" s="304"/>
      <c r="U190" s="65"/>
      <c r="V190" s="65"/>
      <c r="W190" s="65"/>
      <c r="X190" s="65"/>
      <c r="Y190" s="65"/>
      <c r="Z190" s="65"/>
    </row>
    <row r="191" spans="1:26" ht="15.75" customHeight="1">
      <c r="A191" s="304">
        <v>48</v>
      </c>
      <c r="B191" s="358" t="s">
        <v>1337</v>
      </c>
      <c r="C191" s="285" t="s">
        <v>971</v>
      </c>
      <c r="D191" s="355" t="s">
        <v>738</v>
      </c>
      <c r="E191" s="338">
        <v>44044</v>
      </c>
      <c r="F191" s="339">
        <v>44378</v>
      </c>
      <c r="G191" s="288" t="s">
        <v>1338</v>
      </c>
      <c r="H191" s="126" t="s">
        <v>1043</v>
      </c>
      <c r="I191" s="126" t="s">
        <v>757</v>
      </c>
      <c r="J191" s="356" t="s">
        <v>1339</v>
      </c>
      <c r="K191" s="304"/>
      <c r="L191" s="315"/>
      <c r="M191" s="312"/>
      <c r="N191" s="312"/>
      <c r="O191" s="312"/>
      <c r="P191" s="313"/>
      <c r="Q191" s="304"/>
      <c r="R191" s="312"/>
      <c r="S191" s="313"/>
      <c r="T191" s="65"/>
      <c r="U191" s="65"/>
      <c r="V191" s="65"/>
      <c r="W191" s="65"/>
      <c r="X191" s="65"/>
      <c r="Y191" s="65"/>
      <c r="Z191" s="65"/>
    </row>
    <row r="192" spans="1:26" ht="15.75" customHeight="1">
      <c r="A192" s="304">
        <v>49</v>
      </c>
      <c r="B192" s="358" t="s">
        <v>1340</v>
      </c>
      <c r="C192" s="285" t="s">
        <v>772</v>
      </c>
      <c r="D192" s="355" t="s">
        <v>738</v>
      </c>
      <c r="E192" s="338">
        <v>44306</v>
      </c>
      <c r="F192" s="339">
        <v>44459</v>
      </c>
      <c r="G192" s="288" t="s">
        <v>1338</v>
      </c>
      <c r="H192" s="126" t="s">
        <v>1043</v>
      </c>
      <c r="I192" s="126" t="s">
        <v>757</v>
      </c>
      <c r="J192" s="356" t="s">
        <v>1339</v>
      </c>
      <c r="K192" s="304"/>
      <c r="L192" s="315"/>
      <c r="M192" s="312"/>
      <c r="N192" s="312"/>
      <c r="O192" s="312"/>
      <c r="P192" s="313"/>
      <c r="Q192" s="293" t="s">
        <v>1341</v>
      </c>
      <c r="R192" s="294" t="s">
        <v>1342</v>
      </c>
      <c r="S192" s="295" t="s">
        <v>1343</v>
      </c>
      <c r="T192" s="65"/>
      <c r="U192" s="65"/>
      <c r="V192" s="65"/>
      <c r="W192" s="65"/>
      <c r="X192" s="65"/>
      <c r="Y192" s="65"/>
      <c r="Z192" s="65"/>
    </row>
    <row r="193" spans="1:26" ht="15.75" customHeight="1">
      <c r="A193" s="304">
        <v>50</v>
      </c>
      <c r="B193" s="358" t="s">
        <v>1344</v>
      </c>
      <c r="C193" s="285" t="s">
        <v>956</v>
      </c>
      <c r="D193" s="355" t="s">
        <v>738</v>
      </c>
      <c r="E193" s="338">
        <v>44211</v>
      </c>
      <c r="F193" s="339">
        <v>44454</v>
      </c>
      <c r="G193" s="288" t="s">
        <v>1345</v>
      </c>
      <c r="H193" s="126" t="s">
        <v>1255</v>
      </c>
      <c r="I193" s="126" t="s">
        <v>753</v>
      </c>
      <c r="J193" s="356" t="s">
        <v>1346</v>
      </c>
      <c r="K193" s="304"/>
      <c r="L193" s="315"/>
      <c r="M193" s="312"/>
      <c r="N193" s="312"/>
      <c r="O193" s="312"/>
      <c r="P193" s="313"/>
      <c r="Q193" s="301" t="s">
        <v>1347</v>
      </c>
      <c r="R193" s="294" t="s">
        <v>1348</v>
      </c>
      <c r="S193" s="303" t="s">
        <v>1349</v>
      </c>
      <c r="T193" s="65"/>
      <c r="U193" s="65"/>
      <c r="V193" s="65"/>
      <c r="W193" s="65"/>
      <c r="X193" s="65"/>
      <c r="Y193" s="65"/>
      <c r="Z193" s="65"/>
    </row>
    <row r="194" spans="1:26" ht="15.75" customHeight="1">
      <c r="A194" s="304">
        <v>51</v>
      </c>
      <c r="B194" s="358" t="s">
        <v>1350</v>
      </c>
      <c r="C194" s="285" t="s">
        <v>1351</v>
      </c>
      <c r="D194" s="355" t="s">
        <v>738</v>
      </c>
      <c r="E194" s="338">
        <v>44256</v>
      </c>
      <c r="F194" s="344">
        <v>44378</v>
      </c>
      <c r="G194" s="288" t="s">
        <v>1345</v>
      </c>
      <c r="H194" s="126" t="s">
        <v>1255</v>
      </c>
      <c r="I194" s="126" t="s">
        <v>753</v>
      </c>
      <c r="J194" s="356" t="s">
        <v>1346</v>
      </c>
      <c r="K194" s="304"/>
      <c r="L194" s="315"/>
      <c r="M194" s="312"/>
      <c r="N194" s="312"/>
      <c r="O194" s="312"/>
      <c r="P194" s="313"/>
      <c r="Q194" s="304"/>
      <c r="R194" s="312"/>
      <c r="S194" s="313"/>
      <c r="T194" s="65"/>
      <c r="U194" s="65"/>
      <c r="V194" s="65"/>
      <c r="W194" s="65"/>
      <c r="X194" s="65"/>
      <c r="Y194" s="65"/>
      <c r="Z194" s="65"/>
    </row>
    <row r="195" spans="1:26" ht="15.75" customHeight="1">
      <c r="A195" s="304">
        <v>52</v>
      </c>
      <c r="B195" s="358" t="s">
        <v>1352</v>
      </c>
      <c r="C195" s="285" t="s">
        <v>892</v>
      </c>
      <c r="D195" s="355" t="s">
        <v>738</v>
      </c>
      <c r="E195" s="338">
        <v>44256</v>
      </c>
      <c r="F195" s="344">
        <v>44378</v>
      </c>
      <c r="G195" s="288" t="s">
        <v>1345</v>
      </c>
      <c r="H195" s="126" t="s">
        <v>1255</v>
      </c>
      <c r="I195" s="126" t="s">
        <v>753</v>
      </c>
      <c r="J195" s="356" t="s">
        <v>1346</v>
      </c>
      <c r="K195" s="304"/>
      <c r="L195" s="315"/>
      <c r="M195" s="312"/>
      <c r="N195" s="312"/>
      <c r="O195" s="312"/>
      <c r="P195" s="313"/>
      <c r="Q195" s="304"/>
      <c r="R195" s="312"/>
      <c r="S195" s="313"/>
      <c r="T195" s="65"/>
      <c r="U195" s="65"/>
      <c r="V195" s="65"/>
      <c r="W195" s="65"/>
      <c r="X195" s="65"/>
      <c r="Y195" s="65"/>
      <c r="Z195" s="65"/>
    </row>
    <row r="196" spans="1:26" ht="15.75" customHeight="1">
      <c r="A196" s="304">
        <v>53</v>
      </c>
      <c r="B196" s="358" t="s">
        <v>1353</v>
      </c>
      <c r="C196" s="285" t="s">
        <v>1165</v>
      </c>
      <c r="D196" s="355" t="s">
        <v>738</v>
      </c>
      <c r="E196" s="338">
        <v>44287</v>
      </c>
      <c r="F196" s="344">
        <v>44378</v>
      </c>
      <c r="G196" s="288" t="s">
        <v>1345</v>
      </c>
      <c r="H196" s="126" t="s">
        <v>1255</v>
      </c>
      <c r="I196" s="126" t="s">
        <v>753</v>
      </c>
      <c r="J196" s="356" t="s">
        <v>1346</v>
      </c>
      <c r="K196" s="304"/>
      <c r="L196" s="315"/>
      <c r="M196" s="312"/>
      <c r="N196" s="312"/>
      <c r="O196" s="312"/>
      <c r="P196" s="313"/>
      <c r="Q196" s="304"/>
      <c r="R196" s="312"/>
      <c r="S196" s="313"/>
      <c r="T196" s="65"/>
      <c r="U196" s="65"/>
      <c r="V196" s="65"/>
      <c r="W196" s="65"/>
      <c r="X196" s="65"/>
      <c r="Y196" s="65"/>
      <c r="Z196" s="65"/>
    </row>
    <row r="197" spans="1:26" ht="15.75" customHeight="1">
      <c r="A197" s="304">
        <v>54</v>
      </c>
      <c r="B197" s="358" t="s">
        <v>1354</v>
      </c>
      <c r="C197" s="126" t="s">
        <v>1355</v>
      </c>
      <c r="D197" s="355" t="s">
        <v>738</v>
      </c>
      <c r="E197" s="338">
        <v>44256</v>
      </c>
      <c r="F197" s="339">
        <v>44409</v>
      </c>
      <c r="G197" s="288" t="s">
        <v>1345</v>
      </c>
      <c r="H197" s="126" t="s">
        <v>1255</v>
      </c>
      <c r="I197" s="126" t="s">
        <v>753</v>
      </c>
      <c r="J197" s="356" t="s">
        <v>1346</v>
      </c>
      <c r="K197" s="304"/>
      <c r="L197" s="315"/>
      <c r="M197" s="312"/>
      <c r="N197" s="312"/>
      <c r="O197" s="312"/>
      <c r="P197" s="313"/>
      <c r="Q197" s="304"/>
      <c r="R197" s="312"/>
      <c r="S197" s="313"/>
      <c r="T197" s="65"/>
      <c r="U197" s="65"/>
      <c r="V197" s="65"/>
      <c r="W197" s="65"/>
      <c r="X197" s="65"/>
      <c r="Y197" s="65"/>
      <c r="Z197" s="65"/>
    </row>
    <row r="198" spans="1:26" ht="15.75" customHeight="1">
      <c r="A198" s="304">
        <v>55</v>
      </c>
      <c r="B198" s="358" t="s">
        <v>1356</v>
      </c>
      <c r="C198" s="324" t="s">
        <v>1357</v>
      </c>
      <c r="D198" s="355" t="s">
        <v>738</v>
      </c>
      <c r="E198" s="338">
        <v>44105</v>
      </c>
      <c r="F198" s="339">
        <v>44470</v>
      </c>
      <c r="G198" s="288" t="s">
        <v>1345</v>
      </c>
      <c r="H198" s="126" t="s">
        <v>1255</v>
      </c>
      <c r="I198" s="126" t="s">
        <v>753</v>
      </c>
      <c r="J198" s="356" t="s">
        <v>1346</v>
      </c>
      <c r="K198" s="304"/>
      <c r="L198" s="315"/>
      <c r="M198" s="312"/>
      <c r="N198" s="312"/>
      <c r="O198" s="312"/>
      <c r="P198" s="313"/>
      <c r="Q198" s="304"/>
      <c r="R198" s="312"/>
      <c r="S198" s="313"/>
      <c r="T198" s="65"/>
      <c r="U198" s="65"/>
      <c r="V198" s="65"/>
      <c r="W198" s="65"/>
      <c r="X198" s="65"/>
      <c r="Y198" s="65"/>
      <c r="Z198" s="65"/>
    </row>
    <row r="199" spans="1:26" ht="15.75" customHeight="1">
      <c r="A199" s="304">
        <v>56</v>
      </c>
      <c r="B199" s="358" t="s">
        <v>1358</v>
      </c>
      <c r="C199" s="324" t="s">
        <v>1359</v>
      </c>
      <c r="D199" s="355" t="s">
        <v>738</v>
      </c>
      <c r="E199" s="338">
        <v>44197</v>
      </c>
      <c r="F199" s="339">
        <v>44440</v>
      </c>
      <c r="G199" s="288" t="s">
        <v>1345</v>
      </c>
      <c r="H199" s="126" t="s">
        <v>1255</v>
      </c>
      <c r="I199" s="126" t="s">
        <v>753</v>
      </c>
      <c r="J199" s="356" t="s">
        <v>1346</v>
      </c>
      <c r="K199" s="304"/>
      <c r="L199" s="315"/>
      <c r="M199" s="312"/>
      <c r="N199" s="312"/>
      <c r="O199" s="312"/>
      <c r="P199" s="313"/>
      <c r="Q199" s="304"/>
      <c r="R199" s="312"/>
      <c r="S199" s="313"/>
      <c r="T199" s="65"/>
      <c r="U199" s="65"/>
      <c r="V199" s="65"/>
      <c r="W199" s="65"/>
      <c r="X199" s="65"/>
      <c r="Y199" s="65"/>
      <c r="Z199" s="65"/>
    </row>
    <row r="200" spans="1:26" ht="15.75" customHeight="1">
      <c r="A200" s="304">
        <v>57</v>
      </c>
      <c r="B200" s="358" t="s">
        <v>1360</v>
      </c>
      <c r="C200" s="322" t="s">
        <v>1361</v>
      </c>
      <c r="D200" s="355" t="s">
        <v>738</v>
      </c>
      <c r="E200" s="338">
        <v>44317</v>
      </c>
      <c r="F200" s="339">
        <v>44470</v>
      </c>
      <c r="G200" s="288" t="s">
        <v>1345</v>
      </c>
      <c r="H200" s="126" t="s">
        <v>1255</v>
      </c>
      <c r="I200" s="126" t="s">
        <v>753</v>
      </c>
      <c r="J200" s="356" t="s">
        <v>1346</v>
      </c>
      <c r="K200" s="304"/>
      <c r="L200" s="315"/>
      <c r="M200" s="312"/>
      <c r="N200" s="312"/>
      <c r="O200" s="312"/>
      <c r="P200" s="313"/>
      <c r="Q200" s="304"/>
      <c r="R200" s="312"/>
      <c r="S200" s="313"/>
      <c r="T200" s="65"/>
      <c r="U200" s="65"/>
      <c r="V200" s="65"/>
      <c r="W200" s="65"/>
      <c r="X200" s="65"/>
      <c r="Y200" s="65"/>
      <c r="Z200" s="65"/>
    </row>
    <row r="201" spans="1:26" ht="15.75" customHeight="1">
      <c r="A201" s="304">
        <v>58</v>
      </c>
      <c r="B201" s="358" t="s">
        <v>1362</v>
      </c>
      <c r="C201" s="324" t="s">
        <v>1359</v>
      </c>
      <c r="D201" s="355" t="s">
        <v>738</v>
      </c>
      <c r="E201" s="338">
        <v>44256</v>
      </c>
      <c r="F201" s="339">
        <v>44378</v>
      </c>
      <c r="G201" s="288" t="s">
        <v>1345</v>
      </c>
      <c r="H201" s="126" t="s">
        <v>1255</v>
      </c>
      <c r="I201" s="126" t="s">
        <v>753</v>
      </c>
      <c r="J201" s="356" t="s">
        <v>1346</v>
      </c>
      <c r="K201" s="304"/>
      <c r="L201" s="315"/>
      <c r="M201" s="312"/>
      <c r="N201" s="312"/>
      <c r="O201" s="312"/>
      <c r="P201" s="313"/>
      <c r="Q201" s="304"/>
      <c r="R201" s="312"/>
      <c r="S201" s="313"/>
      <c r="T201" s="65"/>
      <c r="U201" s="65"/>
      <c r="V201" s="65"/>
      <c r="W201" s="65"/>
      <c r="X201" s="65"/>
      <c r="Y201" s="65"/>
      <c r="Z201" s="65"/>
    </row>
    <row r="202" spans="1:26" ht="15.75" customHeight="1">
      <c r="A202" s="304">
        <v>59</v>
      </c>
      <c r="B202" s="358" t="s">
        <v>1363</v>
      </c>
      <c r="C202" s="324" t="s">
        <v>1364</v>
      </c>
      <c r="D202" s="355" t="s">
        <v>738</v>
      </c>
      <c r="E202" s="338">
        <v>44228</v>
      </c>
      <c r="F202" s="339">
        <v>44378</v>
      </c>
      <c r="G202" s="288" t="s">
        <v>1345</v>
      </c>
      <c r="H202" s="126" t="s">
        <v>1255</v>
      </c>
      <c r="I202" s="126" t="s">
        <v>753</v>
      </c>
      <c r="J202" s="356" t="s">
        <v>1346</v>
      </c>
      <c r="K202" s="304"/>
      <c r="L202" s="315"/>
      <c r="M202" s="312"/>
      <c r="N202" s="312"/>
      <c r="O202" s="312"/>
      <c r="P202" s="313"/>
      <c r="Q202" s="304"/>
      <c r="R202" s="312"/>
      <c r="S202" s="313"/>
      <c r="T202" s="65"/>
      <c r="U202" s="65"/>
      <c r="V202" s="65"/>
      <c r="W202" s="65"/>
      <c r="X202" s="65"/>
      <c r="Y202" s="65"/>
      <c r="Z202" s="65"/>
    </row>
    <row r="203" spans="1:26" ht="15.75" customHeight="1">
      <c r="A203" s="304">
        <v>60</v>
      </c>
      <c r="B203" s="358" t="s">
        <v>1365</v>
      </c>
      <c r="C203" s="324" t="s">
        <v>1366</v>
      </c>
      <c r="D203" s="355" t="s">
        <v>738</v>
      </c>
      <c r="E203" s="338">
        <v>44197</v>
      </c>
      <c r="F203" s="339">
        <v>44378</v>
      </c>
      <c r="G203" s="288" t="s">
        <v>1345</v>
      </c>
      <c r="H203" s="126" t="s">
        <v>1255</v>
      </c>
      <c r="I203" s="126" t="s">
        <v>753</v>
      </c>
      <c r="J203" s="356" t="s">
        <v>1346</v>
      </c>
      <c r="K203" s="304"/>
      <c r="L203" s="315"/>
      <c r="M203" s="312"/>
      <c r="N203" s="312"/>
      <c r="O203" s="312"/>
      <c r="P203" s="313"/>
      <c r="Q203" s="304"/>
      <c r="R203" s="312"/>
      <c r="S203" s="313"/>
      <c r="T203" s="65"/>
      <c r="U203" s="65"/>
      <c r="V203" s="65"/>
      <c r="W203" s="65"/>
      <c r="X203" s="65"/>
      <c r="Y203" s="65"/>
      <c r="Z203" s="65"/>
    </row>
    <row r="204" spans="1:26" ht="15.75" customHeight="1">
      <c r="A204" s="304">
        <v>61</v>
      </c>
      <c r="B204" s="358" t="s">
        <v>1367</v>
      </c>
      <c r="C204" s="323" t="s">
        <v>1368</v>
      </c>
      <c r="D204" s="355" t="s">
        <v>738</v>
      </c>
      <c r="E204" s="338">
        <v>44228</v>
      </c>
      <c r="F204" s="339">
        <v>44409</v>
      </c>
      <c r="G204" s="288" t="s">
        <v>1345</v>
      </c>
      <c r="H204" s="126" t="s">
        <v>1255</v>
      </c>
      <c r="I204" s="126" t="s">
        <v>753</v>
      </c>
      <c r="J204" s="356" t="s">
        <v>1346</v>
      </c>
      <c r="K204" s="304"/>
      <c r="L204" s="315"/>
      <c r="M204" s="312"/>
      <c r="N204" s="312"/>
      <c r="O204" s="312"/>
      <c r="P204" s="313"/>
      <c r="Q204" s="304"/>
      <c r="R204" s="312"/>
      <c r="S204" s="313"/>
      <c r="T204" s="65"/>
      <c r="U204" s="65"/>
      <c r="V204" s="65"/>
      <c r="W204" s="65"/>
      <c r="X204" s="65"/>
      <c r="Y204" s="65"/>
      <c r="Z204" s="65"/>
    </row>
    <row r="205" spans="1:26" ht="15.75" customHeight="1">
      <c r="A205" s="304">
        <v>62</v>
      </c>
      <c r="B205" s="340" t="s">
        <v>1369</v>
      </c>
      <c r="C205" s="324" t="s">
        <v>1370</v>
      </c>
      <c r="D205" s="355" t="s">
        <v>738</v>
      </c>
      <c r="E205" s="338">
        <v>44287</v>
      </c>
      <c r="F205" s="361">
        <v>44409</v>
      </c>
      <c r="G205" s="362" t="s">
        <v>1345</v>
      </c>
      <c r="H205" s="126" t="s">
        <v>1255</v>
      </c>
      <c r="I205" s="126" t="s">
        <v>753</v>
      </c>
      <c r="J205" s="356" t="s">
        <v>1346</v>
      </c>
      <c r="K205" s="304"/>
      <c r="L205" s="315"/>
      <c r="M205" s="312"/>
      <c r="N205" s="312"/>
      <c r="O205" s="312"/>
      <c r="P205" s="313"/>
      <c r="Q205" s="304"/>
      <c r="R205" s="312"/>
      <c r="S205" s="313"/>
      <c r="T205" s="65"/>
      <c r="U205" s="65"/>
      <c r="V205" s="65"/>
      <c r="W205" s="65"/>
      <c r="X205" s="65"/>
      <c r="Y205" s="65"/>
      <c r="Z205" s="65"/>
    </row>
    <row r="206" spans="1:26" ht="15.75" customHeight="1">
      <c r="A206" s="304"/>
      <c r="B206" s="312"/>
      <c r="C206" s="312"/>
      <c r="D206" s="312"/>
      <c r="E206" s="363"/>
      <c r="F206" s="302"/>
      <c r="G206" s="312"/>
      <c r="H206" s="364"/>
      <c r="I206" s="312"/>
      <c r="J206" s="365"/>
      <c r="K206" s="304"/>
      <c r="L206" s="315"/>
      <c r="M206" s="312"/>
      <c r="N206" s="312"/>
      <c r="O206" s="312"/>
      <c r="P206" s="313"/>
      <c r="Q206" s="304"/>
      <c r="R206" s="312"/>
      <c r="S206" s="313"/>
      <c r="T206" s="65"/>
      <c r="U206" s="65"/>
      <c r="V206" s="65"/>
      <c r="W206" s="65"/>
      <c r="X206" s="65"/>
      <c r="Y206" s="65"/>
      <c r="Z206" s="65"/>
    </row>
    <row r="207" spans="1:26" ht="15.75" customHeight="1">
      <c r="A207" s="366"/>
      <c r="B207" s="367"/>
      <c r="C207" s="367"/>
      <c r="D207" s="367"/>
      <c r="E207" s="368"/>
      <c r="F207" s="369"/>
      <c r="G207" s="370"/>
      <c r="H207" s="312"/>
      <c r="I207" s="312"/>
      <c r="J207" s="365"/>
      <c r="K207" s="366"/>
      <c r="L207" s="371"/>
      <c r="M207" s="367"/>
      <c r="N207" s="367"/>
      <c r="O207" s="367"/>
      <c r="P207" s="372"/>
      <c r="Q207" s="366"/>
      <c r="R207" s="367"/>
      <c r="S207" s="372"/>
      <c r="T207" s="65"/>
      <c r="U207" s="65"/>
      <c r="V207" s="65"/>
      <c r="W207" s="65"/>
      <c r="X207" s="65"/>
      <c r="Y207" s="65"/>
      <c r="Z207" s="65"/>
    </row>
    <row r="208" spans="1:26" ht="12.75" hidden="1" customHeight="1">
      <c r="A208" s="373"/>
      <c r="B208" s="374"/>
      <c r="C208" s="374"/>
      <c r="D208" s="374"/>
      <c r="E208" s="375"/>
      <c r="F208" s="375"/>
      <c r="G208" s="376"/>
      <c r="H208" s="376"/>
      <c r="I208" s="376"/>
      <c r="J208" s="377"/>
      <c r="K208" s="374"/>
      <c r="L208" s="375"/>
      <c r="M208" s="374"/>
      <c r="N208" s="374"/>
      <c r="O208" s="374"/>
      <c r="P208" s="374"/>
      <c r="Q208" s="374"/>
      <c r="R208" s="374"/>
      <c r="S208" s="378"/>
      <c r="T208" s="65"/>
      <c r="U208" s="65"/>
      <c r="V208" s="65"/>
      <c r="W208" s="65"/>
      <c r="X208" s="65"/>
      <c r="Y208" s="65"/>
      <c r="Z208" s="65"/>
    </row>
    <row r="209" spans="1:26" ht="15.75" customHeight="1">
      <c r="A209" s="379"/>
      <c r="B209" s="380"/>
      <c r="C209" s="380"/>
      <c r="D209" s="380"/>
      <c r="E209" s="381"/>
      <c r="F209" s="381"/>
      <c r="G209" s="380"/>
      <c r="H209" s="382" t="s">
        <v>1371</v>
      </c>
      <c r="I209" s="382" t="s">
        <v>1372</v>
      </c>
      <c r="J209" s="383" t="s">
        <v>152</v>
      </c>
      <c r="K209" s="384"/>
      <c r="L209" s="385"/>
      <c r="M209" s="384"/>
      <c r="N209" s="384"/>
      <c r="O209" s="384"/>
      <c r="P209" s="384"/>
      <c r="Q209" s="384"/>
      <c r="R209" s="384"/>
      <c r="S209" s="384"/>
      <c r="T209" s="65"/>
      <c r="U209" s="65"/>
      <c r="V209" s="65"/>
      <c r="W209" s="65"/>
      <c r="X209" s="65"/>
      <c r="Y209" s="65"/>
      <c r="Z209" s="65"/>
    </row>
    <row r="210" spans="1:26" ht="15.75" customHeight="1">
      <c r="A210" s="386"/>
      <c r="B210" s="699" t="s">
        <v>1373</v>
      </c>
      <c r="C210" s="671"/>
      <c r="D210" s="387">
        <v>55</v>
      </c>
      <c r="E210" s="388"/>
      <c r="F210" s="706" t="s">
        <v>1374</v>
      </c>
      <c r="G210" s="671"/>
      <c r="H210" s="389">
        <f>COUNTIFS(B23:B208,"*",C23:C208,"*",D23:D208,"Completed",F23:F208,"&lt;="&amp;VALUE("12/31/23"),G23:G208,"*",J23:J208,"&gt;="&amp;VALUE("1/1/23"),J23:J208,"&lt;="&amp;VALUE("12/31/23"))</f>
        <v>0</v>
      </c>
      <c r="I210" s="389">
        <f>$D$211-(COUNTIFS(B23:B208,"*",C23:C208,"*",D23:D208,"Completed",F23:F208,"&lt;="&amp;VALUE("12/31/23"),G23:G208,"*",J23:J208,"&lt;"&amp;VALUE("1/1/23")))</f>
        <v>180</v>
      </c>
      <c r="J210" s="390">
        <f t="shared" ref="J210:J211" si="0">$H210/$I210</f>
        <v>0</v>
      </c>
      <c r="K210" s="249"/>
      <c r="L210" s="391"/>
      <c r="M210" s="249"/>
      <c r="N210" s="249"/>
      <c r="O210" s="249"/>
      <c r="P210" s="249"/>
      <c r="Q210" s="249"/>
      <c r="R210" s="249"/>
      <c r="S210" s="249"/>
      <c r="T210" s="65"/>
      <c r="U210" s="65"/>
      <c r="V210" s="65"/>
      <c r="W210" s="65"/>
      <c r="X210" s="65"/>
      <c r="Y210" s="65"/>
      <c r="Z210" s="65"/>
    </row>
    <row r="211" spans="1:26" ht="12.75" customHeight="1">
      <c r="A211" s="386"/>
      <c r="B211" s="700" t="s">
        <v>1375</v>
      </c>
      <c r="C211" s="635"/>
      <c r="D211" s="702">
        <v>180</v>
      </c>
      <c r="E211" s="388"/>
      <c r="F211" s="706" t="s">
        <v>1376</v>
      </c>
      <c r="G211" s="671"/>
      <c r="H211" s="389">
        <f>COUNTIFS(B23:B208,"*",C23:C208,"*",D23:D208,"Completed",F23:F208,"&lt;="&amp;VALUE("12/31/23"),K23:K208,"*",L23:L208,"&gt;="&amp;VALUE("1/1/23"),L23:L208,"&lt;="&amp;VALUE("12/31/23"),M23:M208,"*",N23:N208,"*")</f>
        <v>0</v>
      </c>
      <c r="I211" s="389">
        <f>$D$211-(COUNTIFS(B23:B208,"*",C23:C208,"*",D23:D208,"Completed",F23:F208,"&lt;="&amp;VALUE("12/31/23"),G23:G208,"*",L23:L208,"&lt;"&amp;VALUE("1/1/23")))</f>
        <v>180</v>
      </c>
      <c r="J211" s="390">
        <f t="shared" si="0"/>
        <v>0</v>
      </c>
      <c r="K211" s="249"/>
      <c r="L211" s="391"/>
      <c r="M211" s="249"/>
      <c r="N211" s="249"/>
      <c r="O211" s="249"/>
      <c r="P211" s="249"/>
      <c r="Q211" s="249"/>
      <c r="R211" s="249"/>
      <c r="S211" s="249"/>
      <c r="T211" s="65"/>
      <c r="U211" s="65"/>
      <c r="V211" s="65"/>
      <c r="W211" s="65"/>
      <c r="X211" s="65"/>
      <c r="Y211" s="65"/>
      <c r="Z211" s="65"/>
    </row>
    <row r="212" spans="1:26" ht="15.75" customHeight="1">
      <c r="A212" s="392"/>
      <c r="B212" s="701"/>
      <c r="C212" s="636"/>
      <c r="D212" s="638"/>
      <c r="E212" s="393"/>
      <c r="F212" s="707" t="s">
        <v>1377</v>
      </c>
      <c r="G212" s="673"/>
      <c r="H212" s="394">
        <v>11</v>
      </c>
      <c r="I212" s="395"/>
      <c r="J212" s="396"/>
      <c r="K212" s="249"/>
      <c r="L212" s="391"/>
      <c r="M212" s="249"/>
      <c r="N212" s="249"/>
      <c r="O212" s="249"/>
      <c r="P212" s="249"/>
      <c r="Q212" s="249"/>
      <c r="R212" s="249"/>
      <c r="S212" s="249"/>
      <c r="T212" s="65"/>
      <c r="U212" s="65"/>
      <c r="V212" s="65"/>
      <c r="W212" s="65"/>
      <c r="X212" s="65"/>
      <c r="Y212" s="65"/>
      <c r="Z212" s="65"/>
    </row>
    <row r="213" spans="1:26" ht="15.75" customHeight="1">
      <c r="A213" s="249"/>
      <c r="B213" s="703"/>
      <c r="C213" s="576"/>
      <c r="D213" s="249"/>
      <c r="E213" s="391"/>
      <c r="F213" s="391"/>
      <c r="G213" s="249"/>
      <c r="H213" s="249"/>
      <c r="I213" s="249"/>
      <c r="J213" s="391"/>
      <c r="K213" s="249"/>
      <c r="L213" s="391"/>
      <c r="M213" s="249"/>
      <c r="N213" s="249"/>
      <c r="O213" s="249"/>
      <c r="P213" s="249"/>
      <c r="Q213" s="249"/>
      <c r="R213" s="249"/>
      <c r="S213" s="249"/>
      <c r="T213" s="65"/>
      <c r="U213" s="65"/>
      <c r="V213" s="65"/>
      <c r="W213" s="65"/>
      <c r="X213" s="65"/>
      <c r="Y213" s="65"/>
      <c r="Z213" s="65"/>
    </row>
    <row r="214" spans="1:26" ht="15.75" customHeight="1">
      <c r="A214" s="65" t="s">
        <v>153</v>
      </c>
      <c r="B214" s="65"/>
      <c r="C214" s="64"/>
      <c r="D214" s="249"/>
      <c r="E214" s="391"/>
      <c r="F214" s="391"/>
      <c r="G214" s="249"/>
      <c r="H214" s="249"/>
      <c r="I214" s="249"/>
      <c r="J214" s="391"/>
      <c r="K214" s="249"/>
      <c r="L214" s="391"/>
      <c r="M214" s="249"/>
      <c r="N214" s="249"/>
      <c r="O214" s="249"/>
      <c r="P214" s="249"/>
      <c r="Q214" s="249"/>
      <c r="R214" s="249"/>
      <c r="S214" s="249"/>
      <c r="T214" s="65"/>
      <c r="U214" s="65"/>
      <c r="V214" s="65"/>
      <c r="W214" s="65"/>
      <c r="X214" s="65"/>
      <c r="Y214" s="65"/>
      <c r="Z214" s="65"/>
    </row>
    <row r="215" spans="1:26" ht="15.75" customHeight="1">
      <c r="A215" s="65"/>
      <c r="B215" s="65"/>
      <c r="C215" s="65"/>
      <c r="D215" s="65"/>
      <c r="E215" s="65"/>
      <c r="F215" s="65"/>
      <c r="G215" s="65"/>
      <c r="H215" s="65"/>
      <c r="I215" s="65"/>
      <c r="J215" s="65"/>
      <c r="K215" s="65"/>
      <c r="L215" s="65"/>
      <c r="M215" s="65"/>
      <c r="N215" s="65"/>
      <c r="O215" s="65"/>
      <c r="P215" s="65"/>
      <c r="Q215" s="65"/>
      <c r="R215" s="65"/>
      <c r="S215" s="65"/>
      <c r="T215" s="65"/>
      <c r="U215" s="65"/>
      <c r="V215" s="65"/>
      <c r="W215" s="65"/>
      <c r="X215" s="65"/>
      <c r="Y215" s="65"/>
      <c r="Z215" s="65"/>
    </row>
    <row r="216" spans="1:26" ht="15.75" customHeight="1">
      <c r="A216" s="65"/>
      <c r="B216" s="140"/>
      <c r="C216" s="69"/>
      <c r="D216" s="249"/>
      <c r="E216" s="391"/>
      <c r="F216" s="391"/>
      <c r="G216" s="249"/>
      <c r="H216" s="249"/>
      <c r="I216" s="249"/>
      <c r="J216" s="391"/>
      <c r="K216" s="249"/>
      <c r="L216" s="391"/>
      <c r="M216" s="249"/>
      <c r="N216" s="249"/>
      <c r="O216" s="249"/>
      <c r="P216" s="249"/>
      <c r="Q216" s="249"/>
      <c r="R216" s="249"/>
      <c r="S216" s="249"/>
    </row>
    <row r="217" spans="1:26" ht="15.75" customHeight="1">
      <c r="A217" s="65"/>
      <c r="B217" s="144" t="s">
        <v>1378</v>
      </c>
      <c r="C217" s="72">
        <v>45348</v>
      </c>
      <c r="D217" s="249"/>
      <c r="E217" s="391"/>
      <c r="F217" s="391"/>
      <c r="G217" s="249"/>
      <c r="H217" s="249"/>
      <c r="I217" s="249"/>
      <c r="J217" s="391"/>
      <c r="K217" s="249"/>
      <c r="L217" s="391"/>
      <c r="M217" s="249"/>
      <c r="N217" s="249"/>
      <c r="O217" s="249"/>
      <c r="P217" s="249"/>
      <c r="Q217" s="249"/>
      <c r="R217" s="249"/>
      <c r="S217" s="249"/>
    </row>
    <row r="218" spans="1:26" ht="15.75" customHeight="1">
      <c r="A218" s="77"/>
      <c r="B218" s="397" t="s">
        <v>1379</v>
      </c>
      <c r="C218" s="75" t="s">
        <v>156</v>
      </c>
      <c r="D218" s="249"/>
      <c r="E218" s="391"/>
      <c r="F218" s="391"/>
      <c r="G218" s="249"/>
      <c r="H218" s="249"/>
      <c r="I218" s="249"/>
      <c r="J218" s="391"/>
      <c r="K218" s="249"/>
      <c r="L218" s="391"/>
      <c r="M218" s="249"/>
      <c r="N218" s="249"/>
      <c r="O218" s="249"/>
      <c r="P218" s="249"/>
      <c r="Q218" s="249"/>
      <c r="R218" s="249"/>
      <c r="S218" s="249"/>
    </row>
    <row r="219" spans="1:26" ht="15.75" customHeight="1">
      <c r="A219" s="64"/>
      <c r="B219" s="64"/>
      <c r="C219" s="64"/>
      <c r="D219" s="249"/>
      <c r="E219" s="391"/>
      <c r="F219" s="391"/>
      <c r="G219" s="249"/>
      <c r="H219" s="249"/>
      <c r="I219" s="249"/>
      <c r="J219" s="391"/>
      <c r="K219" s="249"/>
      <c r="L219" s="391"/>
      <c r="M219" s="249"/>
      <c r="N219" s="249"/>
      <c r="O219" s="249"/>
      <c r="P219" s="249"/>
      <c r="Q219" s="249"/>
      <c r="R219" s="249"/>
      <c r="S219" s="249"/>
    </row>
    <row r="220" spans="1:26" ht="15.75" customHeight="1">
      <c r="A220" s="64"/>
      <c r="B220" s="64"/>
      <c r="C220" s="64"/>
      <c r="D220" s="249"/>
      <c r="E220" s="391"/>
      <c r="F220" s="391"/>
      <c r="G220" s="249"/>
      <c r="H220" s="249"/>
      <c r="I220" s="249"/>
      <c r="J220" s="391"/>
      <c r="K220" s="249"/>
      <c r="L220" s="391"/>
      <c r="M220" s="249"/>
      <c r="N220" s="249"/>
      <c r="O220" s="249"/>
      <c r="P220" s="249"/>
      <c r="Q220" s="249"/>
      <c r="R220" s="249"/>
      <c r="S220" s="249"/>
    </row>
    <row r="221" spans="1:26" ht="15.75" customHeight="1">
      <c r="A221" s="64" t="s">
        <v>157</v>
      </c>
      <c r="B221" s="64"/>
      <c r="C221" s="64"/>
      <c r="D221" s="249"/>
      <c r="E221" s="391"/>
      <c r="F221" s="391"/>
      <c r="G221" s="249"/>
      <c r="H221" s="249"/>
      <c r="I221" s="249"/>
      <c r="J221" s="391"/>
      <c r="K221" s="249"/>
      <c r="L221" s="391"/>
      <c r="M221" s="249"/>
      <c r="N221" s="249"/>
      <c r="O221" s="249"/>
      <c r="P221" s="249"/>
      <c r="Q221" s="249"/>
      <c r="R221" s="249"/>
      <c r="S221" s="249"/>
    </row>
    <row r="222" spans="1:26" ht="15.75" customHeight="1">
      <c r="A222" s="64"/>
      <c r="B222" s="64"/>
      <c r="C222" s="64"/>
      <c r="D222" s="249"/>
      <c r="E222" s="391"/>
      <c r="F222" s="391"/>
      <c r="G222" s="249"/>
      <c r="H222" s="249"/>
      <c r="I222" s="249"/>
      <c r="J222" s="391"/>
      <c r="K222" s="249"/>
      <c r="L222" s="391"/>
      <c r="M222" s="249"/>
      <c r="N222" s="249"/>
      <c r="O222" s="249"/>
      <c r="P222" s="249"/>
      <c r="Q222" s="249"/>
      <c r="R222" s="249"/>
      <c r="S222" s="249"/>
    </row>
    <row r="223" spans="1:26" ht="15.75" customHeight="1">
      <c r="A223" s="65"/>
      <c r="B223" s="140"/>
      <c r="C223" s="69"/>
      <c r="D223" s="249"/>
      <c r="E223" s="391"/>
      <c r="F223" s="391"/>
      <c r="G223" s="249"/>
      <c r="H223" s="249"/>
      <c r="I223" s="249"/>
      <c r="J223" s="391"/>
      <c r="K223" s="249"/>
      <c r="L223" s="391"/>
      <c r="M223" s="249"/>
      <c r="N223" s="249"/>
      <c r="O223" s="249"/>
      <c r="P223" s="249"/>
      <c r="Q223" s="249"/>
      <c r="R223" s="249"/>
      <c r="S223" s="249"/>
    </row>
    <row r="224" spans="1:26" ht="15.75" customHeight="1">
      <c r="A224" s="65"/>
      <c r="B224" s="71" t="s">
        <v>158</v>
      </c>
      <c r="C224" s="72">
        <v>45348</v>
      </c>
      <c r="D224" s="249"/>
      <c r="E224" s="391"/>
      <c r="F224" s="391"/>
      <c r="G224" s="249"/>
      <c r="H224" s="249"/>
      <c r="I224" s="249"/>
      <c r="J224" s="391"/>
      <c r="K224" s="249"/>
      <c r="L224" s="391"/>
      <c r="M224" s="249"/>
      <c r="N224" s="249"/>
      <c r="O224" s="249"/>
      <c r="P224" s="249"/>
      <c r="Q224" s="249"/>
      <c r="R224" s="249"/>
      <c r="S224" s="249"/>
    </row>
    <row r="225" spans="1:19" ht="15.75" customHeight="1">
      <c r="A225" s="77"/>
      <c r="B225" s="77" t="s">
        <v>159</v>
      </c>
      <c r="C225" s="75" t="s">
        <v>156</v>
      </c>
      <c r="D225" s="249"/>
      <c r="E225" s="391"/>
      <c r="F225" s="391"/>
      <c r="G225" s="249"/>
      <c r="H225" s="249"/>
      <c r="I225" s="249"/>
      <c r="J225" s="391"/>
      <c r="K225" s="249"/>
      <c r="L225" s="391"/>
      <c r="M225" s="249"/>
      <c r="N225" s="249"/>
      <c r="O225" s="249"/>
      <c r="P225" s="249"/>
      <c r="Q225" s="249"/>
      <c r="R225" s="249"/>
      <c r="S225" s="249"/>
    </row>
    <row r="226" spans="1:19" ht="15.75" customHeight="1"/>
    <row r="227" spans="1:19" ht="15.75" customHeight="1"/>
    <row r="228" spans="1:19" ht="15.75" customHeight="1"/>
    <row r="229" spans="1:19" ht="15.75" customHeight="1"/>
    <row r="230" spans="1:19" ht="15.75" customHeight="1"/>
    <row r="231" spans="1:19" ht="15.75" customHeight="1"/>
    <row r="232" spans="1:19" ht="15.75" customHeight="1"/>
    <row r="233" spans="1:19" ht="15.75" customHeight="1"/>
    <row r="234" spans="1:19" ht="15.75" customHeight="1"/>
    <row r="235" spans="1:19" ht="15.75" customHeight="1"/>
    <row r="236" spans="1:19" ht="15.75" customHeight="1"/>
    <row r="237" spans="1:19" ht="15.75" customHeight="1"/>
    <row r="238" spans="1:19" ht="15.75" customHeight="1"/>
    <row r="239" spans="1:19" ht="15.75" customHeight="1"/>
    <row r="240" spans="1:19"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57">
    <mergeCell ref="Q20:Q21"/>
    <mergeCell ref="L20:L21"/>
    <mergeCell ref="M20:M21"/>
    <mergeCell ref="N20:N21"/>
    <mergeCell ref="O20:O21"/>
    <mergeCell ref="P20:P21"/>
    <mergeCell ref="B210:C210"/>
    <mergeCell ref="B211:C212"/>
    <mergeCell ref="D211:D212"/>
    <mergeCell ref="B213:C213"/>
    <mergeCell ref="E20:F20"/>
    <mergeCell ref="F210:G210"/>
    <mergeCell ref="F211:G211"/>
    <mergeCell ref="F212:G212"/>
    <mergeCell ref="R20:R21"/>
    <mergeCell ref="S20:S21"/>
    <mergeCell ref="D11:D12"/>
    <mergeCell ref="E11:F11"/>
    <mergeCell ref="A19:F19"/>
    <mergeCell ref="G19:J19"/>
    <mergeCell ref="K19:P19"/>
    <mergeCell ref="Q19:S19"/>
    <mergeCell ref="A20:B21"/>
    <mergeCell ref="C20:C21"/>
    <mergeCell ref="D20:D21"/>
    <mergeCell ref="G20:G21"/>
    <mergeCell ref="H20:H21"/>
    <mergeCell ref="I20:I21"/>
    <mergeCell ref="J20:J21"/>
    <mergeCell ref="K20:K21"/>
    <mergeCell ref="O11:O12"/>
    <mergeCell ref="P11:P12"/>
    <mergeCell ref="Q11:Q12"/>
    <mergeCell ref="R11:R12"/>
    <mergeCell ref="A9:S9"/>
    <mergeCell ref="A10:F10"/>
    <mergeCell ref="G10:J10"/>
    <mergeCell ref="K10:P10"/>
    <mergeCell ref="Q10:S10"/>
    <mergeCell ref="A11:B12"/>
    <mergeCell ref="C11:C12"/>
    <mergeCell ref="S11:S12"/>
    <mergeCell ref="C6:N6"/>
    <mergeCell ref="C7:N7"/>
    <mergeCell ref="G11:G12"/>
    <mergeCell ref="H11:H12"/>
    <mergeCell ref="I11:I12"/>
    <mergeCell ref="J11:J12"/>
    <mergeCell ref="K11:K12"/>
    <mergeCell ref="L11:L12"/>
    <mergeCell ref="M11:M12"/>
    <mergeCell ref="N11:N12"/>
    <mergeCell ref="C1:H1"/>
    <mergeCell ref="C2:N2"/>
    <mergeCell ref="C3:N3"/>
    <mergeCell ref="C4:N4"/>
    <mergeCell ref="C5:N5"/>
  </mergeCells>
  <dataValidations count="4">
    <dataValidation type="list" allowBlank="1" showErrorMessage="1" sqref="D144:D154 D156:D165 D167:D180 D182:D188 D191:D205" xr:uid="{00000000-0002-0000-0800-000000000000}">
      <formula1>$C$17:$C$18</formula1>
    </dataValidation>
    <dataValidation type="list" allowBlank="1" showErrorMessage="1" sqref="I80:I142" xr:uid="{00000000-0002-0000-0800-000001000000}">
      <formula1>#REF!</formula1>
    </dataValidation>
    <dataValidation type="list" allowBlank="1" showErrorMessage="1" sqref="I23:I79 I143:I208" xr:uid="{00000000-0002-0000-0800-000002000000}">
      <formula1>$I$13:$I$17</formula1>
    </dataValidation>
    <dataValidation type="list" allowBlank="1" showErrorMessage="1" sqref="D23:D79 D143 D206:D208" xr:uid="{00000000-0002-0000-0800-000003000000}">
      <formula1>"On-going,Completed"</formula1>
    </dataValidation>
  </dataValidations>
  <printOptions horizontalCentered="1"/>
  <pageMargins left="0.25" right="0.25" top="0.75" bottom="0.75" header="0" footer="0"/>
  <pageSetup fitToHeight="0" pageOrder="overThenDown"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74E13"/>
    <pageSetUpPr fitToPage="1"/>
  </sheetPr>
  <dimension ref="A1:N1000"/>
  <sheetViews>
    <sheetView workbookViewId="0"/>
  </sheetViews>
  <sheetFormatPr defaultColWidth="12.5703125" defaultRowHeight="15" customHeight="1"/>
  <cols>
    <col min="1" max="1" width="4.42578125" customWidth="1"/>
    <col min="2" max="2" width="30.5703125" customWidth="1"/>
    <col min="3" max="4" width="13.42578125" customWidth="1"/>
    <col min="5" max="5" width="16.42578125" customWidth="1"/>
    <col min="6" max="6" width="10.28515625" customWidth="1"/>
    <col min="7" max="7" width="11.42578125" customWidth="1"/>
    <col min="8" max="8" width="19.42578125" customWidth="1"/>
    <col min="9" max="9" width="10.5703125" customWidth="1"/>
    <col min="10" max="13" width="5.42578125" customWidth="1"/>
    <col min="14" max="14" width="7.5703125" customWidth="1"/>
  </cols>
  <sheetData>
    <row r="1" spans="1:14" ht="15.75" customHeight="1">
      <c r="A1" s="10"/>
      <c r="B1" s="145" t="s">
        <v>105</v>
      </c>
      <c r="C1" s="718" t="s">
        <v>106</v>
      </c>
      <c r="D1" s="647"/>
      <c r="E1" s="647"/>
      <c r="F1" s="647"/>
      <c r="G1" s="647"/>
      <c r="H1" s="647"/>
      <c r="I1" s="648"/>
      <c r="J1" s="398"/>
      <c r="K1" s="398"/>
      <c r="L1" s="398"/>
      <c r="M1" s="399"/>
      <c r="N1" s="400"/>
    </row>
    <row r="2" spans="1:14" ht="12.75" customHeight="1">
      <c r="A2" s="12"/>
      <c r="B2" s="13" t="s">
        <v>107</v>
      </c>
      <c r="C2" s="587" t="s">
        <v>72</v>
      </c>
      <c r="D2" s="588"/>
      <c r="E2" s="588"/>
      <c r="F2" s="588"/>
      <c r="G2" s="588"/>
      <c r="H2" s="588"/>
      <c r="I2" s="588"/>
      <c r="J2" s="588"/>
      <c r="K2" s="588"/>
      <c r="L2" s="588"/>
      <c r="M2" s="588"/>
      <c r="N2" s="589"/>
    </row>
    <row r="3" spans="1:14" ht="12.75" customHeight="1">
      <c r="A3" s="14"/>
      <c r="B3" s="15" t="s">
        <v>108</v>
      </c>
      <c r="C3" s="613" t="s">
        <v>1380</v>
      </c>
      <c r="D3" s="588"/>
      <c r="E3" s="588"/>
      <c r="F3" s="588"/>
      <c r="G3" s="588"/>
      <c r="H3" s="588"/>
      <c r="I3" s="588"/>
      <c r="J3" s="588"/>
      <c r="K3" s="588"/>
      <c r="L3" s="588"/>
      <c r="M3" s="588"/>
      <c r="N3" s="589"/>
    </row>
    <row r="4" spans="1:14" ht="91.5" customHeight="1">
      <c r="A4" s="401"/>
      <c r="B4" s="13" t="s">
        <v>110</v>
      </c>
      <c r="C4" s="613" t="s">
        <v>1381</v>
      </c>
      <c r="D4" s="588"/>
      <c r="E4" s="588"/>
      <c r="F4" s="588"/>
      <c r="G4" s="588"/>
      <c r="H4" s="588"/>
      <c r="I4" s="588"/>
      <c r="J4" s="588"/>
      <c r="K4" s="588"/>
      <c r="L4" s="588"/>
      <c r="M4" s="588"/>
      <c r="N4" s="589"/>
    </row>
    <row r="5" spans="1:14" ht="195.75" customHeight="1">
      <c r="A5" s="12"/>
      <c r="B5" s="13" t="s">
        <v>112</v>
      </c>
      <c r="C5" s="402" t="s">
        <v>1382</v>
      </c>
      <c r="D5" s="81"/>
      <c r="E5" s="81"/>
      <c r="F5" s="81"/>
      <c r="G5" s="81"/>
      <c r="H5" s="81"/>
      <c r="I5" s="81"/>
      <c r="J5" s="81"/>
      <c r="K5" s="81"/>
      <c r="L5" s="81"/>
      <c r="M5" s="403"/>
      <c r="N5" s="404"/>
    </row>
    <row r="6" spans="1:14" ht="107.25" customHeight="1">
      <c r="A6" s="12"/>
      <c r="B6" s="13" t="s">
        <v>113</v>
      </c>
      <c r="C6" s="67" t="s">
        <v>1383</v>
      </c>
      <c r="D6" s="81"/>
      <c r="E6" s="81"/>
      <c r="F6" s="81"/>
      <c r="G6" s="81"/>
      <c r="H6" s="81"/>
      <c r="I6" s="81"/>
      <c r="J6" s="81"/>
      <c r="K6" s="81"/>
      <c r="L6" s="81"/>
      <c r="M6" s="81"/>
      <c r="N6" s="404"/>
    </row>
    <row r="7" spans="1:14" ht="12.75" customHeight="1">
      <c r="A7" s="18"/>
      <c r="B7" s="19" t="s">
        <v>114</v>
      </c>
      <c r="C7" s="591" t="s">
        <v>115</v>
      </c>
      <c r="D7" s="592"/>
      <c r="E7" s="592"/>
      <c r="F7" s="592"/>
      <c r="G7" s="592"/>
      <c r="H7" s="592"/>
      <c r="I7" s="592"/>
      <c r="J7" s="592"/>
      <c r="K7" s="592"/>
      <c r="L7" s="592"/>
      <c r="M7" s="592"/>
      <c r="N7" s="593"/>
    </row>
    <row r="8" spans="1:14" ht="14.25" customHeight="1">
      <c r="A8" s="405"/>
      <c r="B8" s="406"/>
      <c r="C8" s="249"/>
      <c r="D8" s="249"/>
      <c r="E8" s="249"/>
      <c r="F8" s="249"/>
      <c r="G8" s="249"/>
      <c r="H8" s="249"/>
      <c r="I8" s="249"/>
      <c r="J8" s="407"/>
      <c r="K8" s="407"/>
      <c r="L8" s="407"/>
      <c r="M8" s="408"/>
      <c r="N8" s="408"/>
    </row>
    <row r="9" spans="1:14" ht="15.75" customHeight="1">
      <c r="A9" s="719" t="s">
        <v>116</v>
      </c>
      <c r="B9" s="681"/>
      <c r="C9" s="681"/>
      <c r="D9" s="681"/>
      <c r="E9" s="681"/>
      <c r="F9" s="681"/>
      <c r="G9" s="681"/>
      <c r="H9" s="681"/>
      <c r="I9" s="681"/>
      <c r="J9" s="681"/>
      <c r="K9" s="681"/>
      <c r="L9" s="681"/>
      <c r="M9" s="681"/>
      <c r="N9" s="683"/>
    </row>
    <row r="10" spans="1:14" ht="15.75" customHeight="1">
      <c r="A10" s="720">
        <v>1</v>
      </c>
      <c r="B10" s="595"/>
      <c r="C10" s="721">
        <v>2</v>
      </c>
      <c r="D10" s="595"/>
      <c r="E10" s="713">
        <v>3</v>
      </c>
      <c r="F10" s="595"/>
      <c r="G10" s="410">
        <v>4</v>
      </c>
      <c r="H10" s="409">
        <v>5</v>
      </c>
      <c r="I10" s="411">
        <v>6</v>
      </c>
      <c r="J10" s="713">
        <v>7</v>
      </c>
      <c r="K10" s="585"/>
      <c r="L10" s="585"/>
      <c r="M10" s="585"/>
      <c r="N10" s="586"/>
    </row>
    <row r="11" spans="1:14" ht="12.75" customHeight="1">
      <c r="A11" s="722" t="s">
        <v>1384</v>
      </c>
      <c r="B11" s="653"/>
      <c r="C11" s="723" t="s">
        <v>1385</v>
      </c>
      <c r="D11" s="640"/>
      <c r="E11" s="724" t="s">
        <v>1386</v>
      </c>
      <c r="F11" s="724" t="s">
        <v>1387</v>
      </c>
      <c r="G11" s="724" t="s">
        <v>1388</v>
      </c>
      <c r="H11" s="710" t="s">
        <v>1389</v>
      </c>
      <c r="I11" s="711" t="s">
        <v>1390</v>
      </c>
      <c r="J11" s="714" t="s">
        <v>1391</v>
      </c>
      <c r="K11" s="715"/>
      <c r="L11" s="715"/>
      <c r="M11" s="715"/>
      <c r="N11" s="705"/>
    </row>
    <row r="12" spans="1:14" ht="12.75" customHeight="1">
      <c r="A12" s="652"/>
      <c r="B12" s="653"/>
      <c r="C12" s="663" t="s">
        <v>1392</v>
      </c>
      <c r="D12" s="663" t="s">
        <v>1393</v>
      </c>
      <c r="E12" s="653"/>
      <c r="F12" s="653"/>
      <c r="G12" s="653"/>
      <c r="H12" s="588"/>
      <c r="I12" s="712"/>
      <c r="J12" s="412">
        <v>1</v>
      </c>
      <c r="K12" s="412">
        <v>2</v>
      </c>
      <c r="L12" s="412">
        <v>3</v>
      </c>
      <c r="M12" s="412">
        <v>4</v>
      </c>
      <c r="N12" s="413">
        <v>5</v>
      </c>
    </row>
    <row r="13" spans="1:14" ht="15.75" customHeight="1">
      <c r="A13" s="615"/>
      <c r="B13" s="616"/>
      <c r="C13" s="645"/>
      <c r="D13" s="645"/>
      <c r="E13" s="616"/>
      <c r="F13" s="616"/>
      <c r="G13" s="616"/>
      <c r="H13" s="579"/>
      <c r="I13" s="688"/>
      <c r="J13" s="414" t="s">
        <v>1394</v>
      </c>
      <c r="K13" s="414" t="s">
        <v>1395</v>
      </c>
      <c r="L13" s="414" t="s">
        <v>1396</v>
      </c>
      <c r="M13" s="414" t="s">
        <v>1397</v>
      </c>
      <c r="N13" s="415" t="s">
        <v>176</v>
      </c>
    </row>
    <row r="14" spans="1:14" ht="15.75" customHeight="1">
      <c r="A14" s="416">
        <v>1</v>
      </c>
      <c r="B14" s="254" t="s">
        <v>1398</v>
      </c>
      <c r="C14" s="417">
        <v>44975</v>
      </c>
      <c r="D14" s="417">
        <v>44975</v>
      </c>
      <c r="E14" s="418">
        <v>4</v>
      </c>
      <c r="F14" s="418">
        <v>0.5</v>
      </c>
      <c r="G14" s="419">
        <v>25</v>
      </c>
      <c r="H14" s="420">
        <f t="array" ref="H14:H18">F14:F18*G14:G18</f>
        <v>12.5</v>
      </c>
      <c r="I14" s="421">
        <v>25</v>
      </c>
      <c r="J14" s="418"/>
      <c r="K14" s="418"/>
      <c r="L14" s="418"/>
      <c r="M14" s="419">
        <v>5</v>
      </c>
      <c r="N14" s="422">
        <v>20</v>
      </c>
    </row>
    <row r="15" spans="1:14" ht="15.75" customHeight="1">
      <c r="A15" s="416">
        <v>2</v>
      </c>
      <c r="B15" s="254" t="s">
        <v>1399</v>
      </c>
      <c r="C15" s="417">
        <v>44989</v>
      </c>
      <c r="D15" s="417">
        <v>44996</v>
      </c>
      <c r="E15" s="418">
        <v>8</v>
      </c>
      <c r="F15" s="418">
        <v>1</v>
      </c>
      <c r="G15" s="419">
        <v>25</v>
      </c>
      <c r="H15" s="420">
        <v>25</v>
      </c>
      <c r="I15" s="421">
        <v>25</v>
      </c>
      <c r="J15" s="418"/>
      <c r="K15" s="418"/>
      <c r="L15" s="418"/>
      <c r="M15" s="419">
        <v>6</v>
      </c>
      <c r="N15" s="422">
        <v>19</v>
      </c>
    </row>
    <row r="16" spans="1:14" ht="15.75" customHeight="1">
      <c r="A16" s="416">
        <v>3</v>
      </c>
      <c r="B16" s="254" t="s">
        <v>1400</v>
      </c>
      <c r="C16" s="417">
        <v>45052</v>
      </c>
      <c r="D16" s="417">
        <v>45073</v>
      </c>
      <c r="E16" s="418">
        <v>16</v>
      </c>
      <c r="F16" s="418">
        <v>1.25</v>
      </c>
      <c r="G16" s="419">
        <v>30</v>
      </c>
      <c r="H16" s="420">
        <v>37.5</v>
      </c>
      <c r="I16" s="421">
        <v>25</v>
      </c>
      <c r="J16" s="418"/>
      <c r="K16" s="419">
        <v>1</v>
      </c>
      <c r="L16" s="419">
        <v>1</v>
      </c>
      <c r="M16" s="419">
        <v>4</v>
      </c>
      <c r="N16" s="422">
        <v>19</v>
      </c>
    </row>
    <row r="17" spans="1:14" ht="15.75" customHeight="1">
      <c r="A17" s="416">
        <v>4</v>
      </c>
      <c r="B17" s="254" t="s">
        <v>1401</v>
      </c>
      <c r="C17" s="417">
        <v>45080</v>
      </c>
      <c r="D17" s="417">
        <v>45129</v>
      </c>
      <c r="E17" s="418">
        <v>28</v>
      </c>
      <c r="F17" s="418">
        <v>1.5</v>
      </c>
      <c r="G17" s="419">
        <v>40</v>
      </c>
      <c r="H17" s="420">
        <v>60</v>
      </c>
      <c r="I17" s="421">
        <v>26</v>
      </c>
      <c r="J17" s="418"/>
      <c r="K17" s="419">
        <v>1</v>
      </c>
      <c r="L17" s="419">
        <v>2</v>
      </c>
      <c r="M17" s="419">
        <v>12</v>
      </c>
      <c r="N17" s="422">
        <v>11</v>
      </c>
    </row>
    <row r="18" spans="1:14" ht="15.75" customHeight="1">
      <c r="A18" s="423">
        <v>5</v>
      </c>
      <c r="B18" s="424" t="s">
        <v>1402</v>
      </c>
      <c r="C18" s="425">
        <v>45122</v>
      </c>
      <c r="D18" s="425">
        <v>45157</v>
      </c>
      <c r="E18" s="426">
        <v>48</v>
      </c>
      <c r="F18" s="426">
        <v>2</v>
      </c>
      <c r="G18" s="427">
        <v>26</v>
      </c>
      <c r="H18" s="428">
        <v>52</v>
      </c>
      <c r="I18" s="429">
        <v>26</v>
      </c>
      <c r="J18" s="426"/>
      <c r="K18" s="426"/>
      <c r="L18" s="427">
        <v>5</v>
      </c>
      <c r="M18" s="427">
        <v>9</v>
      </c>
      <c r="N18" s="430">
        <v>12</v>
      </c>
    </row>
    <row r="19" spans="1:14" ht="14.25" customHeight="1">
      <c r="A19" s="405"/>
      <c r="B19" s="249"/>
      <c r="C19" s="249"/>
      <c r="D19" s="249"/>
      <c r="E19" s="249"/>
      <c r="F19" s="249"/>
      <c r="G19" s="249"/>
      <c r="H19" s="249"/>
      <c r="I19" s="249"/>
      <c r="J19" s="407"/>
      <c r="K19" s="407"/>
      <c r="L19" s="407"/>
      <c r="M19" s="407"/>
      <c r="N19" s="407"/>
    </row>
    <row r="20" spans="1:14" ht="15.75" customHeight="1">
      <c r="A20" s="737">
        <v>1</v>
      </c>
      <c r="B20" s="595"/>
      <c r="C20" s="738">
        <v>2</v>
      </c>
      <c r="D20" s="595"/>
      <c r="E20" s="738">
        <v>3</v>
      </c>
      <c r="F20" s="595"/>
      <c r="G20" s="433">
        <v>4</v>
      </c>
      <c r="H20" s="432">
        <v>5</v>
      </c>
      <c r="I20" s="431">
        <v>6</v>
      </c>
      <c r="J20" s="716">
        <v>7</v>
      </c>
      <c r="K20" s="576"/>
      <c r="L20" s="576"/>
      <c r="M20" s="576"/>
      <c r="N20" s="577"/>
    </row>
    <row r="21" spans="1:14" ht="12.75" customHeight="1">
      <c r="A21" s="661" t="s">
        <v>1384</v>
      </c>
      <c r="B21" s="604"/>
      <c r="C21" s="717" t="s">
        <v>1385</v>
      </c>
      <c r="D21" s="583"/>
      <c r="E21" s="725" t="s">
        <v>1386</v>
      </c>
      <c r="F21" s="725" t="s">
        <v>1387</v>
      </c>
      <c r="G21" s="725" t="s">
        <v>1388</v>
      </c>
      <c r="H21" s="726" t="s">
        <v>1389</v>
      </c>
      <c r="I21" s="661" t="s">
        <v>1390</v>
      </c>
      <c r="J21" s="717" t="s">
        <v>1391</v>
      </c>
      <c r="K21" s="582"/>
      <c r="L21" s="582"/>
      <c r="M21" s="582"/>
      <c r="N21" s="676"/>
    </row>
    <row r="22" spans="1:14" ht="12.75" customHeight="1">
      <c r="A22" s="652"/>
      <c r="B22" s="653"/>
      <c r="C22" s="729" t="s">
        <v>1403</v>
      </c>
      <c r="D22" s="725" t="s">
        <v>1404</v>
      </c>
      <c r="E22" s="664"/>
      <c r="F22" s="664"/>
      <c r="G22" s="664"/>
      <c r="H22" s="727"/>
      <c r="I22" s="652"/>
      <c r="J22" s="434">
        <v>1</v>
      </c>
      <c r="K22" s="434">
        <v>2</v>
      </c>
      <c r="L22" s="434">
        <v>3</v>
      </c>
      <c r="M22" s="434">
        <v>4</v>
      </c>
      <c r="N22" s="435">
        <v>5</v>
      </c>
    </row>
    <row r="23" spans="1:14" ht="15.75" customHeight="1">
      <c r="A23" s="615"/>
      <c r="B23" s="616"/>
      <c r="C23" s="616"/>
      <c r="D23" s="645"/>
      <c r="E23" s="645"/>
      <c r="F23" s="645"/>
      <c r="G23" s="645"/>
      <c r="H23" s="728"/>
      <c r="I23" s="615"/>
      <c r="J23" s="149" t="s">
        <v>1394</v>
      </c>
      <c r="K23" s="149" t="s">
        <v>1395</v>
      </c>
      <c r="L23" s="149" t="s">
        <v>1396</v>
      </c>
      <c r="M23" s="149" t="s">
        <v>1397</v>
      </c>
      <c r="N23" s="147" t="s">
        <v>176</v>
      </c>
    </row>
    <row r="24" spans="1:14" ht="13.5" hidden="1" customHeight="1">
      <c r="A24" s="436"/>
      <c r="B24" s="437"/>
      <c r="C24" s="438"/>
      <c r="D24" s="439"/>
      <c r="E24" s="440"/>
      <c r="F24" s="440" t="e">
        <f ca="1">IFS(E24="","",E24&gt;=40,"2",E24&gt;=24,"1.5",E24&gt;=16,"1.25",E24&gt;=8,"1",E24&lt;8,"0.5")</f>
        <v>#NAME?</v>
      </c>
      <c r="G24" s="440"/>
      <c r="H24" s="441" t="e">
        <f t="shared" ref="H24:H48" ca="1" si="0">G24*F24</f>
        <v>#NAME?</v>
      </c>
      <c r="I24" s="442"/>
      <c r="J24" s="443"/>
      <c r="K24" s="443"/>
      <c r="L24" s="443"/>
      <c r="M24" s="444"/>
      <c r="N24" s="445"/>
    </row>
    <row r="25" spans="1:14" ht="15.75" customHeight="1">
      <c r="A25" s="446">
        <f t="array" aca="1" ref="A25" ca="1">IFERROR(SEQUENCE(COUNTA(B25:B68)),1)</f>
        <v>1</v>
      </c>
      <c r="B25" s="447" t="s">
        <v>1405</v>
      </c>
      <c r="C25" s="448">
        <v>44957</v>
      </c>
      <c r="D25" s="449">
        <v>44959</v>
      </c>
      <c r="E25" s="450">
        <v>24</v>
      </c>
      <c r="F25" s="451" t="e">
        <f t="shared" ref="F25:F35" ca="1" si="1">IFS(E25="","",E25&gt;=40,"2",E25&gt;=24,"1.5",E25&gt;16,"1.25",E25&gt;=8,"1",E25&lt;8,"0.5")</f>
        <v>#NAME?</v>
      </c>
      <c r="G25" s="450">
        <v>465</v>
      </c>
      <c r="H25" s="452" t="e">
        <f t="shared" ca="1" si="0"/>
        <v>#NAME?</v>
      </c>
      <c r="I25" s="450">
        <v>465</v>
      </c>
      <c r="J25" s="453">
        <v>0</v>
      </c>
      <c r="K25" s="453">
        <v>0</v>
      </c>
      <c r="L25" s="453">
        <v>0</v>
      </c>
      <c r="M25" s="453">
        <v>75</v>
      </c>
      <c r="N25" s="454">
        <v>390</v>
      </c>
    </row>
    <row r="26" spans="1:14" ht="15.75" customHeight="1">
      <c r="A26" s="455">
        <v>2</v>
      </c>
      <c r="B26" s="456" t="s">
        <v>1406</v>
      </c>
      <c r="C26" s="457">
        <v>44950</v>
      </c>
      <c r="D26" s="457">
        <v>44953</v>
      </c>
      <c r="E26" s="458">
        <v>24</v>
      </c>
      <c r="F26" s="459" t="e">
        <f t="shared" ca="1" si="1"/>
        <v>#NAME?</v>
      </c>
      <c r="G26" s="458">
        <v>61</v>
      </c>
      <c r="H26" s="452" t="e">
        <f t="shared" ca="1" si="0"/>
        <v>#NAME?</v>
      </c>
      <c r="I26" s="458">
        <v>61</v>
      </c>
      <c r="J26" s="458">
        <v>0</v>
      </c>
      <c r="K26" s="458">
        <v>0</v>
      </c>
      <c r="L26" s="458">
        <v>0</v>
      </c>
      <c r="M26" s="458">
        <v>23</v>
      </c>
      <c r="N26" s="460">
        <v>38</v>
      </c>
    </row>
    <row r="27" spans="1:14" ht="15.75" customHeight="1">
      <c r="A27" s="455">
        <v>3</v>
      </c>
      <c r="B27" s="456" t="s">
        <v>1407</v>
      </c>
      <c r="C27" s="457">
        <v>44980</v>
      </c>
      <c r="D27" s="457">
        <v>44980</v>
      </c>
      <c r="E27" s="458">
        <v>8</v>
      </c>
      <c r="F27" s="451" t="e">
        <f t="shared" ca="1" si="1"/>
        <v>#NAME?</v>
      </c>
      <c r="G27" s="458">
        <v>51</v>
      </c>
      <c r="H27" s="452" t="e">
        <f t="shared" ca="1" si="0"/>
        <v>#NAME?</v>
      </c>
      <c r="I27" s="458">
        <v>51</v>
      </c>
      <c r="J27" s="458">
        <v>0</v>
      </c>
      <c r="K27" s="458">
        <v>0</v>
      </c>
      <c r="L27" s="458">
        <v>0</v>
      </c>
      <c r="M27" s="458">
        <v>5</v>
      </c>
      <c r="N27" s="460">
        <v>46</v>
      </c>
    </row>
    <row r="28" spans="1:14" ht="15.75" customHeight="1">
      <c r="A28" s="455">
        <v>4</v>
      </c>
      <c r="B28" s="456" t="s">
        <v>1408</v>
      </c>
      <c r="C28" s="457">
        <v>44985</v>
      </c>
      <c r="D28" s="457">
        <v>44985</v>
      </c>
      <c r="E28" s="458">
        <v>8</v>
      </c>
      <c r="F28" s="451" t="e">
        <f t="shared" ca="1" si="1"/>
        <v>#NAME?</v>
      </c>
      <c r="G28" s="458">
        <v>119</v>
      </c>
      <c r="H28" s="452" t="e">
        <f t="shared" ca="1" si="0"/>
        <v>#NAME?</v>
      </c>
      <c r="I28" s="458">
        <v>119</v>
      </c>
      <c r="J28" s="458">
        <v>0</v>
      </c>
      <c r="K28" s="458">
        <v>0</v>
      </c>
      <c r="L28" s="458">
        <v>0</v>
      </c>
      <c r="M28" s="458">
        <v>24</v>
      </c>
      <c r="N28" s="460">
        <v>95</v>
      </c>
    </row>
    <row r="29" spans="1:14" ht="15.75" customHeight="1">
      <c r="A29" s="455">
        <v>5</v>
      </c>
      <c r="B29" s="456" t="s">
        <v>1409</v>
      </c>
      <c r="C29" s="457">
        <v>44988</v>
      </c>
      <c r="D29" s="457">
        <v>44988</v>
      </c>
      <c r="E29" s="458">
        <v>8</v>
      </c>
      <c r="F29" s="451" t="e">
        <f t="shared" ca="1" si="1"/>
        <v>#NAME?</v>
      </c>
      <c r="G29" s="458">
        <v>34</v>
      </c>
      <c r="H29" s="452" t="e">
        <f t="shared" ca="1" si="0"/>
        <v>#NAME?</v>
      </c>
      <c r="I29" s="458">
        <v>34</v>
      </c>
      <c r="J29" s="458">
        <v>0</v>
      </c>
      <c r="K29" s="458">
        <v>0</v>
      </c>
      <c r="L29" s="458">
        <v>0</v>
      </c>
      <c r="M29" s="458">
        <v>5</v>
      </c>
      <c r="N29" s="460">
        <v>29</v>
      </c>
    </row>
    <row r="30" spans="1:14" ht="15.75" customHeight="1">
      <c r="A30" s="455">
        <v>6</v>
      </c>
      <c r="B30" s="456" t="s">
        <v>1410</v>
      </c>
      <c r="C30" s="457">
        <v>44998</v>
      </c>
      <c r="D30" s="457">
        <v>44998</v>
      </c>
      <c r="E30" s="458">
        <v>8</v>
      </c>
      <c r="F30" s="451" t="e">
        <f t="shared" ca="1" si="1"/>
        <v>#NAME?</v>
      </c>
      <c r="G30" s="458">
        <v>94</v>
      </c>
      <c r="H30" s="452" t="e">
        <f t="shared" ca="1" si="0"/>
        <v>#NAME?</v>
      </c>
      <c r="I30" s="458">
        <v>94</v>
      </c>
      <c r="J30" s="458">
        <v>0</v>
      </c>
      <c r="K30" s="458">
        <v>0</v>
      </c>
      <c r="L30" s="458">
        <v>0</v>
      </c>
      <c r="M30" s="458">
        <v>35</v>
      </c>
      <c r="N30" s="460">
        <v>59</v>
      </c>
    </row>
    <row r="31" spans="1:14" ht="15.75" customHeight="1">
      <c r="A31" s="455">
        <v>7</v>
      </c>
      <c r="B31" s="456" t="s">
        <v>1411</v>
      </c>
      <c r="C31" s="448">
        <v>45000</v>
      </c>
      <c r="D31" s="448">
        <v>45000</v>
      </c>
      <c r="E31" s="458">
        <v>8</v>
      </c>
      <c r="F31" s="451" t="e">
        <f t="shared" ca="1" si="1"/>
        <v>#NAME?</v>
      </c>
      <c r="G31" s="458">
        <v>21</v>
      </c>
      <c r="H31" s="452" t="e">
        <f t="shared" ca="1" si="0"/>
        <v>#NAME?</v>
      </c>
      <c r="I31" s="458">
        <v>21</v>
      </c>
      <c r="J31" s="458">
        <v>0</v>
      </c>
      <c r="K31" s="458">
        <v>0</v>
      </c>
      <c r="L31" s="458">
        <v>0</v>
      </c>
      <c r="M31" s="458">
        <v>8</v>
      </c>
      <c r="N31" s="460">
        <v>13</v>
      </c>
    </row>
    <row r="32" spans="1:14" ht="15.75" customHeight="1">
      <c r="A32" s="455">
        <v>8</v>
      </c>
      <c r="B32" s="456" t="s">
        <v>1412</v>
      </c>
      <c r="C32" s="457">
        <v>45001</v>
      </c>
      <c r="D32" s="457">
        <v>45001</v>
      </c>
      <c r="E32" s="458">
        <v>8</v>
      </c>
      <c r="F32" s="451" t="e">
        <f t="shared" ca="1" si="1"/>
        <v>#NAME?</v>
      </c>
      <c r="G32" s="458">
        <v>13</v>
      </c>
      <c r="H32" s="452" t="e">
        <f t="shared" ca="1" si="0"/>
        <v>#NAME?</v>
      </c>
      <c r="I32" s="458">
        <v>13</v>
      </c>
      <c r="J32" s="458">
        <v>0</v>
      </c>
      <c r="K32" s="458">
        <v>0</v>
      </c>
      <c r="L32" s="458">
        <v>0</v>
      </c>
      <c r="M32" s="458">
        <v>0</v>
      </c>
      <c r="N32" s="460">
        <v>13</v>
      </c>
    </row>
    <row r="33" spans="1:14" ht="15.75" customHeight="1">
      <c r="A33" s="455">
        <v>9</v>
      </c>
      <c r="B33" s="456" t="s">
        <v>1412</v>
      </c>
      <c r="C33" s="457">
        <v>45008</v>
      </c>
      <c r="D33" s="457">
        <v>45008</v>
      </c>
      <c r="E33" s="458">
        <v>8</v>
      </c>
      <c r="F33" s="451" t="e">
        <f t="shared" ca="1" si="1"/>
        <v>#NAME?</v>
      </c>
      <c r="G33" s="458">
        <v>10</v>
      </c>
      <c r="H33" s="452" t="e">
        <f t="shared" ca="1" si="0"/>
        <v>#NAME?</v>
      </c>
      <c r="I33" s="458">
        <v>10</v>
      </c>
      <c r="J33" s="458">
        <v>0</v>
      </c>
      <c r="K33" s="458">
        <v>0</v>
      </c>
      <c r="L33" s="458">
        <v>0</v>
      </c>
      <c r="M33" s="458">
        <v>0</v>
      </c>
      <c r="N33" s="460">
        <v>10</v>
      </c>
    </row>
    <row r="34" spans="1:14" ht="15.75" customHeight="1">
      <c r="A34" s="455">
        <v>10</v>
      </c>
      <c r="B34" s="456" t="s">
        <v>1413</v>
      </c>
      <c r="C34" s="457">
        <v>45009</v>
      </c>
      <c r="D34" s="457">
        <v>45009</v>
      </c>
      <c r="E34" s="458">
        <v>8</v>
      </c>
      <c r="F34" s="451" t="e">
        <f t="shared" ca="1" si="1"/>
        <v>#NAME?</v>
      </c>
      <c r="G34" s="458">
        <v>50</v>
      </c>
      <c r="H34" s="452" t="e">
        <f t="shared" ca="1" si="0"/>
        <v>#NAME?</v>
      </c>
      <c r="I34" s="458">
        <v>50</v>
      </c>
      <c r="J34" s="458">
        <v>0</v>
      </c>
      <c r="K34" s="458">
        <v>0</v>
      </c>
      <c r="L34" s="458">
        <v>0</v>
      </c>
      <c r="M34" s="458">
        <v>11</v>
      </c>
      <c r="N34" s="460">
        <v>39</v>
      </c>
    </row>
    <row r="35" spans="1:14" ht="15.75" customHeight="1">
      <c r="A35" s="455">
        <v>11</v>
      </c>
      <c r="B35" s="456" t="s">
        <v>1414</v>
      </c>
      <c r="C35" s="457">
        <v>45012</v>
      </c>
      <c r="D35" s="457">
        <v>45012</v>
      </c>
      <c r="E35" s="458">
        <v>8</v>
      </c>
      <c r="F35" s="451" t="e">
        <f t="shared" ca="1" si="1"/>
        <v>#NAME?</v>
      </c>
      <c r="G35" s="458">
        <v>16</v>
      </c>
      <c r="H35" s="452" t="e">
        <f t="shared" ca="1" si="0"/>
        <v>#NAME?</v>
      </c>
      <c r="I35" s="458">
        <v>16</v>
      </c>
      <c r="J35" s="458">
        <v>0</v>
      </c>
      <c r="K35" s="458">
        <v>0</v>
      </c>
      <c r="L35" s="458">
        <v>0</v>
      </c>
      <c r="M35" s="458">
        <v>0</v>
      </c>
      <c r="N35" s="460">
        <v>16</v>
      </c>
    </row>
    <row r="36" spans="1:14" ht="15.75" customHeight="1">
      <c r="A36" s="455">
        <v>12</v>
      </c>
      <c r="B36" s="456" t="s">
        <v>1415</v>
      </c>
      <c r="C36" s="461">
        <v>45013</v>
      </c>
      <c r="D36" s="461">
        <v>45014</v>
      </c>
      <c r="E36" s="458">
        <v>16</v>
      </c>
      <c r="F36" s="451">
        <v>1.25</v>
      </c>
      <c r="G36" s="458">
        <v>22</v>
      </c>
      <c r="H36" s="452">
        <f t="shared" si="0"/>
        <v>27.5</v>
      </c>
      <c r="I36" s="458">
        <v>22</v>
      </c>
      <c r="J36" s="458">
        <v>0</v>
      </c>
      <c r="K36" s="458">
        <v>0</v>
      </c>
      <c r="L36" s="458">
        <v>0</v>
      </c>
      <c r="M36" s="458">
        <v>3</v>
      </c>
      <c r="N36" s="460">
        <v>19</v>
      </c>
    </row>
    <row r="37" spans="1:14" ht="15.75" customHeight="1">
      <c r="A37" s="455">
        <v>13</v>
      </c>
      <c r="B37" s="462" t="s">
        <v>1416</v>
      </c>
      <c r="C37" s="457">
        <v>45043</v>
      </c>
      <c r="D37" s="457">
        <v>45043</v>
      </c>
      <c r="E37" s="458">
        <v>8</v>
      </c>
      <c r="F37" s="451" t="e">
        <f ca="1">IFS(E37="","",E37&gt;=40,"2",E37&gt;=24,"1.5",E37&gt;16,"1.25",E37&gt;=8,"1",E37&lt;8,"0.5")</f>
        <v>#NAME?</v>
      </c>
      <c r="G37" s="458">
        <v>42</v>
      </c>
      <c r="H37" s="452" t="e">
        <f t="shared" ca="1" si="0"/>
        <v>#NAME?</v>
      </c>
      <c r="I37" s="458">
        <v>42</v>
      </c>
      <c r="J37" s="458">
        <v>0</v>
      </c>
      <c r="K37" s="458">
        <v>0</v>
      </c>
      <c r="L37" s="458">
        <v>0</v>
      </c>
      <c r="M37" s="458">
        <v>7</v>
      </c>
      <c r="N37" s="460">
        <v>35</v>
      </c>
    </row>
    <row r="38" spans="1:14" ht="15.75" customHeight="1">
      <c r="A38" s="455">
        <v>14</v>
      </c>
      <c r="B38" s="462" t="s">
        <v>1417</v>
      </c>
      <c r="C38" s="461">
        <v>45043</v>
      </c>
      <c r="D38" s="461">
        <v>45044</v>
      </c>
      <c r="E38" s="458">
        <v>8</v>
      </c>
      <c r="F38" s="451">
        <v>1</v>
      </c>
      <c r="G38" s="458">
        <v>53</v>
      </c>
      <c r="H38" s="452">
        <f t="shared" si="0"/>
        <v>53</v>
      </c>
      <c r="I38" s="458">
        <v>53</v>
      </c>
      <c r="J38" s="458">
        <v>0</v>
      </c>
      <c r="K38" s="458">
        <v>0</v>
      </c>
      <c r="L38" s="458">
        <v>0</v>
      </c>
      <c r="M38" s="458">
        <v>11</v>
      </c>
      <c r="N38" s="460">
        <v>42</v>
      </c>
    </row>
    <row r="39" spans="1:14" ht="15.75" customHeight="1">
      <c r="A39" s="455">
        <v>15</v>
      </c>
      <c r="B39" s="462" t="s">
        <v>1418</v>
      </c>
      <c r="C39" s="457">
        <v>45049</v>
      </c>
      <c r="D39" s="457">
        <v>45049</v>
      </c>
      <c r="E39" s="458">
        <v>8</v>
      </c>
      <c r="F39" s="451" t="e">
        <f ca="1">IFS(E39="","",E39&gt;=40,"2",E39&gt;=24,"1.5",E39&gt;16,"1.25",E39&gt;=8,"1",E39&lt;8,"0.5")</f>
        <v>#NAME?</v>
      </c>
      <c r="G39" s="458">
        <v>22</v>
      </c>
      <c r="H39" s="452" t="e">
        <f t="shared" ca="1" si="0"/>
        <v>#NAME?</v>
      </c>
      <c r="I39" s="458">
        <v>22</v>
      </c>
      <c r="J39" s="458">
        <v>0</v>
      </c>
      <c r="K39" s="458">
        <v>0</v>
      </c>
      <c r="L39" s="458">
        <v>0</v>
      </c>
      <c r="M39" s="458">
        <v>2</v>
      </c>
      <c r="N39" s="460">
        <v>20</v>
      </c>
    </row>
    <row r="40" spans="1:14" ht="15.75" customHeight="1">
      <c r="A40" s="455">
        <v>16</v>
      </c>
      <c r="B40" s="462" t="s">
        <v>1419</v>
      </c>
      <c r="C40" s="461">
        <v>45056</v>
      </c>
      <c r="D40" s="461">
        <v>45057</v>
      </c>
      <c r="E40" s="458">
        <v>16</v>
      </c>
      <c r="F40" s="451">
        <v>1.25</v>
      </c>
      <c r="G40" s="458">
        <v>60</v>
      </c>
      <c r="H40" s="452">
        <f t="shared" si="0"/>
        <v>75</v>
      </c>
      <c r="I40" s="458">
        <v>60</v>
      </c>
      <c r="J40" s="458">
        <v>0</v>
      </c>
      <c r="K40" s="458">
        <v>0</v>
      </c>
      <c r="L40" s="458">
        <v>0</v>
      </c>
      <c r="M40" s="458">
        <v>15</v>
      </c>
      <c r="N40" s="460">
        <v>45</v>
      </c>
    </row>
    <row r="41" spans="1:14" ht="15.75" customHeight="1">
      <c r="A41" s="455">
        <v>17</v>
      </c>
      <c r="B41" s="462" t="s">
        <v>1420</v>
      </c>
      <c r="C41" s="457">
        <v>45069</v>
      </c>
      <c r="D41" s="457">
        <v>45069</v>
      </c>
      <c r="E41" s="458">
        <v>8</v>
      </c>
      <c r="F41" s="451" t="e">
        <f ca="1">IFS(E41="","",E41&gt;=40,"2",E41&gt;=24,"1.5",E41&gt;16,"1.25",E41&gt;=8,"1",E41&lt;8,"0.5")</f>
        <v>#NAME?</v>
      </c>
      <c r="G41" s="458">
        <v>38</v>
      </c>
      <c r="H41" s="452" t="e">
        <f t="shared" ca="1" si="0"/>
        <v>#NAME?</v>
      </c>
      <c r="I41" s="458">
        <v>38</v>
      </c>
      <c r="J41" s="458">
        <v>0</v>
      </c>
      <c r="K41" s="458">
        <v>0</v>
      </c>
      <c r="L41" s="458">
        <v>0</v>
      </c>
      <c r="M41" s="458">
        <v>12</v>
      </c>
      <c r="N41" s="460">
        <v>26</v>
      </c>
    </row>
    <row r="42" spans="1:14" ht="15.75" customHeight="1">
      <c r="A42" s="455">
        <v>18</v>
      </c>
      <c r="B42" s="462" t="s">
        <v>985</v>
      </c>
      <c r="C42" s="457">
        <v>45070</v>
      </c>
      <c r="D42" s="457">
        <v>45070</v>
      </c>
      <c r="E42" s="458">
        <v>16</v>
      </c>
      <c r="F42" s="451">
        <v>1.25</v>
      </c>
      <c r="G42" s="458">
        <v>30</v>
      </c>
      <c r="H42" s="452">
        <f t="shared" si="0"/>
        <v>37.5</v>
      </c>
      <c r="I42" s="458">
        <v>30</v>
      </c>
      <c r="J42" s="458">
        <v>0</v>
      </c>
      <c r="K42" s="458">
        <v>0</v>
      </c>
      <c r="L42" s="458">
        <v>0</v>
      </c>
      <c r="M42" s="458">
        <v>13</v>
      </c>
      <c r="N42" s="460">
        <v>17</v>
      </c>
    </row>
    <row r="43" spans="1:14" ht="15.75" customHeight="1">
      <c r="A43" s="455">
        <v>19</v>
      </c>
      <c r="B43" s="462" t="s">
        <v>1421</v>
      </c>
      <c r="C43" s="463">
        <v>45072</v>
      </c>
      <c r="D43" s="463">
        <v>45072</v>
      </c>
      <c r="E43" s="458">
        <v>8</v>
      </c>
      <c r="F43" s="451" t="e">
        <f ca="1">IFS(E43="","",E43&gt;=40,"2",E43&gt;=24,"1.5",E43&gt;16,"1.25",E43&gt;=8,"1",E43&lt;8,"0.5")</f>
        <v>#NAME?</v>
      </c>
      <c r="G43" s="458">
        <v>54</v>
      </c>
      <c r="H43" s="452" t="e">
        <f t="shared" ca="1" si="0"/>
        <v>#NAME?</v>
      </c>
      <c r="I43" s="458">
        <v>54</v>
      </c>
      <c r="J43" s="458">
        <v>0</v>
      </c>
      <c r="K43" s="458">
        <v>0</v>
      </c>
      <c r="L43" s="458">
        <v>0</v>
      </c>
      <c r="M43" s="458">
        <v>20</v>
      </c>
      <c r="N43" s="460">
        <v>34</v>
      </c>
    </row>
    <row r="44" spans="1:14" ht="15.75" customHeight="1">
      <c r="A44" s="455">
        <v>20</v>
      </c>
      <c r="B44" s="462" t="s">
        <v>1422</v>
      </c>
      <c r="C44" s="464">
        <v>45083</v>
      </c>
      <c r="D44" s="464">
        <v>45084</v>
      </c>
      <c r="E44" s="458">
        <v>16</v>
      </c>
      <c r="F44" s="451">
        <v>1.25</v>
      </c>
      <c r="G44" s="458">
        <v>17</v>
      </c>
      <c r="H44" s="452">
        <f t="shared" si="0"/>
        <v>21.25</v>
      </c>
      <c r="I44" s="458">
        <v>17</v>
      </c>
      <c r="J44" s="458">
        <v>0</v>
      </c>
      <c r="K44" s="458">
        <v>0</v>
      </c>
      <c r="L44" s="458">
        <v>0</v>
      </c>
      <c r="M44" s="458">
        <v>0</v>
      </c>
      <c r="N44" s="460">
        <v>17</v>
      </c>
    </row>
    <row r="45" spans="1:14" ht="15.75" customHeight="1">
      <c r="A45" s="455">
        <v>21</v>
      </c>
      <c r="B45" s="462" t="s">
        <v>1423</v>
      </c>
      <c r="C45" s="457">
        <v>45086</v>
      </c>
      <c r="D45" s="457">
        <v>45086</v>
      </c>
      <c r="E45" s="458">
        <v>8</v>
      </c>
      <c r="F45" s="451">
        <v>1</v>
      </c>
      <c r="G45" s="458">
        <v>53</v>
      </c>
      <c r="H45" s="452">
        <f t="shared" si="0"/>
        <v>53</v>
      </c>
      <c r="I45" s="458">
        <v>53</v>
      </c>
      <c r="J45" s="458">
        <v>0</v>
      </c>
      <c r="K45" s="458">
        <v>0</v>
      </c>
      <c r="L45" s="458">
        <v>0</v>
      </c>
      <c r="M45" s="458">
        <v>7</v>
      </c>
      <c r="N45" s="460">
        <v>46</v>
      </c>
    </row>
    <row r="46" spans="1:14" ht="15.75" customHeight="1">
      <c r="A46" s="455">
        <v>22</v>
      </c>
      <c r="B46" s="462" t="s">
        <v>1424</v>
      </c>
      <c r="C46" s="457">
        <v>45091</v>
      </c>
      <c r="D46" s="457">
        <v>45092</v>
      </c>
      <c r="E46" s="458">
        <v>16</v>
      </c>
      <c r="F46" s="451">
        <v>1.25</v>
      </c>
      <c r="G46" s="458">
        <v>66</v>
      </c>
      <c r="H46" s="452">
        <f t="shared" si="0"/>
        <v>82.5</v>
      </c>
      <c r="I46" s="458">
        <v>66</v>
      </c>
      <c r="J46" s="458">
        <v>0</v>
      </c>
      <c r="K46" s="458">
        <v>0</v>
      </c>
      <c r="L46" s="458">
        <v>0</v>
      </c>
      <c r="M46" s="458">
        <v>23</v>
      </c>
      <c r="N46" s="460">
        <v>43</v>
      </c>
    </row>
    <row r="47" spans="1:14" ht="15.75" customHeight="1">
      <c r="A47" s="455">
        <v>23</v>
      </c>
      <c r="B47" s="462" t="s">
        <v>788</v>
      </c>
      <c r="C47" s="457">
        <v>45091</v>
      </c>
      <c r="D47" s="457">
        <v>45093</v>
      </c>
      <c r="E47" s="458">
        <v>24</v>
      </c>
      <c r="F47" s="451" t="e">
        <f t="shared" ref="F47:F50" ca="1" si="2">IFS(E47="","",E47&gt;=40,"2",E47&gt;=24,"1.5",E47&gt;16,"1.25",E47&gt;=8,"1",E47&lt;8,"0.5")</f>
        <v>#NAME?</v>
      </c>
      <c r="G47" s="458">
        <v>13</v>
      </c>
      <c r="H47" s="452" t="e">
        <f t="shared" ca="1" si="0"/>
        <v>#NAME?</v>
      </c>
      <c r="I47" s="458">
        <v>13</v>
      </c>
      <c r="J47" s="458">
        <v>0</v>
      </c>
      <c r="K47" s="458">
        <v>0</v>
      </c>
      <c r="L47" s="458">
        <v>0</v>
      </c>
      <c r="M47" s="458">
        <v>0</v>
      </c>
      <c r="N47" s="460">
        <v>13</v>
      </c>
    </row>
    <row r="48" spans="1:14" ht="15.75" customHeight="1">
      <c r="A48" s="455">
        <v>24</v>
      </c>
      <c r="B48" s="462" t="s">
        <v>1425</v>
      </c>
      <c r="C48" s="457">
        <v>45098</v>
      </c>
      <c r="D48" s="457">
        <v>45098</v>
      </c>
      <c r="E48" s="458">
        <v>8</v>
      </c>
      <c r="F48" s="451" t="e">
        <f t="shared" ca="1" si="2"/>
        <v>#NAME?</v>
      </c>
      <c r="G48" s="458">
        <v>35</v>
      </c>
      <c r="H48" s="452" t="e">
        <f t="shared" ca="1" si="0"/>
        <v>#NAME?</v>
      </c>
      <c r="I48" s="458">
        <v>35</v>
      </c>
      <c r="J48" s="458">
        <v>0</v>
      </c>
      <c r="K48" s="458">
        <v>0</v>
      </c>
      <c r="L48" s="458">
        <v>0</v>
      </c>
      <c r="M48" s="458">
        <v>9</v>
      </c>
      <c r="N48" s="460">
        <v>26</v>
      </c>
    </row>
    <row r="49" spans="1:14" ht="15.75" customHeight="1">
      <c r="A49" s="455">
        <v>25</v>
      </c>
      <c r="B49" s="462" t="s">
        <v>1426</v>
      </c>
      <c r="C49" s="344">
        <v>45098</v>
      </c>
      <c r="D49" s="344">
        <v>45100</v>
      </c>
      <c r="E49" s="458">
        <v>24</v>
      </c>
      <c r="F49" s="451" t="e">
        <f t="shared" ca="1" si="2"/>
        <v>#NAME?</v>
      </c>
      <c r="G49" s="458">
        <v>207</v>
      </c>
      <c r="H49" s="452">
        <v>310.5</v>
      </c>
      <c r="I49" s="458">
        <v>207</v>
      </c>
      <c r="J49" s="458">
        <v>0</v>
      </c>
      <c r="K49" s="458">
        <v>0</v>
      </c>
      <c r="L49" s="458">
        <v>0</v>
      </c>
      <c r="M49" s="458">
        <v>32</v>
      </c>
      <c r="N49" s="460">
        <v>175</v>
      </c>
    </row>
    <row r="50" spans="1:14" ht="15.75" customHeight="1">
      <c r="A50" s="455">
        <v>26</v>
      </c>
      <c r="B50" s="462" t="s">
        <v>1427</v>
      </c>
      <c r="C50" s="457">
        <v>45106</v>
      </c>
      <c r="D50" s="457">
        <v>45106</v>
      </c>
      <c r="E50" s="458">
        <v>8</v>
      </c>
      <c r="F50" s="451" t="e">
        <f t="shared" ca="1" si="2"/>
        <v>#NAME?</v>
      </c>
      <c r="G50" s="458">
        <v>15</v>
      </c>
      <c r="H50" s="452" t="e">
        <f t="shared" ref="H50:H68" ca="1" si="3">G50*F50</f>
        <v>#NAME?</v>
      </c>
      <c r="I50" s="458">
        <v>15</v>
      </c>
      <c r="J50" s="458">
        <v>0</v>
      </c>
      <c r="K50" s="458">
        <v>0</v>
      </c>
      <c r="L50" s="458">
        <v>0</v>
      </c>
      <c r="M50" s="458">
        <v>0</v>
      </c>
      <c r="N50" s="460">
        <v>15</v>
      </c>
    </row>
    <row r="51" spans="1:14" ht="15.75" customHeight="1">
      <c r="A51" s="455">
        <v>27</v>
      </c>
      <c r="B51" s="462" t="s">
        <v>1428</v>
      </c>
      <c r="C51" s="457">
        <v>45134</v>
      </c>
      <c r="D51" s="457">
        <v>45135</v>
      </c>
      <c r="E51" s="458">
        <v>8</v>
      </c>
      <c r="F51" s="451">
        <v>1</v>
      </c>
      <c r="G51" s="458">
        <v>18</v>
      </c>
      <c r="H51" s="452">
        <f t="shared" si="3"/>
        <v>18</v>
      </c>
      <c r="I51" s="458">
        <v>18</v>
      </c>
      <c r="J51" s="458">
        <v>0</v>
      </c>
      <c r="K51" s="458">
        <v>0</v>
      </c>
      <c r="L51" s="458">
        <v>0</v>
      </c>
      <c r="M51" s="458">
        <v>8</v>
      </c>
      <c r="N51" s="460">
        <v>10</v>
      </c>
    </row>
    <row r="52" spans="1:14" ht="15.75" customHeight="1">
      <c r="A52" s="455">
        <v>28</v>
      </c>
      <c r="B52" s="462" t="s">
        <v>1429</v>
      </c>
      <c r="C52" s="457">
        <v>45147</v>
      </c>
      <c r="D52" s="457">
        <v>45147</v>
      </c>
      <c r="E52" s="458">
        <v>8</v>
      </c>
      <c r="F52" s="451" t="e">
        <f t="shared" ref="F52:F53" ca="1" si="4">IFS(E52="","",E52&gt;=40,"2",E52&gt;=24,"1.5",E52&gt;16,"1.25",E52&gt;=8,"1",E52&lt;8,"0.5")</f>
        <v>#NAME?</v>
      </c>
      <c r="G52" s="458">
        <v>22</v>
      </c>
      <c r="H52" s="452" t="e">
        <f t="shared" ca="1" si="3"/>
        <v>#NAME?</v>
      </c>
      <c r="I52" s="458">
        <v>22</v>
      </c>
      <c r="J52" s="458">
        <v>0</v>
      </c>
      <c r="K52" s="458">
        <v>0</v>
      </c>
      <c r="L52" s="458">
        <v>0</v>
      </c>
      <c r="M52" s="458">
        <v>7</v>
      </c>
      <c r="N52" s="460">
        <v>15</v>
      </c>
    </row>
    <row r="53" spans="1:14" ht="15.75" customHeight="1">
      <c r="A53" s="455">
        <v>29</v>
      </c>
      <c r="B53" s="462" t="s">
        <v>1430</v>
      </c>
      <c r="C53" s="457">
        <v>45148</v>
      </c>
      <c r="D53" s="457">
        <v>45148</v>
      </c>
      <c r="E53" s="458">
        <v>8</v>
      </c>
      <c r="F53" s="451" t="e">
        <f t="shared" ca="1" si="4"/>
        <v>#NAME?</v>
      </c>
      <c r="G53" s="458">
        <v>17</v>
      </c>
      <c r="H53" s="452" t="e">
        <f t="shared" ca="1" si="3"/>
        <v>#NAME?</v>
      </c>
      <c r="I53" s="458">
        <v>17</v>
      </c>
      <c r="J53" s="458">
        <v>0</v>
      </c>
      <c r="K53" s="458">
        <v>0</v>
      </c>
      <c r="L53" s="458">
        <v>0</v>
      </c>
      <c r="M53" s="458">
        <v>0</v>
      </c>
      <c r="N53" s="460">
        <v>17</v>
      </c>
    </row>
    <row r="54" spans="1:14" ht="15.75" customHeight="1">
      <c r="A54" s="455">
        <v>30</v>
      </c>
      <c r="B54" s="462" t="s">
        <v>1431</v>
      </c>
      <c r="C54" s="457">
        <v>45155</v>
      </c>
      <c r="D54" s="457">
        <v>45156</v>
      </c>
      <c r="E54" s="458">
        <v>16</v>
      </c>
      <c r="F54" s="451">
        <v>1.25</v>
      </c>
      <c r="G54" s="458">
        <v>44</v>
      </c>
      <c r="H54" s="452">
        <f t="shared" si="3"/>
        <v>55</v>
      </c>
      <c r="I54" s="458">
        <v>44</v>
      </c>
      <c r="J54" s="458">
        <v>0</v>
      </c>
      <c r="K54" s="458">
        <v>0</v>
      </c>
      <c r="L54" s="458">
        <v>0</v>
      </c>
      <c r="M54" s="458">
        <v>11</v>
      </c>
      <c r="N54" s="460">
        <v>33</v>
      </c>
    </row>
    <row r="55" spans="1:14" ht="15.75" customHeight="1">
      <c r="A55" s="455">
        <v>31</v>
      </c>
      <c r="B55" s="462" t="s">
        <v>1432</v>
      </c>
      <c r="C55" s="457">
        <v>45155</v>
      </c>
      <c r="D55" s="457">
        <v>45156</v>
      </c>
      <c r="E55" s="458">
        <v>16</v>
      </c>
      <c r="F55" s="451">
        <v>1.25</v>
      </c>
      <c r="G55" s="458">
        <v>21</v>
      </c>
      <c r="H55" s="452">
        <f t="shared" si="3"/>
        <v>26.25</v>
      </c>
      <c r="I55" s="458">
        <v>21</v>
      </c>
      <c r="J55" s="458">
        <v>0</v>
      </c>
      <c r="K55" s="458">
        <v>0</v>
      </c>
      <c r="L55" s="458">
        <v>0</v>
      </c>
      <c r="M55" s="458">
        <v>0</v>
      </c>
      <c r="N55" s="460">
        <v>21</v>
      </c>
    </row>
    <row r="56" spans="1:14" ht="15.75" customHeight="1">
      <c r="A56" s="455">
        <v>32</v>
      </c>
      <c r="B56" s="462" t="s">
        <v>1433</v>
      </c>
      <c r="C56" s="457">
        <v>45161</v>
      </c>
      <c r="D56" s="457">
        <v>45163</v>
      </c>
      <c r="E56" s="458">
        <v>24</v>
      </c>
      <c r="F56" s="451" t="e">
        <f t="shared" ref="F56:F59" ca="1" si="5">IFS(E56="","",E56&gt;=40,"2",E56&gt;=24,"1.5",E56&gt;16,"1.25",E56&gt;=8,"1",E56&lt;8,"0.5")</f>
        <v>#NAME?</v>
      </c>
      <c r="G56" s="458">
        <v>77</v>
      </c>
      <c r="H56" s="452" t="e">
        <f t="shared" ca="1" si="3"/>
        <v>#NAME?</v>
      </c>
      <c r="I56" s="458">
        <v>77</v>
      </c>
      <c r="J56" s="458">
        <v>0</v>
      </c>
      <c r="K56" s="458">
        <v>0</v>
      </c>
      <c r="L56" s="458">
        <v>0</v>
      </c>
      <c r="M56" s="458">
        <v>21</v>
      </c>
      <c r="N56" s="460">
        <v>56</v>
      </c>
    </row>
    <row r="57" spans="1:14" ht="15.75" customHeight="1">
      <c r="A57" s="455">
        <v>33</v>
      </c>
      <c r="B57" s="462" t="s">
        <v>1434</v>
      </c>
      <c r="C57" s="457">
        <v>45162</v>
      </c>
      <c r="D57" s="457">
        <v>45162</v>
      </c>
      <c r="E57" s="458">
        <v>8</v>
      </c>
      <c r="F57" s="451" t="e">
        <f t="shared" ca="1" si="5"/>
        <v>#NAME?</v>
      </c>
      <c r="G57" s="458">
        <v>54</v>
      </c>
      <c r="H57" s="452" t="e">
        <f t="shared" ca="1" si="3"/>
        <v>#NAME?</v>
      </c>
      <c r="I57" s="458">
        <v>54</v>
      </c>
      <c r="J57" s="458">
        <v>0</v>
      </c>
      <c r="K57" s="458">
        <v>0</v>
      </c>
      <c r="L57" s="458">
        <v>0</v>
      </c>
      <c r="M57" s="458">
        <v>5</v>
      </c>
      <c r="N57" s="460">
        <v>49</v>
      </c>
    </row>
    <row r="58" spans="1:14" ht="15.75" customHeight="1">
      <c r="A58" s="455">
        <v>34</v>
      </c>
      <c r="B58" s="462" t="s">
        <v>1435</v>
      </c>
      <c r="C58" s="457">
        <v>45169</v>
      </c>
      <c r="D58" s="457">
        <v>45169</v>
      </c>
      <c r="E58" s="458">
        <v>8</v>
      </c>
      <c r="F58" s="451" t="e">
        <f t="shared" ca="1" si="5"/>
        <v>#NAME?</v>
      </c>
      <c r="G58" s="458">
        <v>11</v>
      </c>
      <c r="H58" s="452" t="e">
        <f t="shared" ca="1" si="3"/>
        <v>#NAME?</v>
      </c>
      <c r="I58" s="458">
        <v>11</v>
      </c>
      <c r="J58" s="458">
        <v>0</v>
      </c>
      <c r="K58" s="458">
        <v>0</v>
      </c>
      <c r="L58" s="458">
        <v>0</v>
      </c>
      <c r="M58" s="458">
        <v>0</v>
      </c>
      <c r="N58" s="460">
        <v>11</v>
      </c>
    </row>
    <row r="59" spans="1:14" ht="15.75" customHeight="1">
      <c r="A59" s="455">
        <v>35</v>
      </c>
      <c r="B59" s="462" t="s">
        <v>1436</v>
      </c>
      <c r="C59" s="457" t="s">
        <v>1437</v>
      </c>
      <c r="D59" s="457" t="s">
        <v>1437</v>
      </c>
      <c r="E59" s="458">
        <v>24</v>
      </c>
      <c r="F59" s="451" t="e">
        <f t="shared" ca="1" si="5"/>
        <v>#NAME?</v>
      </c>
      <c r="G59" s="458">
        <v>75</v>
      </c>
      <c r="H59" s="452" t="e">
        <f t="shared" ca="1" si="3"/>
        <v>#NAME?</v>
      </c>
      <c r="I59" s="458">
        <v>75</v>
      </c>
      <c r="J59" s="458">
        <v>0</v>
      </c>
      <c r="K59" s="458">
        <v>0</v>
      </c>
      <c r="L59" s="458">
        <v>0</v>
      </c>
      <c r="M59" s="458">
        <v>22</v>
      </c>
      <c r="N59" s="460">
        <v>53</v>
      </c>
    </row>
    <row r="60" spans="1:14" ht="15.75" customHeight="1">
      <c r="A60" s="455">
        <v>36</v>
      </c>
      <c r="B60" s="462" t="s">
        <v>1438</v>
      </c>
      <c r="C60" s="461" t="s">
        <v>1439</v>
      </c>
      <c r="D60" s="461" t="s">
        <v>1439</v>
      </c>
      <c r="E60" s="458">
        <v>16</v>
      </c>
      <c r="F60" s="451">
        <v>1.25</v>
      </c>
      <c r="G60" s="458">
        <v>100</v>
      </c>
      <c r="H60" s="452">
        <f t="shared" si="3"/>
        <v>125</v>
      </c>
      <c r="I60" s="458">
        <v>100</v>
      </c>
      <c r="J60" s="458">
        <v>0</v>
      </c>
      <c r="K60" s="458">
        <v>0</v>
      </c>
      <c r="L60" s="458">
        <v>0</v>
      </c>
      <c r="M60" s="458">
        <v>29</v>
      </c>
      <c r="N60" s="460">
        <v>71</v>
      </c>
    </row>
    <row r="61" spans="1:14" ht="15.75" customHeight="1">
      <c r="A61" s="455">
        <v>37</v>
      </c>
      <c r="B61" s="462" t="s">
        <v>1327</v>
      </c>
      <c r="C61" s="461">
        <v>45190</v>
      </c>
      <c r="D61" s="461">
        <v>45191</v>
      </c>
      <c r="E61" s="458">
        <v>16</v>
      </c>
      <c r="F61" s="451">
        <v>1.25</v>
      </c>
      <c r="G61" s="458">
        <v>20</v>
      </c>
      <c r="H61" s="452">
        <f t="shared" si="3"/>
        <v>25</v>
      </c>
      <c r="I61" s="458">
        <v>20</v>
      </c>
      <c r="J61" s="458">
        <v>0</v>
      </c>
      <c r="K61" s="458">
        <v>0</v>
      </c>
      <c r="L61" s="458">
        <v>0</v>
      </c>
      <c r="M61" s="458">
        <v>5</v>
      </c>
      <c r="N61" s="460">
        <v>15</v>
      </c>
    </row>
    <row r="62" spans="1:14" ht="15.75" customHeight="1">
      <c r="A62" s="455">
        <v>38</v>
      </c>
      <c r="B62" s="462" t="s">
        <v>1440</v>
      </c>
      <c r="C62" s="461">
        <v>45196</v>
      </c>
      <c r="D62" s="461">
        <v>45197</v>
      </c>
      <c r="E62" s="458">
        <v>16</v>
      </c>
      <c r="F62" s="451">
        <v>1.25</v>
      </c>
      <c r="G62" s="458">
        <v>85</v>
      </c>
      <c r="H62" s="452">
        <f t="shared" si="3"/>
        <v>106.25</v>
      </c>
      <c r="I62" s="458">
        <v>85</v>
      </c>
      <c r="J62" s="458">
        <v>0</v>
      </c>
      <c r="K62" s="458">
        <v>0</v>
      </c>
      <c r="L62" s="458">
        <v>0</v>
      </c>
      <c r="M62" s="458">
        <v>20</v>
      </c>
      <c r="N62" s="460">
        <v>65</v>
      </c>
    </row>
    <row r="63" spans="1:14" ht="15.75" customHeight="1">
      <c r="A63" s="455">
        <v>39</v>
      </c>
      <c r="B63" s="462" t="s">
        <v>1441</v>
      </c>
      <c r="C63" s="461">
        <v>45198</v>
      </c>
      <c r="D63" s="461">
        <v>45199</v>
      </c>
      <c r="E63" s="458">
        <v>16</v>
      </c>
      <c r="F63" s="451">
        <v>1.25</v>
      </c>
      <c r="G63" s="458">
        <v>17</v>
      </c>
      <c r="H63" s="452">
        <f t="shared" si="3"/>
        <v>21.25</v>
      </c>
      <c r="I63" s="458">
        <v>17</v>
      </c>
      <c r="J63" s="458">
        <v>0</v>
      </c>
      <c r="K63" s="458">
        <v>0</v>
      </c>
      <c r="L63" s="458">
        <v>0</v>
      </c>
      <c r="M63" s="458">
        <v>0</v>
      </c>
      <c r="N63" s="460">
        <v>17</v>
      </c>
    </row>
    <row r="64" spans="1:14" ht="15.75" customHeight="1">
      <c r="A64" s="455">
        <v>40</v>
      </c>
      <c r="B64" s="465" t="s">
        <v>1442</v>
      </c>
      <c r="C64" s="461">
        <v>45222</v>
      </c>
      <c r="D64" s="466">
        <v>45222</v>
      </c>
      <c r="E64" s="458">
        <v>8</v>
      </c>
      <c r="F64" s="459" t="e">
        <f ca="1">IFS(E64="","",E64&gt;=40,"2",E64&gt;=24,"1.5",E64&gt;16,"1.25",E64&gt;=8,"1",E64&lt;8,"0.5")</f>
        <v>#NAME?</v>
      </c>
      <c r="G64" s="458">
        <v>76</v>
      </c>
      <c r="H64" s="452" t="e">
        <f t="shared" ca="1" si="3"/>
        <v>#NAME?</v>
      </c>
      <c r="I64" s="458">
        <v>76</v>
      </c>
      <c r="J64" s="458">
        <v>0</v>
      </c>
      <c r="K64" s="458">
        <v>0</v>
      </c>
      <c r="L64" s="458">
        <v>0</v>
      </c>
      <c r="M64" s="458">
        <v>20</v>
      </c>
      <c r="N64" s="460">
        <v>56</v>
      </c>
    </row>
    <row r="65" spans="1:14" ht="15.75" customHeight="1">
      <c r="A65" s="455">
        <v>41</v>
      </c>
      <c r="B65" s="467" t="s">
        <v>1443</v>
      </c>
      <c r="C65" s="361">
        <v>45247</v>
      </c>
      <c r="D65" s="466">
        <v>45248</v>
      </c>
      <c r="E65" s="458">
        <v>16</v>
      </c>
      <c r="F65" s="459">
        <v>1.25</v>
      </c>
      <c r="G65" s="458">
        <v>40</v>
      </c>
      <c r="H65" s="452">
        <f t="shared" si="3"/>
        <v>50</v>
      </c>
      <c r="I65" s="458">
        <v>40</v>
      </c>
      <c r="J65" s="458">
        <v>0</v>
      </c>
      <c r="K65" s="458">
        <v>0</v>
      </c>
      <c r="L65" s="458">
        <v>0</v>
      </c>
      <c r="M65" s="458">
        <v>8</v>
      </c>
      <c r="N65" s="460">
        <v>32</v>
      </c>
    </row>
    <row r="66" spans="1:14" ht="15.75" customHeight="1">
      <c r="A66" s="455">
        <v>42</v>
      </c>
      <c r="B66" s="467" t="s">
        <v>1444</v>
      </c>
      <c r="C66" s="361">
        <v>45269</v>
      </c>
      <c r="D66" s="466">
        <v>45269</v>
      </c>
      <c r="E66" s="458">
        <v>16</v>
      </c>
      <c r="F66" s="459">
        <v>1.25</v>
      </c>
      <c r="G66" s="458">
        <v>280</v>
      </c>
      <c r="H66" s="452">
        <f t="shared" si="3"/>
        <v>350</v>
      </c>
      <c r="I66" s="458">
        <v>280</v>
      </c>
      <c r="J66" s="458">
        <v>0</v>
      </c>
      <c r="K66" s="458">
        <v>0</v>
      </c>
      <c r="L66" s="458">
        <v>0</v>
      </c>
      <c r="M66" s="458">
        <v>45</v>
      </c>
      <c r="N66" s="460">
        <v>235</v>
      </c>
    </row>
    <row r="67" spans="1:14" ht="15.75" customHeight="1">
      <c r="A67" s="468">
        <v>43</v>
      </c>
      <c r="B67" s="467" t="s">
        <v>1445</v>
      </c>
      <c r="C67" s="361">
        <v>45212</v>
      </c>
      <c r="D67" s="466">
        <v>45212</v>
      </c>
      <c r="E67" s="458">
        <v>8</v>
      </c>
      <c r="F67" s="459" t="e">
        <f ca="1">IFS(E67="","",E67&gt;=40,"2",E67&gt;=24,"1.5",E67&gt;16,"1.25",E67&gt;=8,"1",E67&lt;8,"0.5")</f>
        <v>#NAME?</v>
      </c>
      <c r="G67" s="458">
        <v>24</v>
      </c>
      <c r="H67" s="452" t="e">
        <f t="shared" ca="1" si="3"/>
        <v>#NAME?</v>
      </c>
      <c r="I67" s="458">
        <v>24</v>
      </c>
      <c r="J67" s="469">
        <v>0</v>
      </c>
      <c r="K67" s="469">
        <v>0</v>
      </c>
      <c r="L67" s="469">
        <v>0</v>
      </c>
      <c r="M67" s="469">
        <v>5</v>
      </c>
      <c r="N67" s="470">
        <v>19</v>
      </c>
    </row>
    <row r="68" spans="1:14" ht="15.75" customHeight="1">
      <c r="A68" s="471">
        <v>44</v>
      </c>
      <c r="B68" s="467" t="s">
        <v>1446</v>
      </c>
      <c r="C68" s="339">
        <v>45254</v>
      </c>
      <c r="D68" s="339">
        <v>45254</v>
      </c>
      <c r="E68" s="472">
        <v>24</v>
      </c>
      <c r="F68" s="459">
        <v>1.5</v>
      </c>
      <c r="G68" s="472">
        <v>15</v>
      </c>
      <c r="H68" s="452">
        <f t="shared" si="3"/>
        <v>22.5</v>
      </c>
      <c r="I68" s="472">
        <v>15</v>
      </c>
      <c r="J68" s="440">
        <v>0</v>
      </c>
      <c r="K68" s="440">
        <v>0</v>
      </c>
      <c r="L68" s="440">
        <v>0</v>
      </c>
      <c r="M68" s="440">
        <v>3</v>
      </c>
      <c r="N68" s="473">
        <v>12</v>
      </c>
    </row>
    <row r="69" spans="1:14" ht="15.75" customHeight="1">
      <c r="A69" s="249"/>
      <c r="B69" s="405"/>
      <c r="C69" s="405"/>
      <c r="D69" s="405"/>
      <c r="E69" s="730" t="s">
        <v>1447</v>
      </c>
      <c r="F69" s="731"/>
      <c r="G69" s="732">
        <f t="shared" ref="G69:H69" si="6">SUM(G25:G68)</f>
        <v>2657</v>
      </c>
      <c r="H69" s="733" t="e">
        <f t="shared" ca="1" si="6"/>
        <v>#NAME?</v>
      </c>
      <c r="I69" s="734">
        <f>SUM(I24:I68)</f>
        <v>2657</v>
      </c>
      <c r="J69" s="474">
        <v>0</v>
      </c>
      <c r="K69" s="474">
        <v>0</v>
      </c>
      <c r="L69" s="474">
        <v>0</v>
      </c>
      <c r="M69" s="474">
        <f t="shared" ref="M69:N69" si="7">SUM(M25:M68)</f>
        <v>549</v>
      </c>
      <c r="N69" s="474">
        <f t="shared" si="7"/>
        <v>2108</v>
      </c>
    </row>
    <row r="70" spans="1:14" ht="15.75" customHeight="1">
      <c r="A70" s="249"/>
      <c r="B70" s="475"/>
      <c r="C70" s="476"/>
      <c r="D70" s="476"/>
      <c r="E70" s="615"/>
      <c r="F70" s="636"/>
      <c r="G70" s="638"/>
      <c r="H70" s="638"/>
      <c r="I70" s="735"/>
      <c r="J70" s="736">
        <f>SUM(M69:N69)/I69</f>
        <v>1</v>
      </c>
      <c r="K70" s="592"/>
      <c r="L70" s="592"/>
      <c r="M70" s="592"/>
      <c r="N70" s="593"/>
    </row>
    <row r="71" spans="1:14" ht="15.75" customHeight="1">
      <c r="A71" s="249"/>
      <c r="B71" s="477"/>
      <c r="C71" s="478"/>
      <c r="D71" s="478"/>
      <c r="E71" s="249"/>
      <c r="F71" s="249"/>
      <c r="G71" s="479"/>
      <c r="H71" s="480"/>
      <c r="I71" s="480"/>
      <c r="J71" s="407"/>
      <c r="K71" s="481"/>
      <c r="L71" s="481"/>
      <c r="M71" s="481"/>
      <c r="N71" s="481"/>
    </row>
    <row r="72" spans="1:14" ht="15.75" customHeight="1">
      <c r="A72" s="65" t="s">
        <v>153</v>
      </c>
      <c r="B72" s="66"/>
      <c r="C72" s="64"/>
      <c r="D72" s="478"/>
      <c r="E72" s="249"/>
      <c r="F72" s="249"/>
      <c r="G72" s="479"/>
      <c r="H72" s="480"/>
      <c r="I72" s="480"/>
      <c r="J72" s="407"/>
      <c r="K72" s="481"/>
      <c r="L72" s="481"/>
      <c r="M72" s="481"/>
      <c r="N72" s="481"/>
    </row>
    <row r="73" spans="1:14" ht="15.75" customHeight="1">
      <c r="A73" s="67"/>
      <c r="B73" s="66"/>
      <c r="C73" s="64"/>
      <c r="D73" s="64"/>
      <c r="E73" s="64"/>
      <c r="F73" s="64"/>
      <c r="G73" s="64"/>
      <c r="H73" s="64"/>
      <c r="I73" s="64"/>
      <c r="J73" s="77"/>
      <c r="K73" s="77"/>
      <c r="L73" s="77"/>
      <c r="M73" s="77"/>
      <c r="N73" s="77"/>
    </row>
    <row r="74" spans="1:14" ht="15.75" customHeight="1">
      <c r="A74" s="66"/>
      <c r="B74" s="68"/>
      <c r="C74" s="69"/>
      <c r="D74" s="64"/>
      <c r="E74" s="64"/>
      <c r="F74" s="64"/>
      <c r="G74" s="64"/>
      <c r="H74" s="64"/>
      <c r="I74" s="64"/>
      <c r="J74" s="77"/>
      <c r="K74" s="77"/>
      <c r="L74" s="77"/>
      <c r="M74" s="77"/>
      <c r="N74" s="77"/>
    </row>
    <row r="75" spans="1:14" ht="15.75" customHeight="1">
      <c r="A75" s="66"/>
      <c r="B75" s="71" t="s">
        <v>1378</v>
      </c>
      <c r="C75" s="72">
        <v>45348</v>
      </c>
      <c r="D75" s="64"/>
      <c r="E75" s="64"/>
      <c r="F75" s="64"/>
      <c r="G75" s="64"/>
      <c r="H75" s="64"/>
      <c r="I75" s="64"/>
      <c r="J75" s="77"/>
      <c r="K75" s="77"/>
      <c r="L75" s="77"/>
      <c r="M75" s="77"/>
      <c r="N75" s="77"/>
    </row>
    <row r="76" spans="1:14" ht="15.75" customHeight="1">
      <c r="A76" s="73"/>
      <c r="B76" s="482" t="s">
        <v>1379</v>
      </c>
      <c r="C76" s="75" t="s">
        <v>156</v>
      </c>
      <c r="D76" s="249"/>
      <c r="E76" s="249"/>
      <c r="F76" s="249"/>
      <c r="G76" s="249"/>
      <c r="H76" s="249"/>
      <c r="I76" s="249"/>
      <c r="J76" s="407"/>
      <c r="K76" s="407"/>
      <c r="L76" s="407"/>
      <c r="M76" s="407"/>
      <c r="N76" s="407"/>
    </row>
    <row r="77" spans="1:14" ht="31.5" customHeight="1">
      <c r="A77" s="64"/>
      <c r="B77" s="64"/>
      <c r="C77" s="64"/>
      <c r="D77" s="249"/>
      <c r="E77" s="249"/>
      <c r="F77" s="249"/>
      <c r="G77" s="249"/>
      <c r="H77" s="249"/>
      <c r="I77" s="249"/>
      <c r="J77" s="407"/>
      <c r="K77" s="407"/>
      <c r="L77" s="407"/>
      <c r="M77" s="407"/>
      <c r="N77" s="407"/>
    </row>
    <row r="78" spans="1:14" ht="15.75" customHeight="1">
      <c r="A78" s="64"/>
      <c r="B78" s="64"/>
      <c r="C78" s="64"/>
      <c r="D78" s="249"/>
      <c r="E78" s="249"/>
      <c r="F78" s="249"/>
      <c r="G78" s="249"/>
      <c r="H78" s="249"/>
      <c r="I78" s="249"/>
      <c r="J78" s="407"/>
      <c r="K78" s="407"/>
      <c r="L78" s="407"/>
      <c r="M78" s="407"/>
      <c r="N78" s="407"/>
    </row>
    <row r="79" spans="1:14" ht="15.75" customHeight="1">
      <c r="A79" s="64" t="s">
        <v>157</v>
      </c>
      <c r="B79" s="64"/>
      <c r="C79" s="64"/>
      <c r="D79" s="249"/>
      <c r="E79" s="249"/>
      <c r="F79" s="249"/>
      <c r="G79" s="249"/>
      <c r="H79" s="249"/>
      <c r="I79" s="249"/>
      <c r="J79" s="407"/>
      <c r="K79" s="407"/>
      <c r="L79" s="407"/>
      <c r="M79" s="407"/>
      <c r="N79" s="407"/>
    </row>
    <row r="80" spans="1:14" ht="15.75" customHeight="1">
      <c r="A80" s="76"/>
      <c r="B80" s="64"/>
      <c r="C80" s="64"/>
      <c r="D80" s="249"/>
      <c r="E80" s="249"/>
      <c r="F80" s="249"/>
      <c r="G80" s="249"/>
      <c r="H80" s="249"/>
      <c r="I80" s="249"/>
      <c r="J80" s="407"/>
      <c r="K80" s="407"/>
      <c r="L80" s="407"/>
      <c r="M80" s="407"/>
      <c r="N80" s="407"/>
    </row>
    <row r="81" spans="1:14" ht="15.75" customHeight="1">
      <c r="A81" s="66"/>
      <c r="B81" s="68"/>
      <c r="C81" s="69"/>
      <c r="D81" s="249"/>
      <c r="E81" s="249"/>
      <c r="F81" s="249"/>
      <c r="G81" s="249"/>
      <c r="H81" s="249"/>
      <c r="I81" s="249"/>
      <c r="J81" s="407"/>
      <c r="K81" s="407"/>
      <c r="L81" s="407"/>
      <c r="M81" s="407"/>
      <c r="N81" s="407"/>
    </row>
    <row r="82" spans="1:14" ht="15.75" customHeight="1">
      <c r="A82" s="66"/>
      <c r="B82" s="71" t="s">
        <v>158</v>
      </c>
      <c r="C82" s="72">
        <v>45348</v>
      </c>
      <c r="D82" s="249"/>
      <c r="E82" s="249"/>
      <c r="F82" s="249"/>
      <c r="G82" s="249"/>
      <c r="H82" s="249"/>
      <c r="I82" s="249"/>
      <c r="J82" s="407"/>
      <c r="K82" s="407"/>
      <c r="L82" s="407"/>
      <c r="M82" s="407"/>
      <c r="N82" s="407"/>
    </row>
    <row r="83" spans="1:14" ht="15.75" customHeight="1">
      <c r="A83" s="74"/>
      <c r="B83" s="74" t="s">
        <v>159</v>
      </c>
      <c r="C83" s="75" t="s">
        <v>156</v>
      </c>
      <c r="D83" s="249"/>
      <c r="E83" s="249"/>
      <c r="F83" s="249"/>
      <c r="G83" s="249"/>
      <c r="H83" s="249"/>
      <c r="I83" s="249"/>
      <c r="J83" s="407"/>
      <c r="K83" s="407"/>
      <c r="L83" s="407"/>
      <c r="M83" s="407"/>
      <c r="N83" s="407"/>
    </row>
    <row r="84" spans="1:14" ht="15.75" customHeight="1">
      <c r="M84" s="483"/>
      <c r="N84" s="483"/>
    </row>
    <row r="85" spans="1:14" ht="15.75" customHeight="1">
      <c r="M85" s="483"/>
      <c r="N85" s="483"/>
    </row>
    <row r="86" spans="1:14" ht="15.75" customHeight="1">
      <c r="M86" s="483"/>
      <c r="N86" s="483"/>
    </row>
    <row r="87" spans="1:14" ht="15.75" customHeight="1">
      <c r="M87" s="483"/>
      <c r="N87" s="483"/>
    </row>
    <row r="88" spans="1:14" ht="15.75" customHeight="1">
      <c r="M88" s="483"/>
      <c r="N88" s="483"/>
    </row>
    <row r="89" spans="1:14" ht="15.75" customHeight="1">
      <c r="M89" s="483"/>
      <c r="N89" s="483"/>
    </row>
    <row r="90" spans="1:14" ht="15.75" customHeight="1">
      <c r="M90" s="483"/>
      <c r="N90" s="483"/>
    </row>
    <row r="91" spans="1:14" ht="15.75" customHeight="1">
      <c r="M91" s="483"/>
      <c r="N91" s="483"/>
    </row>
    <row r="92" spans="1:14" ht="15.75" customHeight="1">
      <c r="M92" s="483"/>
      <c r="N92" s="483"/>
    </row>
    <row r="93" spans="1:14" ht="15.75" customHeight="1">
      <c r="M93" s="483"/>
      <c r="N93" s="483"/>
    </row>
    <row r="94" spans="1:14" ht="15.75" customHeight="1">
      <c r="M94" s="483"/>
      <c r="N94" s="483"/>
    </row>
    <row r="95" spans="1:14" ht="15.75" customHeight="1">
      <c r="M95" s="483"/>
      <c r="N95" s="483"/>
    </row>
    <row r="96" spans="1:14" ht="15.75" customHeight="1">
      <c r="M96" s="483"/>
      <c r="N96" s="483"/>
    </row>
    <row r="97" spans="13:14" ht="15.75" customHeight="1">
      <c r="M97" s="483"/>
      <c r="N97" s="483"/>
    </row>
    <row r="98" spans="13:14" ht="15.75" customHeight="1">
      <c r="M98" s="483"/>
      <c r="N98" s="483"/>
    </row>
    <row r="99" spans="13:14" ht="15.75" customHeight="1">
      <c r="M99" s="483"/>
      <c r="N99" s="483"/>
    </row>
    <row r="100" spans="13:14" ht="15.75" customHeight="1">
      <c r="M100" s="483"/>
      <c r="N100" s="483"/>
    </row>
    <row r="101" spans="13:14" ht="15.75" customHeight="1">
      <c r="M101" s="483"/>
      <c r="N101" s="483"/>
    </row>
    <row r="102" spans="13:14" ht="15.75" customHeight="1">
      <c r="M102" s="483"/>
      <c r="N102" s="483"/>
    </row>
    <row r="103" spans="13:14" ht="15.75" customHeight="1">
      <c r="M103" s="483"/>
      <c r="N103" s="483"/>
    </row>
    <row r="104" spans="13:14" ht="15.75" customHeight="1">
      <c r="M104" s="483"/>
      <c r="N104" s="483"/>
    </row>
    <row r="105" spans="13:14" ht="15.75" customHeight="1">
      <c r="M105" s="483"/>
      <c r="N105" s="483"/>
    </row>
    <row r="106" spans="13:14" ht="15.75" customHeight="1">
      <c r="M106" s="483"/>
      <c r="N106" s="483"/>
    </row>
    <row r="107" spans="13:14" ht="15.75" customHeight="1">
      <c r="M107" s="483"/>
      <c r="N107" s="483"/>
    </row>
    <row r="108" spans="13:14" ht="15.75" customHeight="1">
      <c r="M108" s="483"/>
      <c r="N108" s="483"/>
    </row>
    <row r="109" spans="13:14" ht="15.75" customHeight="1">
      <c r="M109" s="483"/>
      <c r="N109" s="483"/>
    </row>
    <row r="110" spans="13:14" ht="15.75" customHeight="1">
      <c r="M110" s="483"/>
      <c r="N110" s="483"/>
    </row>
    <row r="111" spans="13:14" ht="15.75" customHeight="1">
      <c r="M111" s="483"/>
      <c r="N111" s="483"/>
    </row>
    <row r="112" spans="13:14" ht="15.75" customHeight="1">
      <c r="M112" s="483"/>
      <c r="N112" s="483"/>
    </row>
    <row r="113" spans="13:14" ht="15.75" customHeight="1">
      <c r="M113" s="483"/>
      <c r="N113" s="483"/>
    </row>
    <row r="114" spans="13:14" ht="15.75" customHeight="1">
      <c r="M114" s="483"/>
      <c r="N114" s="483"/>
    </row>
    <row r="115" spans="13:14" ht="15.75" customHeight="1">
      <c r="M115" s="483"/>
      <c r="N115" s="483"/>
    </row>
    <row r="116" spans="13:14" ht="15.75" customHeight="1">
      <c r="M116" s="483"/>
      <c r="N116" s="483"/>
    </row>
    <row r="117" spans="13:14" ht="15.75" customHeight="1">
      <c r="M117" s="483"/>
      <c r="N117" s="483"/>
    </row>
    <row r="118" spans="13:14" ht="15.75" customHeight="1">
      <c r="M118" s="483"/>
      <c r="N118" s="483"/>
    </row>
    <row r="119" spans="13:14" ht="15.75" customHeight="1">
      <c r="M119" s="483"/>
      <c r="N119" s="483"/>
    </row>
    <row r="120" spans="13:14" ht="15.75" customHeight="1">
      <c r="M120" s="483"/>
      <c r="N120" s="483"/>
    </row>
    <row r="121" spans="13:14" ht="15.75" customHeight="1">
      <c r="M121" s="483"/>
      <c r="N121" s="483"/>
    </row>
    <row r="122" spans="13:14" ht="15.75" customHeight="1">
      <c r="M122" s="483"/>
      <c r="N122" s="483"/>
    </row>
    <row r="123" spans="13:14" ht="15.75" customHeight="1">
      <c r="M123" s="483"/>
      <c r="N123" s="483"/>
    </row>
    <row r="124" spans="13:14" ht="15.75" customHeight="1">
      <c r="M124" s="483"/>
      <c r="N124" s="483"/>
    </row>
    <row r="125" spans="13:14" ht="15.75" customHeight="1">
      <c r="M125" s="483"/>
      <c r="N125" s="483"/>
    </row>
    <row r="126" spans="13:14" ht="15.75" customHeight="1">
      <c r="M126" s="483"/>
      <c r="N126" s="483"/>
    </row>
    <row r="127" spans="13:14" ht="15.75" customHeight="1">
      <c r="M127" s="483"/>
      <c r="N127" s="483"/>
    </row>
    <row r="128" spans="13:14" ht="15.75" customHeight="1">
      <c r="M128" s="483"/>
      <c r="N128" s="483"/>
    </row>
    <row r="129" spans="13:14" ht="15.75" customHeight="1">
      <c r="M129" s="483"/>
      <c r="N129" s="483"/>
    </row>
    <row r="130" spans="13:14" ht="15.75" customHeight="1">
      <c r="M130" s="483"/>
      <c r="N130" s="483"/>
    </row>
    <row r="131" spans="13:14" ht="15.75" customHeight="1">
      <c r="M131" s="483"/>
      <c r="N131" s="483"/>
    </row>
    <row r="132" spans="13:14" ht="15.75" customHeight="1">
      <c r="M132" s="483"/>
      <c r="N132" s="483"/>
    </row>
    <row r="133" spans="13:14" ht="15.75" customHeight="1">
      <c r="M133" s="483"/>
      <c r="N133" s="483"/>
    </row>
    <row r="134" spans="13:14" ht="15.75" customHeight="1">
      <c r="M134" s="483"/>
      <c r="N134" s="483"/>
    </row>
    <row r="135" spans="13:14" ht="15.75" customHeight="1">
      <c r="M135" s="483"/>
      <c r="N135" s="483"/>
    </row>
    <row r="136" spans="13:14" ht="15.75" customHeight="1">
      <c r="M136" s="483"/>
      <c r="N136" s="483"/>
    </row>
    <row r="137" spans="13:14" ht="15.75" customHeight="1">
      <c r="M137" s="483"/>
      <c r="N137" s="483"/>
    </row>
    <row r="138" spans="13:14" ht="15.75" customHeight="1">
      <c r="M138" s="483"/>
      <c r="N138" s="483"/>
    </row>
    <row r="139" spans="13:14" ht="15.75" customHeight="1">
      <c r="M139" s="483"/>
      <c r="N139" s="483"/>
    </row>
    <row r="140" spans="13:14" ht="15.75" customHeight="1">
      <c r="M140" s="483"/>
      <c r="N140" s="483"/>
    </row>
    <row r="141" spans="13:14" ht="15.75" customHeight="1">
      <c r="M141" s="483"/>
      <c r="N141" s="483"/>
    </row>
    <row r="142" spans="13:14" ht="15.75" customHeight="1">
      <c r="M142" s="483"/>
      <c r="N142" s="483"/>
    </row>
    <row r="143" spans="13:14" ht="15.75" customHeight="1">
      <c r="M143" s="483"/>
      <c r="N143" s="483"/>
    </row>
    <row r="144" spans="13:14" ht="15.75" customHeight="1">
      <c r="M144" s="483"/>
      <c r="N144" s="483"/>
    </row>
    <row r="145" spans="13:14" ht="15.75" customHeight="1">
      <c r="M145" s="483"/>
      <c r="N145" s="483"/>
    </row>
    <row r="146" spans="13:14" ht="15.75" customHeight="1">
      <c r="M146" s="483"/>
      <c r="N146" s="483"/>
    </row>
    <row r="147" spans="13:14" ht="15.75" customHeight="1">
      <c r="M147" s="483"/>
      <c r="N147" s="483"/>
    </row>
    <row r="148" spans="13:14" ht="15.75" customHeight="1">
      <c r="M148" s="483"/>
      <c r="N148" s="483"/>
    </row>
    <row r="149" spans="13:14" ht="15.75" customHeight="1">
      <c r="M149" s="483"/>
      <c r="N149" s="483"/>
    </row>
    <row r="150" spans="13:14" ht="15.75" customHeight="1">
      <c r="M150" s="483"/>
      <c r="N150" s="483"/>
    </row>
    <row r="151" spans="13:14" ht="15.75" customHeight="1">
      <c r="M151" s="483"/>
      <c r="N151" s="483"/>
    </row>
    <row r="152" spans="13:14" ht="15.75" customHeight="1">
      <c r="M152" s="483"/>
      <c r="N152" s="483"/>
    </row>
    <row r="153" spans="13:14" ht="15.75" customHeight="1">
      <c r="M153" s="483"/>
      <c r="N153" s="483"/>
    </row>
    <row r="154" spans="13:14" ht="15.75" customHeight="1">
      <c r="M154" s="483"/>
      <c r="N154" s="483"/>
    </row>
    <row r="155" spans="13:14" ht="15.75" customHeight="1">
      <c r="M155" s="483"/>
      <c r="N155" s="483"/>
    </row>
    <row r="156" spans="13:14" ht="15.75" customHeight="1">
      <c r="M156" s="483"/>
      <c r="N156" s="483"/>
    </row>
    <row r="157" spans="13:14" ht="15.75" customHeight="1">
      <c r="M157" s="483"/>
      <c r="N157" s="483"/>
    </row>
    <row r="158" spans="13:14" ht="15.75" customHeight="1">
      <c r="M158" s="483"/>
      <c r="N158" s="483"/>
    </row>
    <row r="159" spans="13:14" ht="15.75" customHeight="1">
      <c r="M159" s="483"/>
      <c r="N159" s="483"/>
    </row>
    <row r="160" spans="13:14" ht="15.75" customHeight="1">
      <c r="M160" s="483"/>
      <c r="N160" s="483"/>
    </row>
    <row r="161" spans="13:14" ht="15.75" customHeight="1">
      <c r="M161" s="483"/>
      <c r="N161" s="483"/>
    </row>
    <row r="162" spans="13:14" ht="15.75" customHeight="1">
      <c r="M162" s="483"/>
      <c r="N162" s="483"/>
    </row>
    <row r="163" spans="13:14" ht="15.75" customHeight="1">
      <c r="M163" s="483"/>
      <c r="N163" s="483"/>
    </row>
    <row r="164" spans="13:14" ht="15.75" customHeight="1">
      <c r="M164" s="483"/>
      <c r="N164" s="483"/>
    </row>
    <row r="165" spans="13:14" ht="15.75" customHeight="1">
      <c r="M165" s="483"/>
      <c r="N165" s="483"/>
    </row>
    <row r="166" spans="13:14" ht="15.75" customHeight="1">
      <c r="M166" s="483"/>
      <c r="N166" s="483"/>
    </row>
    <row r="167" spans="13:14" ht="15.75" customHeight="1">
      <c r="M167" s="483"/>
      <c r="N167" s="483"/>
    </row>
    <row r="168" spans="13:14" ht="15.75" customHeight="1">
      <c r="M168" s="483"/>
      <c r="N168" s="483"/>
    </row>
    <row r="169" spans="13:14" ht="15.75" customHeight="1">
      <c r="M169" s="483"/>
      <c r="N169" s="483"/>
    </row>
    <row r="170" spans="13:14" ht="15.75" customHeight="1">
      <c r="M170" s="483"/>
      <c r="N170" s="483"/>
    </row>
    <row r="171" spans="13:14" ht="15.75" customHeight="1">
      <c r="M171" s="483"/>
      <c r="N171" s="483"/>
    </row>
    <row r="172" spans="13:14" ht="15.75" customHeight="1">
      <c r="M172" s="483"/>
      <c r="N172" s="483"/>
    </row>
    <row r="173" spans="13:14" ht="15.75" customHeight="1">
      <c r="M173" s="483"/>
      <c r="N173" s="483"/>
    </row>
    <row r="174" spans="13:14" ht="15.75" customHeight="1">
      <c r="M174" s="483"/>
      <c r="N174" s="483"/>
    </row>
    <row r="175" spans="13:14" ht="15.75" customHeight="1">
      <c r="M175" s="483"/>
      <c r="N175" s="483"/>
    </row>
    <row r="176" spans="13:14" ht="15.75" customHeight="1">
      <c r="M176" s="483"/>
      <c r="N176" s="483"/>
    </row>
    <row r="177" spans="13:14" ht="15.75" customHeight="1">
      <c r="M177" s="483"/>
      <c r="N177" s="483"/>
    </row>
    <row r="178" spans="13:14" ht="15.75" customHeight="1">
      <c r="M178" s="483"/>
      <c r="N178" s="483"/>
    </row>
    <row r="179" spans="13:14" ht="15.75" customHeight="1">
      <c r="M179" s="483"/>
      <c r="N179" s="483"/>
    </row>
    <row r="180" spans="13:14" ht="15.75" customHeight="1">
      <c r="M180" s="483"/>
      <c r="N180" s="483"/>
    </row>
    <row r="181" spans="13:14" ht="15.75" customHeight="1">
      <c r="M181" s="483"/>
      <c r="N181" s="483"/>
    </row>
    <row r="182" spans="13:14" ht="15.75" customHeight="1">
      <c r="M182" s="483"/>
      <c r="N182" s="483"/>
    </row>
    <row r="183" spans="13:14" ht="15.75" customHeight="1">
      <c r="M183" s="483"/>
      <c r="N183" s="483"/>
    </row>
    <row r="184" spans="13:14" ht="15.75" customHeight="1">
      <c r="M184" s="483"/>
      <c r="N184" s="483"/>
    </row>
    <row r="185" spans="13:14" ht="15.75" customHeight="1">
      <c r="M185" s="483"/>
      <c r="N185" s="483"/>
    </row>
    <row r="186" spans="13:14" ht="15.75" customHeight="1">
      <c r="M186" s="483"/>
      <c r="N186" s="483"/>
    </row>
    <row r="187" spans="13:14" ht="15.75" customHeight="1">
      <c r="M187" s="483"/>
      <c r="N187" s="483"/>
    </row>
    <row r="188" spans="13:14" ht="15.75" customHeight="1">
      <c r="M188" s="483"/>
      <c r="N188" s="483"/>
    </row>
    <row r="189" spans="13:14" ht="15.75" customHeight="1">
      <c r="M189" s="483"/>
      <c r="N189" s="483"/>
    </row>
    <row r="190" spans="13:14" ht="15.75" customHeight="1">
      <c r="M190" s="483"/>
      <c r="N190" s="483"/>
    </row>
    <row r="191" spans="13:14" ht="15.75" customHeight="1">
      <c r="M191" s="483"/>
      <c r="N191" s="483"/>
    </row>
    <row r="192" spans="13:14" ht="15.75" customHeight="1">
      <c r="M192" s="483"/>
      <c r="N192" s="483"/>
    </row>
    <row r="193" spans="13:14" ht="15.75" customHeight="1">
      <c r="M193" s="483"/>
      <c r="N193" s="483"/>
    </row>
    <row r="194" spans="13:14" ht="15.75" customHeight="1">
      <c r="M194" s="483"/>
      <c r="N194" s="483"/>
    </row>
    <row r="195" spans="13:14" ht="15.75" customHeight="1">
      <c r="M195" s="483"/>
      <c r="N195" s="483"/>
    </row>
    <row r="196" spans="13:14" ht="15.75" customHeight="1">
      <c r="M196" s="483"/>
      <c r="N196" s="483"/>
    </row>
    <row r="197" spans="13:14" ht="15.75" customHeight="1">
      <c r="M197" s="483"/>
      <c r="N197" s="483"/>
    </row>
    <row r="198" spans="13:14" ht="15.75" customHeight="1">
      <c r="M198" s="483"/>
      <c r="N198" s="483"/>
    </row>
    <row r="199" spans="13:14" ht="15.75" customHeight="1">
      <c r="M199" s="483"/>
      <c r="N199" s="483"/>
    </row>
    <row r="200" spans="13:14" ht="15.75" customHeight="1">
      <c r="M200" s="483"/>
      <c r="N200" s="483"/>
    </row>
    <row r="201" spans="13:14" ht="15.75" customHeight="1">
      <c r="M201" s="483"/>
      <c r="N201" s="483"/>
    </row>
    <row r="202" spans="13:14" ht="15.75" customHeight="1">
      <c r="M202" s="483"/>
      <c r="N202" s="483"/>
    </row>
    <row r="203" spans="13:14" ht="15.75" customHeight="1">
      <c r="M203" s="483"/>
      <c r="N203" s="483"/>
    </row>
    <row r="204" spans="13:14" ht="15.75" customHeight="1">
      <c r="M204" s="483"/>
      <c r="N204" s="483"/>
    </row>
    <row r="205" spans="13:14" ht="15.75" customHeight="1">
      <c r="M205" s="483"/>
      <c r="N205" s="483"/>
    </row>
    <row r="206" spans="13:14" ht="15.75" customHeight="1">
      <c r="M206" s="483"/>
      <c r="N206" s="483"/>
    </row>
    <row r="207" spans="13:14" ht="15.75" customHeight="1">
      <c r="M207" s="483"/>
      <c r="N207" s="483"/>
    </row>
    <row r="208" spans="13:14" ht="15.75" customHeight="1">
      <c r="M208" s="483"/>
      <c r="N208" s="483"/>
    </row>
    <row r="209" spans="13:14" ht="15.75" customHeight="1">
      <c r="M209" s="483"/>
      <c r="N209" s="483"/>
    </row>
    <row r="210" spans="13:14" ht="15.75" customHeight="1">
      <c r="M210" s="483"/>
      <c r="N210" s="483"/>
    </row>
    <row r="211" spans="13:14" ht="15.75" customHeight="1">
      <c r="M211" s="483"/>
      <c r="N211" s="483"/>
    </row>
    <row r="212" spans="13:14" ht="15.75" customHeight="1">
      <c r="M212" s="483"/>
      <c r="N212" s="483"/>
    </row>
    <row r="213" spans="13:14" ht="15.75" customHeight="1">
      <c r="M213" s="483"/>
      <c r="N213" s="483"/>
    </row>
    <row r="214" spans="13:14" ht="15.75" customHeight="1">
      <c r="M214" s="483"/>
      <c r="N214" s="483"/>
    </row>
    <row r="215" spans="13:14" ht="15.75" customHeight="1">
      <c r="M215" s="483"/>
      <c r="N215" s="483"/>
    </row>
    <row r="216" spans="13:14" ht="15.75" customHeight="1">
      <c r="M216" s="483"/>
      <c r="N216" s="483"/>
    </row>
    <row r="217" spans="13:14" ht="15.75" customHeight="1">
      <c r="M217" s="483"/>
      <c r="N217" s="483"/>
    </row>
    <row r="218" spans="13:14" ht="15.75" customHeight="1">
      <c r="M218" s="483"/>
      <c r="N218" s="483"/>
    </row>
    <row r="219" spans="13:14" ht="15.75" customHeight="1">
      <c r="M219" s="483"/>
      <c r="N219" s="483"/>
    </row>
    <row r="220" spans="13:14" ht="15.75" customHeight="1">
      <c r="M220" s="483"/>
      <c r="N220" s="483"/>
    </row>
    <row r="221" spans="13:14" ht="15.75" customHeight="1">
      <c r="M221" s="483"/>
      <c r="N221" s="483"/>
    </row>
    <row r="222" spans="13:14" ht="15.75" customHeight="1">
      <c r="M222" s="483"/>
      <c r="N222" s="483"/>
    </row>
    <row r="223" spans="13:14" ht="15.75" customHeight="1">
      <c r="M223" s="483"/>
      <c r="N223" s="483"/>
    </row>
    <row r="224" spans="13:14" ht="15.75" customHeight="1">
      <c r="M224" s="483"/>
      <c r="N224" s="483"/>
    </row>
    <row r="225" spans="13:14" ht="15.75" customHeight="1">
      <c r="M225" s="483"/>
      <c r="N225" s="483"/>
    </row>
    <row r="226" spans="13:14" ht="15.75" customHeight="1">
      <c r="M226" s="483"/>
      <c r="N226" s="483"/>
    </row>
    <row r="227" spans="13:14" ht="15.75" customHeight="1">
      <c r="M227" s="483"/>
      <c r="N227" s="483"/>
    </row>
    <row r="228" spans="13:14" ht="15.75" customHeight="1">
      <c r="M228" s="483"/>
      <c r="N228" s="483"/>
    </row>
    <row r="229" spans="13:14" ht="15.75" customHeight="1">
      <c r="M229" s="483"/>
      <c r="N229" s="483"/>
    </row>
    <row r="230" spans="13:14" ht="15.75" customHeight="1">
      <c r="M230" s="483"/>
      <c r="N230" s="483"/>
    </row>
    <row r="231" spans="13:14" ht="15.75" customHeight="1">
      <c r="M231" s="483"/>
      <c r="N231" s="483"/>
    </row>
    <row r="232" spans="13:14" ht="15.75" customHeight="1">
      <c r="M232" s="483"/>
      <c r="N232" s="483"/>
    </row>
    <row r="233" spans="13:14" ht="15.75" customHeight="1">
      <c r="M233" s="483"/>
      <c r="N233" s="483"/>
    </row>
    <row r="234" spans="13:14" ht="15.75" customHeight="1">
      <c r="M234" s="483"/>
      <c r="N234" s="483"/>
    </row>
    <row r="235" spans="13:14" ht="15.75" customHeight="1">
      <c r="M235" s="483"/>
      <c r="N235" s="483"/>
    </row>
    <row r="236" spans="13:14" ht="15.75" customHeight="1">
      <c r="M236" s="483"/>
      <c r="N236" s="483"/>
    </row>
    <row r="237" spans="13:14" ht="15.75" customHeight="1">
      <c r="M237" s="483"/>
      <c r="N237" s="483"/>
    </row>
    <row r="238" spans="13:14" ht="15.75" customHeight="1">
      <c r="M238" s="483"/>
      <c r="N238" s="483"/>
    </row>
    <row r="239" spans="13:14" ht="15.75" customHeight="1">
      <c r="M239" s="483"/>
      <c r="N239" s="483"/>
    </row>
    <row r="240" spans="13:14" ht="15.75" customHeight="1">
      <c r="M240" s="483"/>
      <c r="N240" s="483"/>
    </row>
    <row r="241" spans="13:14" ht="15.75" customHeight="1">
      <c r="M241" s="483"/>
      <c r="N241" s="483"/>
    </row>
    <row r="242" spans="13:14" ht="15.75" customHeight="1">
      <c r="M242" s="483"/>
      <c r="N242" s="483"/>
    </row>
    <row r="243" spans="13:14" ht="15.75" customHeight="1">
      <c r="M243" s="483"/>
      <c r="N243" s="483"/>
    </row>
    <row r="244" spans="13:14" ht="15.75" customHeight="1">
      <c r="M244" s="483"/>
      <c r="N244" s="483"/>
    </row>
    <row r="245" spans="13:14" ht="15.75" customHeight="1">
      <c r="M245" s="483"/>
      <c r="N245" s="483"/>
    </row>
    <row r="246" spans="13:14" ht="15.75" customHeight="1">
      <c r="M246" s="483"/>
      <c r="N246" s="483"/>
    </row>
    <row r="247" spans="13:14" ht="15.75" customHeight="1">
      <c r="M247" s="483"/>
      <c r="N247" s="483"/>
    </row>
    <row r="248" spans="13:14" ht="15.75" customHeight="1">
      <c r="M248" s="483"/>
      <c r="N248" s="483"/>
    </row>
    <row r="249" spans="13:14" ht="15.75" customHeight="1">
      <c r="M249" s="483"/>
      <c r="N249" s="483"/>
    </row>
    <row r="250" spans="13:14" ht="15.75" customHeight="1">
      <c r="M250" s="483"/>
      <c r="N250" s="483"/>
    </row>
    <row r="251" spans="13:14" ht="15.75" customHeight="1">
      <c r="M251" s="483"/>
      <c r="N251" s="483"/>
    </row>
    <row r="252" spans="13:14" ht="15.75" customHeight="1">
      <c r="M252" s="483"/>
      <c r="N252" s="483"/>
    </row>
    <row r="253" spans="13:14" ht="15.75" customHeight="1">
      <c r="M253" s="483"/>
      <c r="N253" s="483"/>
    </row>
    <row r="254" spans="13:14" ht="15.75" customHeight="1">
      <c r="M254" s="483"/>
      <c r="N254" s="483"/>
    </row>
    <row r="255" spans="13:14" ht="15.75" customHeight="1">
      <c r="M255" s="483"/>
      <c r="N255" s="483"/>
    </row>
    <row r="256" spans="13:14" ht="15.75" customHeight="1">
      <c r="M256" s="483"/>
      <c r="N256" s="483"/>
    </row>
    <row r="257" spans="13:14" ht="15.75" customHeight="1">
      <c r="M257" s="483"/>
      <c r="N257" s="483"/>
    </row>
    <row r="258" spans="13:14" ht="15.75" customHeight="1">
      <c r="M258" s="483"/>
      <c r="N258" s="483"/>
    </row>
    <row r="259" spans="13:14" ht="15.75" customHeight="1">
      <c r="M259" s="483"/>
      <c r="N259" s="483"/>
    </row>
    <row r="260" spans="13:14" ht="15.75" customHeight="1">
      <c r="M260" s="483"/>
      <c r="N260" s="483"/>
    </row>
    <row r="261" spans="13:14" ht="15.75" customHeight="1">
      <c r="M261" s="483"/>
      <c r="N261" s="483"/>
    </row>
    <row r="262" spans="13:14" ht="15.75" customHeight="1">
      <c r="M262" s="483"/>
      <c r="N262" s="483"/>
    </row>
    <row r="263" spans="13:14" ht="15.75" customHeight="1">
      <c r="M263" s="483"/>
      <c r="N263" s="483"/>
    </row>
    <row r="264" spans="13:14" ht="15.75" customHeight="1">
      <c r="M264" s="483"/>
      <c r="N264" s="483"/>
    </row>
    <row r="265" spans="13:14" ht="15.75" customHeight="1">
      <c r="M265" s="483"/>
      <c r="N265" s="483"/>
    </row>
    <row r="266" spans="13:14" ht="15.75" customHeight="1">
      <c r="M266" s="483"/>
      <c r="N266" s="483"/>
    </row>
    <row r="267" spans="13:14" ht="15.75" customHeight="1">
      <c r="M267" s="483"/>
      <c r="N267" s="483"/>
    </row>
    <row r="268" spans="13:14" ht="15.75" customHeight="1">
      <c r="M268" s="483"/>
      <c r="N268" s="483"/>
    </row>
    <row r="269" spans="13:14" ht="15.75" customHeight="1">
      <c r="M269" s="483"/>
      <c r="N269" s="483"/>
    </row>
    <row r="270" spans="13:14" ht="15.75" customHeight="1">
      <c r="M270" s="483"/>
      <c r="N270" s="483"/>
    </row>
    <row r="271" spans="13:14" ht="15.75" customHeight="1">
      <c r="M271" s="483"/>
      <c r="N271" s="483"/>
    </row>
    <row r="272" spans="13:14" ht="15.75" customHeight="1">
      <c r="M272" s="483"/>
      <c r="N272" s="483"/>
    </row>
    <row r="273" spans="13:14" ht="15.75" customHeight="1">
      <c r="M273" s="483"/>
      <c r="N273" s="483"/>
    </row>
    <row r="274" spans="13:14" ht="15.75" customHeight="1">
      <c r="M274" s="483"/>
      <c r="N274" s="483"/>
    </row>
    <row r="275" spans="13:14" ht="15.75" customHeight="1">
      <c r="M275" s="483"/>
      <c r="N275" s="483"/>
    </row>
    <row r="276" spans="13:14" ht="15.75" customHeight="1">
      <c r="M276" s="483"/>
      <c r="N276" s="483"/>
    </row>
    <row r="277" spans="13:14" ht="15.75" customHeight="1">
      <c r="M277" s="483"/>
      <c r="N277" s="483"/>
    </row>
    <row r="278" spans="13:14" ht="15.75" customHeight="1">
      <c r="M278" s="483"/>
      <c r="N278" s="483"/>
    </row>
    <row r="279" spans="13:14" ht="15.75" customHeight="1">
      <c r="M279" s="483"/>
      <c r="N279" s="483"/>
    </row>
    <row r="280" spans="13:14" ht="15.75" customHeight="1">
      <c r="M280" s="483"/>
      <c r="N280" s="483"/>
    </row>
    <row r="281" spans="13:14" ht="15.75" customHeight="1">
      <c r="M281" s="483"/>
      <c r="N281" s="483"/>
    </row>
    <row r="282" spans="13:14" ht="15.75" customHeight="1">
      <c r="M282" s="483"/>
      <c r="N282" s="483"/>
    </row>
    <row r="283" spans="13:14" ht="15.75" customHeight="1">
      <c r="M283" s="483"/>
      <c r="N283" s="483"/>
    </row>
    <row r="284" spans="13:14" ht="15.75" customHeight="1">
      <c r="M284" s="483"/>
      <c r="N284" s="483"/>
    </row>
    <row r="285" spans="13:14" ht="15.75" customHeight="1">
      <c r="M285" s="483"/>
      <c r="N285" s="483"/>
    </row>
    <row r="286" spans="13:14" ht="15.75" customHeight="1">
      <c r="M286" s="483"/>
      <c r="N286" s="483"/>
    </row>
    <row r="287" spans="13:14" ht="15.75" customHeight="1">
      <c r="M287" s="483"/>
      <c r="N287" s="483"/>
    </row>
    <row r="288" spans="13:14" ht="15.75" customHeight="1">
      <c r="M288" s="483"/>
      <c r="N288" s="483"/>
    </row>
    <row r="289" spans="13:14" ht="15.75" customHeight="1">
      <c r="M289" s="483"/>
      <c r="N289" s="483"/>
    </row>
    <row r="290" spans="13:14" ht="15.75" customHeight="1">
      <c r="M290" s="483"/>
      <c r="N290" s="483"/>
    </row>
    <row r="291" spans="13:14" ht="15.75" customHeight="1">
      <c r="M291" s="483"/>
      <c r="N291" s="483"/>
    </row>
    <row r="292" spans="13:14" ht="15.75" customHeight="1">
      <c r="M292" s="483"/>
      <c r="N292" s="483"/>
    </row>
    <row r="293" spans="13:14" ht="15.75" customHeight="1">
      <c r="M293" s="483"/>
      <c r="N293" s="483"/>
    </row>
    <row r="294" spans="13:14" ht="15.75" customHeight="1">
      <c r="M294" s="483"/>
      <c r="N294" s="483"/>
    </row>
    <row r="295" spans="13:14" ht="15.75" customHeight="1">
      <c r="M295" s="483"/>
      <c r="N295" s="483"/>
    </row>
    <row r="296" spans="13:14" ht="15.75" customHeight="1">
      <c r="M296" s="483"/>
      <c r="N296" s="483"/>
    </row>
    <row r="297" spans="13:14" ht="15.75" customHeight="1">
      <c r="M297" s="483"/>
      <c r="N297" s="483"/>
    </row>
    <row r="298" spans="13:14" ht="15.75" customHeight="1">
      <c r="M298" s="483"/>
      <c r="N298" s="483"/>
    </row>
    <row r="299" spans="13:14" ht="15.75" customHeight="1">
      <c r="M299" s="483"/>
      <c r="N299" s="483"/>
    </row>
    <row r="300" spans="13:14" ht="15.75" customHeight="1">
      <c r="M300" s="483"/>
      <c r="N300" s="483"/>
    </row>
    <row r="301" spans="13:14" ht="15.75" customHeight="1">
      <c r="M301" s="483"/>
      <c r="N301" s="483"/>
    </row>
    <row r="302" spans="13:14" ht="15.75" customHeight="1">
      <c r="M302" s="483"/>
      <c r="N302" s="483"/>
    </row>
    <row r="303" spans="13:14" ht="15.75" customHeight="1">
      <c r="M303" s="483"/>
      <c r="N303" s="483"/>
    </row>
    <row r="304" spans="13:14" ht="15.75" customHeight="1">
      <c r="M304" s="483"/>
      <c r="N304" s="483"/>
    </row>
    <row r="305" spans="13:14" ht="15.75" customHeight="1">
      <c r="M305" s="483"/>
      <c r="N305" s="483"/>
    </row>
    <row r="306" spans="13:14" ht="15.75" customHeight="1">
      <c r="M306" s="483"/>
      <c r="N306" s="483"/>
    </row>
    <row r="307" spans="13:14" ht="15.75" customHeight="1">
      <c r="M307" s="483"/>
      <c r="N307" s="483"/>
    </row>
    <row r="308" spans="13:14" ht="15.75" customHeight="1">
      <c r="M308" s="483"/>
      <c r="N308" s="483"/>
    </row>
    <row r="309" spans="13:14" ht="15.75" customHeight="1">
      <c r="M309" s="483"/>
      <c r="N309" s="483"/>
    </row>
    <row r="310" spans="13:14" ht="15.75" customHeight="1">
      <c r="M310" s="483"/>
      <c r="N310" s="483"/>
    </row>
    <row r="311" spans="13:14" ht="15.75" customHeight="1">
      <c r="M311" s="483"/>
      <c r="N311" s="483"/>
    </row>
    <row r="312" spans="13:14" ht="15.75" customHeight="1">
      <c r="M312" s="483"/>
      <c r="N312" s="483"/>
    </row>
    <row r="313" spans="13:14" ht="15.75" customHeight="1">
      <c r="M313" s="483"/>
      <c r="N313" s="483"/>
    </row>
    <row r="314" spans="13:14" ht="15.75" customHeight="1">
      <c r="M314" s="483"/>
      <c r="N314" s="483"/>
    </row>
    <row r="315" spans="13:14" ht="15.75" customHeight="1">
      <c r="M315" s="483"/>
      <c r="N315" s="483"/>
    </row>
    <row r="316" spans="13:14" ht="15.75" customHeight="1">
      <c r="M316" s="483"/>
      <c r="N316" s="483"/>
    </row>
    <row r="317" spans="13:14" ht="15.75" customHeight="1">
      <c r="M317" s="483"/>
      <c r="N317" s="483"/>
    </row>
    <row r="318" spans="13:14" ht="15.75" customHeight="1">
      <c r="M318" s="483"/>
      <c r="N318" s="483"/>
    </row>
    <row r="319" spans="13:14" ht="15.75" customHeight="1">
      <c r="M319" s="483"/>
      <c r="N319" s="483"/>
    </row>
    <row r="320" spans="13:14" ht="15.75" customHeight="1">
      <c r="M320" s="483"/>
      <c r="N320" s="483"/>
    </row>
    <row r="321" spans="13:14" ht="15.75" customHeight="1">
      <c r="M321" s="483"/>
      <c r="N321" s="483"/>
    </row>
    <row r="322" spans="13:14" ht="15.75" customHeight="1">
      <c r="M322" s="483"/>
      <c r="N322" s="483"/>
    </row>
    <row r="323" spans="13:14" ht="15.75" customHeight="1">
      <c r="M323" s="483"/>
      <c r="N323" s="483"/>
    </row>
    <row r="324" spans="13:14" ht="15.75" customHeight="1">
      <c r="M324" s="483"/>
      <c r="N324" s="483"/>
    </row>
    <row r="325" spans="13:14" ht="15.75" customHeight="1">
      <c r="M325" s="483"/>
      <c r="N325" s="483"/>
    </row>
    <row r="326" spans="13:14" ht="15.75" customHeight="1">
      <c r="M326" s="483"/>
      <c r="N326" s="483"/>
    </row>
    <row r="327" spans="13:14" ht="15.75" customHeight="1">
      <c r="M327" s="483"/>
      <c r="N327" s="483"/>
    </row>
    <row r="328" spans="13:14" ht="15.75" customHeight="1">
      <c r="M328" s="483"/>
      <c r="N328" s="483"/>
    </row>
    <row r="329" spans="13:14" ht="15.75" customHeight="1">
      <c r="M329" s="483"/>
      <c r="N329" s="483"/>
    </row>
    <row r="330" spans="13:14" ht="15.75" customHeight="1">
      <c r="M330" s="483"/>
      <c r="N330" s="483"/>
    </row>
    <row r="331" spans="13:14" ht="15.75" customHeight="1">
      <c r="M331" s="483"/>
      <c r="N331" s="483"/>
    </row>
    <row r="332" spans="13:14" ht="15.75" customHeight="1">
      <c r="M332" s="483"/>
      <c r="N332" s="483"/>
    </row>
    <row r="333" spans="13:14" ht="15.75" customHeight="1">
      <c r="M333" s="483"/>
      <c r="N333" s="483"/>
    </row>
    <row r="334" spans="13:14" ht="15.75" customHeight="1">
      <c r="M334" s="483"/>
      <c r="N334" s="483"/>
    </row>
    <row r="335" spans="13:14" ht="15.75" customHeight="1">
      <c r="M335" s="483"/>
      <c r="N335" s="483"/>
    </row>
    <row r="336" spans="13:14" ht="15.75" customHeight="1">
      <c r="M336" s="483"/>
      <c r="N336" s="483"/>
    </row>
    <row r="337" spans="13:14" ht="15.75" customHeight="1">
      <c r="M337" s="483"/>
      <c r="N337" s="483"/>
    </row>
    <row r="338" spans="13:14" ht="15.75" customHeight="1">
      <c r="M338" s="483"/>
      <c r="N338" s="483"/>
    </row>
    <row r="339" spans="13:14" ht="15.75" customHeight="1">
      <c r="M339" s="483"/>
      <c r="N339" s="483"/>
    </row>
    <row r="340" spans="13:14" ht="15.75" customHeight="1">
      <c r="M340" s="483"/>
      <c r="N340" s="483"/>
    </row>
    <row r="341" spans="13:14" ht="15.75" customHeight="1">
      <c r="M341" s="483"/>
      <c r="N341" s="483"/>
    </row>
    <row r="342" spans="13:14" ht="15.75" customHeight="1">
      <c r="M342" s="483"/>
      <c r="N342" s="483"/>
    </row>
    <row r="343" spans="13:14" ht="15.75" customHeight="1">
      <c r="M343" s="483"/>
      <c r="N343" s="483"/>
    </row>
    <row r="344" spans="13:14" ht="15.75" customHeight="1">
      <c r="M344" s="483"/>
      <c r="N344" s="483"/>
    </row>
    <row r="345" spans="13:14" ht="15.75" customHeight="1">
      <c r="M345" s="483"/>
      <c r="N345" s="483"/>
    </row>
    <row r="346" spans="13:14" ht="15.75" customHeight="1">
      <c r="M346" s="483"/>
      <c r="N346" s="483"/>
    </row>
    <row r="347" spans="13:14" ht="15.75" customHeight="1">
      <c r="M347" s="483"/>
      <c r="N347" s="483"/>
    </row>
    <row r="348" spans="13:14" ht="15.75" customHeight="1">
      <c r="M348" s="483"/>
      <c r="N348" s="483"/>
    </row>
    <row r="349" spans="13:14" ht="15.75" customHeight="1">
      <c r="M349" s="483"/>
      <c r="N349" s="483"/>
    </row>
    <row r="350" spans="13:14" ht="15.75" customHeight="1">
      <c r="M350" s="483"/>
      <c r="N350" s="483"/>
    </row>
    <row r="351" spans="13:14" ht="15.75" customHeight="1">
      <c r="M351" s="483"/>
      <c r="N351" s="483"/>
    </row>
    <row r="352" spans="13:14" ht="15.75" customHeight="1">
      <c r="M352" s="483"/>
      <c r="N352" s="483"/>
    </row>
    <row r="353" spans="13:14" ht="15.75" customHeight="1">
      <c r="M353" s="483"/>
      <c r="N353" s="483"/>
    </row>
    <row r="354" spans="13:14" ht="15.75" customHeight="1">
      <c r="M354" s="483"/>
      <c r="N354" s="483"/>
    </row>
    <row r="355" spans="13:14" ht="15.75" customHeight="1">
      <c r="M355" s="483"/>
      <c r="N355" s="483"/>
    </row>
    <row r="356" spans="13:14" ht="15.75" customHeight="1">
      <c r="M356" s="483"/>
      <c r="N356" s="483"/>
    </row>
    <row r="357" spans="13:14" ht="15.75" customHeight="1">
      <c r="M357" s="483"/>
      <c r="N357" s="483"/>
    </row>
    <row r="358" spans="13:14" ht="15.75" customHeight="1">
      <c r="M358" s="483"/>
      <c r="N358" s="483"/>
    </row>
    <row r="359" spans="13:14" ht="15.75" customHeight="1">
      <c r="M359" s="483"/>
      <c r="N359" s="483"/>
    </row>
    <row r="360" spans="13:14" ht="15.75" customHeight="1">
      <c r="M360" s="483"/>
      <c r="N360" s="483"/>
    </row>
    <row r="361" spans="13:14" ht="15.75" customHeight="1">
      <c r="M361" s="483"/>
      <c r="N361" s="483"/>
    </row>
    <row r="362" spans="13:14" ht="15.75" customHeight="1">
      <c r="M362" s="483"/>
      <c r="N362" s="483"/>
    </row>
    <row r="363" spans="13:14" ht="15.75" customHeight="1">
      <c r="M363" s="483"/>
      <c r="N363" s="483"/>
    </row>
    <row r="364" spans="13:14" ht="15.75" customHeight="1">
      <c r="M364" s="483"/>
      <c r="N364" s="483"/>
    </row>
    <row r="365" spans="13:14" ht="15.75" customHeight="1">
      <c r="M365" s="483"/>
      <c r="N365" s="483"/>
    </row>
    <row r="366" spans="13:14" ht="15.75" customHeight="1">
      <c r="M366" s="483"/>
      <c r="N366" s="483"/>
    </row>
    <row r="367" spans="13:14" ht="15.75" customHeight="1">
      <c r="M367" s="483"/>
      <c r="N367" s="483"/>
    </row>
    <row r="368" spans="13:14" ht="15.75" customHeight="1">
      <c r="M368" s="483"/>
      <c r="N368" s="483"/>
    </row>
    <row r="369" spans="13:14" ht="15.75" customHeight="1">
      <c r="M369" s="483"/>
      <c r="N369" s="483"/>
    </row>
    <row r="370" spans="13:14" ht="15.75" customHeight="1">
      <c r="M370" s="483"/>
      <c r="N370" s="483"/>
    </row>
    <row r="371" spans="13:14" ht="15.75" customHeight="1">
      <c r="M371" s="483"/>
      <c r="N371" s="483"/>
    </row>
    <row r="372" spans="13:14" ht="15.75" customHeight="1">
      <c r="M372" s="483"/>
      <c r="N372" s="483"/>
    </row>
    <row r="373" spans="13:14" ht="15.75" customHeight="1">
      <c r="M373" s="483"/>
      <c r="N373" s="483"/>
    </row>
    <row r="374" spans="13:14" ht="15.75" customHeight="1">
      <c r="M374" s="483"/>
      <c r="N374" s="483"/>
    </row>
    <row r="375" spans="13:14" ht="15.75" customHeight="1">
      <c r="M375" s="483"/>
      <c r="N375" s="483"/>
    </row>
    <row r="376" spans="13:14" ht="15.75" customHeight="1">
      <c r="M376" s="483"/>
      <c r="N376" s="483"/>
    </row>
    <row r="377" spans="13:14" ht="15.75" customHeight="1">
      <c r="M377" s="483"/>
      <c r="N377" s="483"/>
    </row>
    <row r="378" spans="13:14" ht="15.75" customHeight="1">
      <c r="M378" s="483"/>
      <c r="N378" s="483"/>
    </row>
    <row r="379" spans="13:14" ht="15.75" customHeight="1">
      <c r="M379" s="483"/>
      <c r="N379" s="483"/>
    </row>
    <row r="380" spans="13:14" ht="15.75" customHeight="1">
      <c r="M380" s="483"/>
      <c r="N380" s="483"/>
    </row>
    <row r="381" spans="13:14" ht="15.75" customHeight="1">
      <c r="M381" s="483"/>
      <c r="N381" s="483"/>
    </row>
    <row r="382" spans="13:14" ht="15.75" customHeight="1">
      <c r="M382" s="483"/>
      <c r="N382" s="483"/>
    </row>
    <row r="383" spans="13:14" ht="15.75" customHeight="1">
      <c r="M383" s="483"/>
      <c r="N383" s="483"/>
    </row>
    <row r="384" spans="13:14" ht="15.75" customHeight="1">
      <c r="M384" s="483"/>
      <c r="N384" s="483"/>
    </row>
    <row r="385" spans="13:14" ht="15.75" customHeight="1">
      <c r="M385" s="483"/>
      <c r="N385" s="483"/>
    </row>
    <row r="386" spans="13:14" ht="15.75" customHeight="1">
      <c r="M386" s="483"/>
      <c r="N386" s="483"/>
    </row>
    <row r="387" spans="13:14" ht="15.75" customHeight="1">
      <c r="M387" s="483"/>
      <c r="N387" s="483"/>
    </row>
    <row r="388" spans="13:14" ht="15.75" customHeight="1">
      <c r="M388" s="483"/>
      <c r="N388" s="483"/>
    </row>
    <row r="389" spans="13:14" ht="15.75" customHeight="1">
      <c r="M389" s="483"/>
      <c r="N389" s="483"/>
    </row>
    <row r="390" spans="13:14" ht="15.75" customHeight="1">
      <c r="M390" s="483"/>
      <c r="N390" s="483"/>
    </row>
    <row r="391" spans="13:14" ht="15.75" customHeight="1">
      <c r="M391" s="483"/>
      <c r="N391" s="483"/>
    </row>
    <row r="392" spans="13:14" ht="15.75" customHeight="1">
      <c r="M392" s="483"/>
      <c r="N392" s="483"/>
    </row>
    <row r="393" spans="13:14" ht="15.75" customHeight="1">
      <c r="M393" s="483"/>
      <c r="N393" s="483"/>
    </row>
    <row r="394" spans="13:14" ht="15.75" customHeight="1">
      <c r="M394" s="483"/>
      <c r="N394" s="483"/>
    </row>
    <row r="395" spans="13:14" ht="15.75" customHeight="1">
      <c r="M395" s="483"/>
      <c r="N395" s="483"/>
    </row>
    <row r="396" spans="13:14" ht="15.75" customHeight="1">
      <c r="M396" s="483"/>
      <c r="N396" s="483"/>
    </row>
    <row r="397" spans="13:14" ht="15.75" customHeight="1">
      <c r="M397" s="483"/>
      <c r="N397" s="483"/>
    </row>
    <row r="398" spans="13:14" ht="15.75" customHeight="1">
      <c r="M398" s="483"/>
      <c r="N398" s="483"/>
    </row>
    <row r="399" spans="13:14" ht="15.75" customHeight="1">
      <c r="M399" s="483"/>
      <c r="N399" s="483"/>
    </row>
    <row r="400" spans="13:14" ht="15.75" customHeight="1">
      <c r="M400" s="483"/>
      <c r="N400" s="483"/>
    </row>
    <row r="401" spans="13:14" ht="15.75" customHeight="1">
      <c r="M401" s="483"/>
      <c r="N401" s="483"/>
    </row>
    <row r="402" spans="13:14" ht="15.75" customHeight="1">
      <c r="M402" s="483"/>
      <c r="N402" s="483"/>
    </row>
    <row r="403" spans="13:14" ht="15.75" customHeight="1">
      <c r="M403" s="483"/>
      <c r="N403" s="483"/>
    </row>
    <row r="404" spans="13:14" ht="15.75" customHeight="1">
      <c r="M404" s="483"/>
      <c r="N404" s="483"/>
    </row>
    <row r="405" spans="13:14" ht="15.75" customHeight="1">
      <c r="M405" s="483"/>
      <c r="N405" s="483"/>
    </row>
    <row r="406" spans="13:14" ht="15.75" customHeight="1">
      <c r="M406" s="483"/>
      <c r="N406" s="483"/>
    </row>
    <row r="407" spans="13:14" ht="15.75" customHeight="1">
      <c r="M407" s="483"/>
      <c r="N407" s="483"/>
    </row>
    <row r="408" spans="13:14" ht="15.75" customHeight="1">
      <c r="M408" s="483"/>
      <c r="N408" s="483"/>
    </row>
    <row r="409" spans="13:14" ht="15.75" customHeight="1">
      <c r="M409" s="483"/>
      <c r="N409" s="483"/>
    </row>
    <row r="410" spans="13:14" ht="15.75" customHeight="1">
      <c r="M410" s="483"/>
      <c r="N410" s="483"/>
    </row>
    <row r="411" spans="13:14" ht="15.75" customHeight="1">
      <c r="M411" s="483"/>
      <c r="N411" s="483"/>
    </row>
    <row r="412" spans="13:14" ht="15.75" customHeight="1">
      <c r="M412" s="483"/>
      <c r="N412" s="483"/>
    </row>
    <row r="413" spans="13:14" ht="15.75" customHeight="1">
      <c r="M413" s="483"/>
      <c r="N413" s="483"/>
    </row>
    <row r="414" spans="13:14" ht="15.75" customHeight="1">
      <c r="M414" s="483"/>
      <c r="N414" s="483"/>
    </row>
    <row r="415" spans="13:14" ht="15.75" customHeight="1">
      <c r="M415" s="483"/>
      <c r="N415" s="483"/>
    </row>
    <row r="416" spans="13:14" ht="15.75" customHeight="1">
      <c r="M416" s="483"/>
      <c r="N416" s="483"/>
    </row>
    <row r="417" spans="13:14" ht="15.75" customHeight="1">
      <c r="M417" s="483"/>
      <c r="N417" s="483"/>
    </row>
    <row r="418" spans="13:14" ht="15.75" customHeight="1">
      <c r="M418" s="483"/>
      <c r="N418" s="483"/>
    </row>
    <row r="419" spans="13:14" ht="15.75" customHeight="1">
      <c r="M419" s="483"/>
      <c r="N419" s="483"/>
    </row>
    <row r="420" spans="13:14" ht="15.75" customHeight="1">
      <c r="M420" s="483"/>
      <c r="N420" s="483"/>
    </row>
    <row r="421" spans="13:14" ht="15.75" customHeight="1">
      <c r="M421" s="483"/>
      <c r="N421" s="483"/>
    </row>
    <row r="422" spans="13:14" ht="15.75" customHeight="1">
      <c r="M422" s="483"/>
      <c r="N422" s="483"/>
    </row>
    <row r="423" spans="13:14" ht="15.75" customHeight="1">
      <c r="M423" s="483"/>
      <c r="N423" s="483"/>
    </row>
    <row r="424" spans="13:14" ht="15.75" customHeight="1">
      <c r="M424" s="483"/>
      <c r="N424" s="483"/>
    </row>
    <row r="425" spans="13:14" ht="15.75" customHeight="1">
      <c r="M425" s="483"/>
      <c r="N425" s="483"/>
    </row>
    <row r="426" spans="13:14" ht="15.75" customHeight="1">
      <c r="M426" s="483"/>
      <c r="N426" s="483"/>
    </row>
    <row r="427" spans="13:14" ht="15.75" customHeight="1">
      <c r="M427" s="483"/>
      <c r="N427" s="483"/>
    </row>
    <row r="428" spans="13:14" ht="15.75" customHeight="1">
      <c r="M428" s="483"/>
      <c r="N428" s="483"/>
    </row>
    <row r="429" spans="13:14" ht="15.75" customHeight="1">
      <c r="M429" s="483"/>
      <c r="N429" s="483"/>
    </row>
    <row r="430" spans="13:14" ht="15.75" customHeight="1">
      <c r="M430" s="483"/>
      <c r="N430" s="483"/>
    </row>
    <row r="431" spans="13:14" ht="15.75" customHeight="1">
      <c r="M431" s="483"/>
      <c r="N431" s="483"/>
    </row>
    <row r="432" spans="13:14" ht="15.75" customHeight="1">
      <c r="M432" s="483"/>
      <c r="N432" s="483"/>
    </row>
    <row r="433" spans="13:14" ht="15.75" customHeight="1">
      <c r="M433" s="483"/>
      <c r="N433" s="483"/>
    </row>
    <row r="434" spans="13:14" ht="15.75" customHeight="1">
      <c r="M434" s="483"/>
      <c r="N434" s="483"/>
    </row>
    <row r="435" spans="13:14" ht="15.75" customHeight="1">
      <c r="M435" s="483"/>
      <c r="N435" s="483"/>
    </row>
    <row r="436" spans="13:14" ht="15.75" customHeight="1">
      <c r="M436" s="483"/>
      <c r="N436" s="483"/>
    </row>
    <row r="437" spans="13:14" ht="15.75" customHeight="1">
      <c r="M437" s="483"/>
      <c r="N437" s="483"/>
    </row>
    <row r="438" spans="13:14" ht="15.75" customHeight="1">
      <c r="M438" s="483"/>
      <c r="N438" s="483"/>
    </row>
    <row r="439" spans="13:14" ht="15.75" customHeight="1">
      <c r="M439" s="483"/>
      <c r="N439" s="483"/>
    </row>
    <row r="440" spans="13:14" ht="15.75" customHeight="1">
      <c r="M440" s="483"/>
      <c r="N440" s="483"/>
    </row>
    <row r="441" spans="13:14" ht="15.75" customHeight="1">
      <c r="M441" s="483"/>
      <c r="N441" s="483"/>
    </row>
    <row r="442" spans="13:14" ht="15.75" customHeight="1">
      <c r="M442" s="483"/>
      <c r="N442" s="483"/>
    </row>
    <row r="443" spans="13:14" ht="15.75" customHeight="1">
      <c r="M443" s="483"/>
      <c r="N443" s="483"/>
    </row>
    <row r="444" spans="13:14" ht="15.75" customHeight="1">
      <c r="M444" s="483"/>
      <c r="N444" s="483"/>
    </row>
    <row r="445" spans="13:14" ht="15.75" customHeight="1">
      <c r="M445" s="483"/>
      <c r="N445" s="483"/>
    </row>
    <row r="446" spans="13:14" ht="15.75" customHeight="1">
      <c r="M446" s="483"/>
      <c r="N446" s="483"/>
    </row>
    <row r="447" spans="13:14" ht="15.75" customHeight="1">
      <c r="M447" s="483"/>
      <c r="N447" s="483"/>
    </row>
    <row r="448" spans="13:14" ht="15.75" customHeight="1">
      <c r="M448" s="483"/>
      <c r="N448" s="483"/>
    </row>
    <row r="449" spans="13:14" ht="15.75" customHeight="1">
      <c r="M449" s="483"/>
      <c r="N449" s="483"/>
    </row>
    <row r="450" spans="13:14" ht="15.75" customHeight="1">
      <c r="M450" s="483"/>
      <c r="N450" s="483"/>
    </row>
    <row r="451" spans="13:14" ht="15.75" customHeight="1">
      <c r="M451" s="483"/>
      <c r="N451" s="483"/>
    </row>
    <row r="452" spans="13:14" ht="15.75" customHeight="1">
      <c r="M452" s="483"/>
      <c r="N452" s="483"/>
    </row>
    <row r="453" spans="13:14" ht="15.75" customHeight="1">
      <c r="M453" s="483"/>
      <c r="N453" s="483"/>
    </row>
    <row r="454" spans="13:14" ht="15.75" customHeight="1">
      <c r="M454" s="483"/>
      <c r="N454" s="483"/>
    </row>
    <row r="455" spans="13:14" ht="15.75" customHeight="1">
      <c r="M455" s="483"/>
      <c r="N455" s="483"/>
    </row>
    <row r="456" spans="13:14" ht="15.75" customHeight="1">
      <c r="M456" s="483"/>
      <c r="N456" s="483"/>
    </row>
    <row r="457" spans="13:14" ht="15.75" customHeight="1">
      <c r="M457" s="483"/>
      <c r="N457" s="483"/>
    </row>
    <row r="458" spans="13:14" ht="15.75" customHeight="1">
      <c r="M458" s="483"/>
      <c r="N458" s="483"/>
    </row>
    <row r="459" spans="13:14" ht="15.75" customHeight="1">
      <c r="M459" s="483"/>
      <c r="N459" s="483"/>
    </row>
    <row r="460" spans="13:14" ht="15.75" customHeight="1">
      <c r="M460" s="483"/>
      <c r="N460" s="483"/>
    </row>
    <row r="461" spans="13:14" ht="15.75" customHeight="1">
      <c r="M461" s="483"/>
      <c r="N461" s="483"/>
    </row>
    <row r="462" spans="13:14" ht="15.75" customHeight="1">
      <c r="M462" s="483"/>
      <c r="N462" s="483"/>
    </row>
    <row r="463" spans="13:14" ht="15.75" customHeight="1">
      <c r="M463" s="483"/>
      <c r="N463" s="483"/>
    </row>
    <row r="464" spans="13:14" ht="15.75" customHeight="1">
      <c r="M464" s="483"/>
      <c r="N464" s="483"/>
    </row>
    <row r="465" spans="13:14" ht="15.75" customHeight="1">
      <c r="M465" s="483"/>
      <c r="N465" s="483"/>
    </row>
    <row r="466" spans="13:14" ht="15.75" customHeight="1">
      <c r="M466" s="483"/>
      <c r="N466" s="483"/>
    </row>
    <row r="467" spans="13:14" ht="15.75" customHeight="1">
      <c r="M467" s="483"/>
      <c r="N467" s="483"/>
    </row>
    <row r="468" spans="13:14" ht="15.75" customHeight="1">
      <c r="M468" s="483"/>
      <c r="N468" s="483"/>
    </row>
    <row r="469" spans="13:14" ht="15.75" customHeight="1">
      <c r="M469" s="483"/>
      <c r="N469" s="483"/>
    </row>
    <row r="470" spans="13:14" ht="15.75" customHeight="1">
      <c r="M470" s="483"/>
      <c r="N470" s="483"/>
    </row>
    <row r="471" spans="13:14" ht="15.75" customHeight="1">
      <c r="M471" s="483"/>
      <c r="N471" s="483"/>
    </row>
    <row r="472" spans="13:14" ht="15.75" customHeight="1">
      <c r="M472" s="483"/>
      <c r="N472" s="483"/>
    </row>
    <row r="473" spans="13:14" ht="15.75" customHeight="1">
      <c r="M473" s="483"/>
      <c r="N473" s="483"/>
    </row>
    <row r="474" spans="13:14" ht="15.75" customHeight="1">
      <c r="M474" s="483"/>
      <c r="N474" s="483"/>
    </row>
    <row r="475" spans="13:14" ht="15.75" customHeight="1">
      <c r="M475" s="483"/>
      <c r="N475" s="483"/>
    </row>
    <row r="476" spans="13:14" ht="15.75" customHeight="1">
      <c r="M476" s="483"/>
      <c r="N476" s="483"/>
    </row>
    <row r="477" spans="13:14" ht="15.75" customHeight="1">
      <c r="M477" s="483"/>
      <c r="N477" s="483"/>
    </row>
    <row r="478" spans="13:14" ht="15.75" customHeight="1">
      <c r="M478" s="483"/>
      <c r="N478" s="483"/>
    </row>
    <row r="479" spans="13:14" ht="15.75" customHeight="1">
      <c r="M479" s="483"/>
      <c r="N479" s="483"/>
    </row>
    <row r="480" spans="13:14" ht="15.75" customHeight="1">
      <c r="M480" s="483"/>
      <c r="N480" s="483"/>
    </row>
    <row r="481" spans="13:14" ht="15.75" customHeight="1">
      <c r="M481" s="483"/>
      <c r="N481" s="483"/>
    </row>
    <row r="482" spans="13:14" ht="15.75" customHeight="1">
      <c r="M482" s="483"/>
      <c r="N482" s="483"/>
    </row>
    <row r="483" spans="13:14" ht="15.75" customHeight="1">
      <c r="M483" s="483"/>
      <c r="N483" s="483"/>
    </row>
    <row r="484" spans="13:14" ht="15.75" customHeight="1">
      <c r="M484" s="483"/>
      <c r="N484" s="483"/>
    </row>
    <row r="485" spans="13:14" ht="15.75" customHeight="1">
      <c r="M485" s="483"/>
      <c r="N485" s="483"/>
    </row>
    <row r="486" spans="13:14" ht="15.75" customHeight="1">
      <c r="M486" s="483"/>
      <c r="N486" s="483"/>
    </row>
    <row r="487" spans="13:14" ht="15.75" customHeight="1">
      <c r="M487" s="483"/>
      <c r="N487" s="483"/>
    </row>
    <row r="488" spans="13:14" ht="15.75" customHeight="1">
      <c r="M488" s="483"/>
      <c r="N488" s="483"/>
    </row>
    <row r="489" spans="13:14" ht="15.75" customHeight="1">
      <c r="M489" s="483"/>
      <c r="N489" s="483"/>
    </row>
    <row r="490" spans="13:14" ht="15.75" customHeight="1">
      <c r="M490" s="483"/>
      <c r="N490" s="483"/>
    </row>
    <row r="491" spans="13:14" ht="15.75" customHeight="1">
      <c r="M491" s="483"/>
      <c r="N491" s="483"/>
    </row>
    <row r="492" spans="13:14" ht="15.75" customHeight="1">
      <c r="M492" s="483"/>
      <c r="N492" s="483"/>
    </row>
    <row r="493" spans="13:14" ht="15.75" customHeight="1">
      <c r="M493" s="483"/>
      <c r="N493" s="483"/>
    </row>
    <row r="494" spans="13:14" ht="15.75" customHeight="1">
      <c r="M494" s="483"/>
      <c r="N494" s="483"/>
    </row>
    <row r="495" spans="13:14" ht="15.75" customHeight="1">
      <c r="M495" s="483"/>
      <c r="N495" s="483"/>
    </row>
    <row r="496" spans="13:14" ht="15.75" customHeight="1">
      <c r="M496" s="483"/>
      <c r="N496" s="483"/>
    </row>
    <row r="497" spans="13:14" ht="15.75" customHeight="1">
      <c r="M497" s="483"/>
      <c r="N497" s="483"/>
    </row>
    <row r="498" spans="13:14" ht="15.75" customHeight="1">
      <c r="M498" s="483"/>
      <c r="N498" s="483"/>
    </row>
    <row r="499" spans="13:14" ht="15.75" customHeight="1">
      <c r="M499" s="483"/>
      <c r="N499" s="483"/>
    </row>
    <row r="500" spans="13:14" ht="15.75" customHeight="1">
      <c r="M500" s="483"/>
      <c r="N500" s="483"/>
    </row>
    <row r="501" spans="13:14" ht="15.75" customHeight="1">
      <c r="M501" s="483"/>
      <c r="N501" s="483"/>
    </row>
    <row r="502" spans="13:14" ht="15.75" customHeight="1">
      <c r="M502" s="483"/>
      <c r="N502" s="483"/>
    </row>
    <row r="503" spans="13:14" ht="15.75" customHeight="1">
      <c r="M503" s="483"/>
      <c r="N503" s="483"/>
    </row>
    <row r="504" spans="13:14" ht="15.75" customHeight="1">
      <c r="M504" s="483"/>
      <c r="N504" s="483"/>
    </row>
    <row r="505" spans="13:14" ht="15.75" customHeight="1">
      <c r="M505" s="483"/>
      <c r="N505" s="483"/>
    </row>
    <row r="506" spans="13:14" ht="15.75" customHeight="1">
      <c r="M506" s="483"/>
      <c r="N506" s="483"/>
    </row>
    <row r="507" spans="13:14" ht="15.75" customHeight="1">
      <c r="M507" s="483"/>
      <c r="N507" s="483"/>
    </row>
    <row r="508" spans="13:14" ht="15.75" customHeight="1">
      <c r="M508" s="483"/>
      <c r="N508" s="483"/>
    </row>
    <row r="509" spans="13:14" ht="15.75" customHeight="1">
      <c r="M509" s="483"/>
      <c r="N509" s="483"/>
    </row>
    <row r="510" spans="13:14" ht="15.75" customHeight="1">
      <c r="M510" s="483"/>
      <c r="N510" s="483"/>
    </row>
    <row r="511" spans="13:14" ht="15.75" customHeight="1">
      <c r="M511" s="483"/>
      <c r="N511" s="483"/>
    </row>
    <row r="512" spans="13:14" ht="15.75" customHeight="1">
      <c r="M512" s="483"/>
      <c r="N512" s="483"/>
    </row>
    <row r="513" spans="13:14" ht="15.75" customHeight="1">
      <c r="M513" s="483"/>
      <c r="N513" s="483"/>
    </row>
    <row r="514" spans="13:14" ht="15.75" customHeight="1">
      <c r="M514" s="483"/>
      <c r="N514" s="483"/>
    </row>
    <row r="515" spans="13:14" ht="15.75" customHeight="1">
      <c r="M515" s="483"/>
      <c r="N515" s="483"/>
    </row>
    <row r="516" spans="13:14" ht="15.75" customHeight="1">
      <c r="M516" s="483"/>
      <c r="N516" s="483"/>
    </row>
    <row r="517" spans="13:14" ht="15.75" customHeight="1">
      <c r="M517" s="483"/>
      <c r="N517" s="483"/>
    </row>
    <row r="518" spans="13:14" ht="15.75" customHeight="1">
      <c r="M518" s="483"/>
      <c r="N518" s="483"/>
    </row>
    <row r="519" spans="13:14" ht="15.75" customHeight="1">
      <c r="M519" s="483"/>
      <c r="N519" s="483"/>
    </row>
    <row r="520" spans="13:14" ht="15.75" customHeight="1">
      <c r="M520" s="483"/>
      <c r="N520" s="483"/>
    </row>
    <row r="521" spans="13:14" ht="15.75" customHeight="1">
      <c r="M521" s="483"/>
      <c r="N521" s="483"/>
    </row>
    <row r="522" spans="13:14" ht="15.75" customHeight="1">
      <c r="M522" s="483"/>
      <c r="N522" s="483"/>
    </row>
    <row r="523" spans="13:14" ht="15.75" customHeight="1">
      <c r="M523" s="483"/>
      <c r="N523" s="483"/>
    </row>
    <row r="524" spans="13:14" ht="15.75" customHeight="1">
      <c r="M524" s="483"/>
      <c r="N524" s="483"/>
    </row>
    <row r="525" spans="13:14" ht="15.75" customHeight="1">
      <c r="M525" s="483"/>
      <c r="N525" s="483"/>
    </row>
    <row r="526" spans="13:14" ht="15.75" customHeight="1">
      <c r="M526" s="483"/>
      <c r="N526" s="483"/>
    </row>
    <row r="527" spans="13:14" ht="15.75" customHeight="1">
      <c r="M527" s="483"/>
      <c r="N527" s="483"/>
    </row>
    <row r="528" spans="13:14" ht="15.75" customHeight="1">
      <c r="M528" s="483"/>
      <c r="N528" s="483"/>
    </row>
    <row r="529" spans="13:14" ht="15.75" customHeight="1">
      <c r="M529" s="483"/>
      <c r="N529" s="483"/>
    </row>
    <row r="530" spans="13:14" ht="15.75" customHeight="1">
      <c r="M530" s="483"/>
      <c r="N530" s="483"/>
    </row>
    <row r="531" spans="13:14" ht="15.75" customHeight="1">
      <c r="M531" s="483"/>
      <c r="N531" s="483"/>
    </row>
    <row r="532" spans="13:14" ht="15.75" customHeight="1">
      <c r="M532" s="483"/>
      <c r="N532" s="483"/>
    </row>
    <row r="533" spans="13:14" ht="15.75" customHeight="1">
      <c r="M533" s="483"/>
      <c r="N533" s="483"/>
    </row>
    <row r="534" spans="13:14" ht="15.75" customHeight="1">
      <c r="M534" s="483"/>
      <c r="N534" s="483"/>
    </row>
    <row r="535" spans="13:14" ht="15.75" customHeight="1">
      <c r="M535" s="483"/>
      <c r="N535" s="483"/>
    </row>
    <row r="536" spans="13:14" ht="15.75" customHeight="1">
      <c r="M536" s="483"/>
      <c r="N536" s="483"/>
    </row>
    <row r="537" spans="13:14" ht="15.75" customHeight="1">
      <c r="M537" s="483"/>
      <c r="N537" s="483"/>
    </row>
    <row r="538" spans="13:14" ht="15.75" customHeight="1">
      <c r="M538" s="483"/>
      <c r="N538" s="483"/>
    </row>
    <row r="539" spans="13:14" ht="15.75" customHeight="1">
      <c r="M539" s="483"/>
      <c r="N539" s="483"/>
    </row>
    <row r="540" spans="13:14" ht="15.75" customHeight="1">
      <c r="M540" s="483"/>
      <c r="N540" s="483"/>
    </row>
    <row r="541" spans="13:14" ht="15.75" customHeight="1">
      <c r="M541" s="483"/>
      <c r="N541" s="483"/>
    </row>
    <row r="542" spans="13:14" ht="15.75" customHeight="1">
      <c r="M542" s="483"/>
      <c r="N542" s="483"/>
    </row>
    <row r="543" spans="13:14" ht="15.75" customHeight="1">
      <c r="M543" s="483"/>
      <c r="N543" s="483"/>
    </row>
    <row r="544" spans="13:14" ht="15.75" customHeight="1">
      <c r="M544" s="483"/>
      <c r="N544" s="483"/>
    </row>
    <row r="545" spans="13:14" ht="15.75" customHeight="1">
      <c r="M545" s="483"/>
      <c r="N545" s="483"/>
    </row>
    <row r="546" spans="13:14" ht="15.75" customHeight="1">
      <c r="M546" s="483"/>
      <c r="N546" s="483"/>
    </row>
    <row r="547" spans="13:14" ht="15.75" customHeight="1">
      <c r="M547" s="483"/>
      <c r="N547" s="483"/>
    </row>
    <row r="548" spans="13:14" ht="15.75" customHeight="1">
      <c r="M548" s="483"/>
      <c r="N548" s="483"/>
    </row>
    <row r="549" spans="13:14" ht="15.75" customHeight="1">
      <c r="M549" s="483"/>
      <c r="N549" s="483"/>
    </row>
    <row r="550" spans="13:14" ht="15.75" customHeight="1">
      <c r="M550" s="483"/>
      <c r="N550" s="483"/>
    </row>
    <row r="551" spans="13:14" ht="15.75" customHeight="1">
      <c r="M551" s="483"/>
      <c r="N551" s="483"/>
    </row>
    <row r="552" spans="13:14" ht="15.75" customHeight="1">
      <c r="M552" s="483"/>
      <c r="N552" s="483"/>
    </row>
    <row r="553" spans="13:14" ht="15.75" customHeight="1">
      <c r="M553" s="483"/>
      <c r="N553" s="483"/>
    </row>
    <row r="554" spans="13:14" ht="15.75" customHeight="1">
      <c r="M554" s="483"/>
      <c r="N554" s="483"/>
    </row>
    <row r="555" spans="13:14" ht="15.75" customHeight="1">
      <c r="M555" s="483"/>
      <c r="N555" s="483"/>
    </row>
    <row r="556" spans="13:14" ht="15.75" customHeight="1">
      <c r="M556" s="483"/>
      <c r="N556" s="483"/>
    </row>
    <row r="557" spans="13:14" ht="15.75" customHeight="1">
      <c r="M557" s="483"/>
      <c r="N557" s="483"/>
    </row>
    <row r="558" spans="13:14" ht="15.75" customHeight="1">
      <c r="M558" s="483"/>
      <c r="N558" s="483"/>
    </row>
    <row r="559" spans="13:14" ht="15.75" customHeight="1">
      <c r="M559" s="483"/>
      <c r="N559" s="483"/>
    </row>
    <row r="560" spans="13:14" ht="15.75" customHeight="1">
      <c r="M560" s="483"/>
      <c r="N560" s="483"/>
    </row>
    <row r="561" spans="13:14" ht="15.75" customHeight="1">
      <c r="M561" s="483"/>
      <c r="N561" s="483"/>
    </row>
    <row r="562" spans="13:14" ht="15.75" customHeight="1">
      <c r="M562" s="483"/>
      <c r="N562" s="483"/>
    </row>
    <row r="563" spans="13:14" ht="15.75" customHeight="1">
      <c r="M563" s="483"/>
      <c r="N563" s="483"/>
    </row>
    <row r="564" spans="13:14" ht="15.75" customHeight="1">
      <c r="M564" s="483"/>
      <c r="N564" s="483"/>
    </row>
    <row r="565" spans="13:14" ht="15.75" customHeight="1">
      <c r="M565" s="483"/>
      <c r="N565" s="483"/>
    </row>
    <row r="566" spans="13:14" ht="15.75" customHeight="1">
      <c r="M566" s="483"/>
      <c r="N566" s="483"/>
    </row>
    <row r="567" spans="13:14" ht="15.75" customHeight="1">
      <c r="M567" s="483"/>
      <c r="N567" s="483"/>
    </row>
    <row r="568" spans="13:14" ht="15.75" customHeight="1">
      <c r="M568" s="483"/>
      <c r="N568" s="483"/>
    </row>
    <row r="569" spans="13:14" ht="15.75" customHeight="1">
      <c r="M569" s="483"/>
      <c r="N569" s="483"/>
    </row>
    <row r="570" spans="13:14" ht="15.75" customHeight="1">
      <c r="M570" s="483"/>
      <c r="N570" s="483"/>
    </row>
    <row r="571" spans="13:14" ht="15.75" customHeight="1">
      <c r="M571" s="483"/>
      <c r="N571" s="483"/>
    </row>
    <row r="572" spans="13:14" ht="15.75" customHeight="1">
      <c r="M572" s="483"/>
      <c r="N572" s="483"/>
    </row>
    <row r="573" spans="13:14" ht="15.75" customHeight="1">
      <c r="M573" s="483"/>
      <c r="N573" s="483"/>
    </row>
    <row r="574" spans="13:14" ht="15.75" customHeight="1">
      <c r="M574" s="483"/>
      <c r="N574" s="483"/>
    </row>
    <row r="575" spans="13:14" ht="15.75" customHeight="1">
      <c r="M575" s="483"/>
      <c r="N575" s="483"/>
    </row>
    <row r="576" spans="13:14" ht="15.75" customHeight="1">
      <c r="M576" s="483"/>
      <c r="N576" s="483"/>
    </row>
    <row r="577" spans="13:14" ht="15.75" customHeight="1">
      <c r="M577" s="483"/>
      <c r="N577" s="483"/>
    </row>
    <row r="578" spans="13:14" ht="15.75" customHeight="1">
      <c r="M578" s="483"/>
      <c r="N578" s="483"/>
    </row>
    <row r="579" spans="13:14" ht="15.75" customHeight="1">
      <c r="M579" s="483"/>
      <c r="N579" s="483"/>
    </row>
    <row r="580" spans="13:14" ht="15.75" customHeight="1">
      <c r="M580" s="483"/>
      <c r="N580" s="483"/>
    </row>
    <row r="581" spans="13:14" ht="15.75" customHeight="1">
      <c r="M581" s="483"/>
      <c r="N581" s="483"/>
    </row>
    <row r="582" spans="13:14" ht="15.75" customHeight="1">
      <c r="M582" s="483"/>
      <c r="N582" s="483"/>
    </row>
    <row r="583" spans="13:14" ht="15.75" customHeight="1">
      <c r="M583" s="483"/>
      <c r="N583" s="483"/>
    </row>
    <row r="584" spans="13:14" ht="15.75" customHeight="1">
      <c r="M584" s="483"/>
      <c r="N584" s="483"/>
    </row>
    <row r="585" spans="13:14" ht="15.75" customHeight="1">
      <c r="M585" s="483"/>
      <c r="N585" s="483"/>
    </row>
    <row r="586" spans="13:14" ht="15.75" customHeight="1">
      <c r="M586" s="483"/>
      <c r="N586" s="483"/>
    </row>
    <row r="587" spans="13:14" ht="15.75" customHeight="1">
      <c r="M587" s="483"/>
      <c r="N587" s="483"/>
    </row>
    <row r="588" spans="13:14" ht="15.75" customHeight="1">
      <c r="M588" s="483"/>
      <c r="N588" s="483"/>
    </row>
    <row r="589" spans="13:14" ht="15.75" customHeight="1">
      <c r="M589" s="483"/>
      <c r="N589" s="483"/>
    </row>
    <row r="590" spans="13:14" ht="15.75" customHeight="1">
      <c r="M590" s="483"/>
      <c r="N590" s="483"/>
    </row>
    <row r="591" spans="13:14" ht="15.75" customHeight="1">
      <c r="M591" s="483"/>
      <c r="N591" s="483"/>
    </row>
    <row r="592" spans="13:14" ht="15.75" customHeight="1">
      <c r="M592" s="483"/>
      <c r="N592" s="483"/>
    </row>
    <row r="593" spans="13:14" ht="15.75" customHeight="1">
      <c r="M593" s="483"/>
      <c r="N593" s="483"/>
    </row>
    <row r="594" spans="13:14" ht="15.75" customHeight="1">
      <c r="M594" s="483"/>
      <c r="N594" s="483"/>
    </row>
    <row r="595" spans="13:14" ht="15.75" customHeight="1">
      <c r="M595" s="483"/>
      <c r="N595" s="483"/>
    </row>
    <row r="596" spans="13:14" ht="15.75" customHeight="1">
      <c r="M596" s="483"/>
      <c r="N596" s="483"/>
    </row>
    <row r="597" spans="13:14" ht="15.75" customHeight="1">
      <c r="M597" s="483"/>
      <c r="N597" s="483"/>
    </row>
    <row r="598" spans="13:14" ht="15.75" customHeight="1">
      <c r="M598" s="483"/>
      <c r="N598" s="483"/>
    </row>
    <row r="599" spans="13:14" ht="15.75" customHeight="1">
      <c r="M599" s="483"/>
      <c r="N599" s="483"/>
    </row>
    <row r="600" spans="13:14" ht="15.75" customHeight="1">
      <c r="M600" s="483"/>
      <c r="N600" s="483"/>
    </row>
    <row r="601" spans="13:14" ht="15.75" customHeight="1">
      <c r="M601" s="483"/>
      <c r="N601" s="483"/>
    </row>
    <row r="602" spans="13:14" ht="15.75" customHeight="1">
      <c r="M602" s="483"/>
      <c r="N602" s="483"/>
    </row>
    <row r="603" spans="13:14" ht="15.75" customHeight="1">
      <c r="M603" s="483"/>
      <c r="N603" s="483"/>
    </row>
    <row r="604" spans="13:14" ht="15.75" customHeight="1">
      <c r="M604" s="483"/>
      <c r="N604" s="483"/>
    </row>
    <row r="605" spans="13:14" ht="15.75" customHeight="1">
      <c r="M605" s="483"/>
      <c r="N605" s="483"/>
    </row>
    <row r="606" spans="13:14" ht="15.75" customHeight="1">
      <c r="M606" s="483"/>
      <c r="N606" s="483"/>
    </row>
    <row r="607" spans="13:14" ht="15.75" customHeight="1">
      <c r="M607" s="483"/>
      <c r="N607" s="483"/>
    </row>
    <row r="608" spans="13:14" ht="15.75" customHeight="1">
      <c r="M608" s="483"/>
      <c r="N608" s="483"/>
    </row>
    <row r="609" spans="13:14" ht="15.75" customHeight="1">
      <c r="M609" s="483"/>
      <c r="N609" s="483"/>
    </row>
    <row r="610" spans="13:14" ht="15.75" customHeight="1">
      <c r="M610" s="483"/>
      <c r="N610" s="483"/>
    </row>
    <row r="611" spans="13:14" ht="15.75" customHeight="1">
      <c r="M611" s="483"/>
      <c r="N611" s="483"/>
    </row>
    <row r="612" spans="13:14" ht="15.75" customHeight="1">
      <c r="M612" s="483"/>
      <c r="N612" s="483"/>
    </row>
    <row r="613" spans="13:14" ht="15.75" customHeight="1">
      <c r="M613" s="483"/>
      <c r="N613" s="483"/>
    </row>
    <row r="614" spans="13:14" ht="15.75" customHeight="1">
      <c r="M614" s="483"/>
      <c r="N614" s="483"/>
    </row>
    <row r="615" spans="13:14" ht="15.75" customHeight="1">
      <c r="M615" s="483"/>
      <c r="N615" s="483"/>
    </row>
    <row r="616" spans="13:14" ht="15.75" customHeight="1">
      <c r="M616" s="483"/>
      <c r="N616" s="483"/>
    </row>
    <row r="617" spans="13:14" ht="15.75" customHeight="1">
      <c r="M617" s="483"/>
      <c r="N617" s="483"/>
    </row>
    <row r="618" spans="13:14" ht="15.75" customHeight="1">
      <c r="M618" s="483"/>
      <c r="N618" s="483"/>
    </row>
    <row r="619" spans="13:14" ht="15.75" customHeight="1">
      <c r="M619" s="483"/>
      <c r="N619" s="483"/>
    </row>
    <row r="620" spans="13:14" ht="15.75" customHeight="1">
      <c r="M620" s="483"/>
      <c r="N620" s="483"/>
    </row>
    <row r="621" spans="13:14" ht="15.75" customHeight="1">
      <c r="M621" s="483"/>
      <c r="N621" s="483"/>
    </row>
    <row r="622" spans="13:14" ht="15.75" customHeight="1">
      <c r="M622" s="483"/>
      <c r="N622" s="483"/>
    </row>
    <row r="623" spans="13:14" ht="15.75" customHeight="1">
      <c r="M623" s="483"/>
      <c r="N623" s="483"/>
    </row>
    <row r="624" spans="13:14" ht="15.75" customHeight="1">
      <c r="M624" s="483"/>
      <c r="N624" s="483"/>
    </row>
    <row r="625" spans="13:14" ht="15.75" customHeight="1">
      <c r="M625" s="483"/>
      <c r="N625" s="483"/>
    </row>
    <row r="626" spans="13:14" ht="15.75" customHeight="1">
      <c r="M626" s="483"/>
      <c r="N626" s="483"/>
    </row>
    <row r="627" spans="13:14" ht="15.75" customHeight="1">
      <c r="M627" s="483"/>
      <c r="N627" s="483"/>
    </row>
    <row r="628" spans="13:14" ht="15.75" customHeight="1">
      <c r="M628" s="483"/>
      <c r="N628" s="483"/>
    </row>
    <row r="629" spans="13:14" ht="15.75" customHeight="1">
      <c r="M629" s="483"/>
      <c r="N629" s="483"/>
    </row>
    <row r="630" spans="13:14" ht="15.75" customHeight="1">
      <c r="M630" s="483"/>
      <c r="N630" s="483"/>
    </row>
    <row r="631" spans="13:14" ht="15.75" customHeight="1">
      <c r="M631" s="483"/>
      <c r="N631" s="483"/>
    </row>
    <row r="632" spans="13:14" ht="15.75" customHeight="1">
      <c r="M632" s="483"/>
      <c r="N632" s="483"/>
    </row>
    <row r="633" spans="13:14" ht="15.75" customHeight="1">
      <c r="M633" s="483"/>
      <c r="N633" s="483"/>
    </row>
    <row r="634" spans="13:14" ht="15.75" customHeight="1">
      <c r="M634" s="483"/>
      <c r="N634" s="483"/>
    </row>
    <row r="635" spans="13:14" ht="15.75" customHeight="1">
      <c r="M635" s="483"/>
      <c r="N635" s="483"/>
    </row>
    <row r="636" spans="13:14" ht="15.75" customHeight="1">
      <c r="M636" s="483"/>
      <c r="N636" s="483"/>
    </row>
    <row r="637" spans="13:14" ht="15.75" customHeight="1">
      <c r="M637" s="483"/>
      <c r="N637" s="483"/>
    </row>
    <row r="638" spans="13:14" ht="15.75" customHeight="1">
      <c r="M638" s="483"/>
      <c r="N638" s="483"/>
    </row>
    <row r="639" spans="13:14" ht="15.75" customHeight="1">
      <c r="M639" s="483"/>
      <c r="N639" s="483"/>
    </row>
    <row r="640" spans="13:14" ht="15.75" customHeight="1">
      <c r="M640" s="483"/>
      <c r="N640" s="483"/>
    </row>
    <row r="641" spans="13:14" ht="15.75" customHeight="1">
      <c r="M641" s="483"/>
      <c r="N641" s="483"/>
    </row>
    <row r="642" spans="13:14" ht="15.75" customHeight="1">
      <c r="M642" s="483"/>
      <c r="N642" s="483"/>
    </row>
    <row r="643" spans="13:14" ht="15.75" customHeight="1">
      <c r="M643" s="483"/>
      <c r="N643" s="483"/>
    </row>
    <row r="644" spans="13:14" ht="15.75" customHeight="1">
      <c r="M644" s="483"/>
      <c r="N644" s="483"/>
    </row>
    <row r="645" spans="13:14" ht="15.75" customHeight="1">
      <c r="M645" s="483"/>
      <c r="N645" s="483"/>
    </row>
    <row r="646" spans="13:14" ht="15.75" customHeight="1">
      <c r="M646" s="483"/>
      <c r="N646" s="483"/>
    </row>
    <row r="647" spans="13:14" ht="15.75" customHeight="1">
      <c r="M647" s="483"/>
      <c r="N647" s="483"/>
    </row>
    <row r="648" spans="13:14" ht="15.75" customHeight="1">
      <c r="M648" s="483"/>
      <c r="N648" s="483"/>
    </row>
    <row r="649" spans="13:14" ht="15.75" customHeight="1">
      <c r="M649" s="483"/>
      <c r="N649" s="483"/>
    </row>
    <row r="650" spans="13:14" ht="15.75" customHeight="1">
      <c r="M650" s="483"/>
      <c r="N650" s="483"/>
    </row>
    <row r="651" spans="13:14" ht="15.75" customHeight="1">
      <c r="M651" s="483"/>
      <c r="N651" s="483"/>
    </row>
    <row r="652" spans="13:14" ht="15.75" customHeight="1">
      <c r="M652" s="483"/>
      <c r="N652" s="483"/>
    </row>
    <row r="653" spans="13:14" ht="15.75" customHeight="1">
      <c r="M653" s="483"/>
      <c r="N653" s="483"/>
    </row>
    <row r="654" spans="13:14" ht="15.75" customHeight="1">
      <c r="M654" s="483"/>
      <c r="N654" s="483"/>
    </row>
    <row r="655" spans="13:14" ht="15.75" customHeight="1">
      <c r="M655" s="483"/>
      <c r="N655" s="483"/>
    </row>
    <row r="656" spans="13:14" ht="15.75" customHeight="1">
      <c r="M656" s="483"/>
      <c r="N656" s="483"/>
    </row>
    <row r="657" spans="13:14" ht="15.75" customHeight="1">
      <c r="M657" s="483"/>
      <c r="N657" s="483"/>
    </row>
    <row r="658" spans="13:14" ht="15.75" customHeight="1">
      <c r="M658" s="483"/>
      <c r="N658" s="483"/>
    </row>
    <row r="659" spans="13:14" ht="15.75" customHeight="1">
      <c r="M659" s="483"/>
      <c r="N659" s="483"/>
    </row>
    <row r="660" spans="13:14" ht="15.75" customHeight="1">
      <c r="M660" s="483"/>
      <c r="N660" s="483"/>
    </row>
    <row r="661" spans="13:14" ht="15.75" customHeight="1">
      <c r="M661" s="483"/>
      <c r="N661" s="483"/>
    </row>
    <row r="662" spans="13:14" ht="15.75" customHeight="1">
      <c r="M662" s="483"/>
      <c r="N662" s="483"/>
    </row>
    <row r="663" spans="13:14" ht="15.75" customHeight="1">
      <c r="M663" s="483"/>
      <c r="N663" s="483"/>
    </row>
    <row r="664" spans="13:14" ht="15.75" customHeight="1">
      <c r="M664" s="483"/>
      <c r="N664" s="483"/>
    </row>
    <row r="665" spans="13:14" ht="15.75" customHeight="1">
      <c r="M665" s="483"/>
      <c r="N665" s="483"/>
    </row>
    <row r="666" spans="13:14" ht="15.75" customHeight="1">
      <c r="M666" s="483"/>
      <c r="N666" s="483"/>
    </row>
    <row r="667" spans="13:14" ht="15.75" customHeight="1">
      <c r="M667" s="483"/>
      <c r="N667" s="483"/>
    </row>
    <row r="668" spans="13:14" ht="15.75" customHeight="1">
      <c r="M668" s="483"/>
      <c r="N668" s="483"/>
    </row>
    <row r="669" spans="13:14" ht="15.75" customHeight="1">
      <c r="M669" s="483"/>
      <c r="N669" s="483"/>
    </row>
    <row r="670" spans="13:14" ht="15.75" customHeight="1">
      <c r="M670" s="483"/>
      <c r="N670" s="483"/>
    </row>
    <row r="671" spans="13:14" ht="15.75" customHeight="1">
      <c r="M671" s="483"/>
      <c r="N671" s="483"/>
    </row>
    <row r="672" spans="13:14" ht="15.75" customHeight="1">
      <c r="M672" s="483"/>
      <c r="N672" s="483"/>
    </row>
    <row r="673" spans="13:14" ht="15.75" customHeight="1">
      <c r="M673" s="483"/>
      <c r="N673" s="483"/>
    </row>
    <row r="674" spans="13:14" ht="15.75" customHeight="1">
      <c r="M674" s="483"/>
      <c r="N674" s="483"/>
    </row>
    <row r="675" spans="13:14" ht="15.75" customHeight="1">
      <c r="M675" s="483"/>
      <c r="N675" s="483"/>
    </row>
    <row r="676" spans="13:14" ht="15.75" customHeight="1">
      <c r="M676" s="483"/>
      <c r="N676" s="483"/>
    </row>
    <row r="677" spans="13:14" ht="15.75" customHeight="1">
      <c r="M677" s="483"/>
      <c r="N677" s="483"/>
    </row>
    <row r="678" spans="13:14" ht="15.75" customHeight="1">
      <c r="M678" s="483"/>
      <c r="N678" s="483"/>
    </row>
    <row r="679" spans="13:14" ht="15.75" customHeight="1">
      <c r="M679" s="483"/>
      <c r="N679" s="483"/>
    </row>
    <row r="680" spans="13:14" ht="15.75" customHeight="1">
      <c r="M680" s="483"/>
      <c r="N680" s="483"/>
    </row>
    <row r="681" spans="13:14" ht="15.75" customHeight="1">
      <c r="M681" s="483"/>
      <c r="N681" s="483"/>
    </row>
    <row r="682" spans="13:14" ht="15.75" customHeight="1">
      <c r="M682" s="483"/>
      <c r="N682" s="483"/>
    </row>
    <row r="683" spans="13:14" ht="15.75" customHeight="1">
      <c r="M683" s="483"/>
      <c r="N683" s="483"/>
    </row>
    <row r="684" spans="13:14" ht="15.75" customHeight="1">
      <c r="M684" s="483"/>
      <c r="N684" s="483"/>
    </row>
    <row r="685" spans="13:14" ht="15.75" customHeight="1">
      <c r="M685" s="483"/>
      <c r="N685" s="483"/>
    </row>
    <row r="686" spans="13:14" ht="15.75" customHeight="1">
      <c r="M686" s="483"/>
      <c r="N686" s="483"/>
    </row>
    <row r="687" spans="13:14" ht="15.75" customHeight="1">
      <c r="M687" s="483"/>
      <c r="N687" s="483"/>
    </row>
    <row r="688" spans="13:14" ht="15.75" customHeight="1">
      <c r="M688" s="483"/>
      <c r="N688" s="483"/>
    </row>
    <row r="689" spans="13:14" ht="15.75" customHeight="1">
      <c r="M689" s="483"/>
      <c r="N689" s="483"/>
    </row>
    <row r="690" spans="13:14" ht="15.75" customHeight="1">
      <c r="M690" s="483"/>
      <c r="N690" s="483"/>
    </row>
    <row r="691" spans="13:14" ht="15.75" customHeight="1">
      <c r="M691" s="483"/>
      <c r="N691" s="483"/>
    </row>
    <row r="692" spans="13:14" ht="15.75" customHeight="1">
      <c r="M692" s="483"/>
      <c r="N692" s="483"/>
    </row>
    <row r="693" spans="13:14" ht="15.75" customHeight="1">
      <c r="M693" s="483"/>
      <c r="N693" s="483"/>
    </row>
    <row r="694" spans="13:14" ht="15.75" customHeight="1">
      <c r="M694" s="483"/>
      <c r="N694" s="483"/>
    </row>
    <row r="695" spans="13:14" ht="15.75" customHeight="1">
      <c r="M695" s="483"/>
      <c r="N695" s="483"/>
    </row>
    <row r="696" spans="13:14" ht="15.75" customHeight="1">
      <c r="M696" s="483"/>
      <c r="N696" s="483"/>
    </row>
    <row r="697" spans="13:14" ht="15.75" customHeight="1">
      <c r="M697" s="483"/>
      <c r="N697" s="483"/>
    </row>
    <row r="698" spans="13:14" ht="15.75" customHeight="1">
      <c r="M698" s="483"/>
      <c r="N698" s="483"/>
    </row>
    <row r="699" spans="13:14" ht="15.75" customHeight="1">
      <c r="M699" s="483"/>
      <c r="N699" s="483"/>
    </row>
    <row r="700" spans="13:14" ht="15.75" customHeight="1">
      <c r="M700" s="483"/>
      <c r="N700" s="483"/>
    </row>
    <row r="701" spans="13:14" ht="15.75" customHeight="1">
      <c r="M701" s="483"/>
      <c r="N701" s="483"/>
    </row>
    <row r="702" spans="13:14" ht="15.75" customHeight="1">
      <c r="M702" s="483"/>
      <c r="N702" s="483"/>
    </row>
    <row r="703" spans="13:14" ht="15.75" customHeight="1">
      <c r="M703" s="483"/>
      <c r="N703" s="483"/>
    </row>
    <row r="704" spans="13:14" ht="15.75" customHeight="1">
      <c r="M704" s="483"/>
      <c r="N704" s="483"/>
    </row>
    <row r="705" spans="13:14" ht="15.75" customHeight="1">
      <c r="M705" s="483"/>
      <c r="N705" s="483"/>
    </row>
    <row r="706" spans="13:14" ht="15.75" customHeight="1">
      <c r="M706" s="483"/>
      <c r="N706" s="483"/>
    </row>
    <row r="707" spans="13:14" ht="15.75" customHeight="1">
      <c r="M707" s="483"/>
      <c r="N707" s="483"/>
    </row>
    <row r="708" spans="13:14" ht="15.75" customHeight="1">
      <c r="M708" s="483"/>
      <c r="N708" s="483"/>
    </row>
    <row r="709" spans="13:14" ht="15.75" customHeight="1">
      <c r="M709" s="483"/>
      <c r="N709" s="483"/>
    </row>
    <row r="710" spans="13:14" ht="15.75" customHeight="1">
      <c r="M710" s="483"/>
      <c r="N710" s="483"/>
    </row>
    <row r="711" spans="13:14" ht="15.75" customHeight="1">
      <c r="M711" s="483"/>
      <c r="N711" s="483"/>
    </row>
    <row r="712" spans="13:14" ht="15.75" customHeight="1">
      <c r="M712" s="483"/>
      <c r="N712" s="483"/>
    </row>
    <row r="713" spans="13:14" ht="15.75" customHeight="1">
      <c r="M713" s="483"/>
      <c r="N713" s="483"/>
    </row>
    <row r="714" spans="13:14" ht="15.75" customHeight="1">
      <c r="M714" s="483"/>
      <c r="N714" s="483"/>
    </row>
    <row r="715" spans="13:14" ht="15.75" customHeight="1">
      <c r="M715" s="483"/>
      <c r="N715" s="483"/>
    </row>
    <row r="716" spans="13:14" ht="15.75" customHeight="1">
      <c r="M716" s="483"/>
      <c r="N716" s="483"/>
    </row>
    <row r="717" spans="13:14" ht="15.75" customHeight="1">
      <c r="M717" s="483"/>
      <c r="N717" s="483"/>
    </row>
    <row r="718" spans="13:14" ht="15.75" customHeight="1">
      <c r="M718" s="483"/>
      <c r="N718" s="483"/>
    </row>
    <row r="719" spans="13:14" ht="15.75" customHeight="1">
      <c r="M719" s="483"/>
      <c r="N719" s="483"/>
    </row>
    <row r="720" spans="13:14" ht="15.75" customHeight="1">
      <c r="M720" s="483"/>
      <c r="N720" s="483"/>
    </row>
    <row r="721" spans="13:14" ht="15.75" customHeight="1">
      <c r="M721" s="483"/>
      <c r="N721" s="483"/>
    </row>
    <row r="722" spans="13:14" ht="15.75" customHeight="1">
      <c r="M722" s="483"/>
      <c r="N722" s="483"/>
    </row>
    <row r="723" spans="13:14" ht="15.75" customHeight="1">
      <c r="M723" s="483"/>
      <c r="N723" s="483"/>
    </row>
    <row r="724" spans="13:14" ht="15.75" customHeight="1">
      <c r="M724" s="483"/>
      <c r="N724" s="483"/>
    </row>
    <row r="725" spans="13:14" ht="15.75" customHeight="1">
      <c r="M725" s="483"/>
      <c r="N725" s="483"/>
    </row>
    <row r="726" spans="13:14" ht="15.75" customHeight="1">
      <c r="M726" s="483"/>
      <c r="N726" s="483"/>
    </row>
    <row r="727" spans="13:14" ht="15.75" customHeight="1">
      <c r="M727" s="483"/>
      <c r="N727" s="483"/>
    </row>
    <row r="728" spans="13:14" ht="15.75" customHeight="1">
      <c r="M728" s="483"/>
      <c r="N728" s="483"/>
    </row>
    <row r="729" spans="13:14" ht="15.75" customHeight="1">
      <c r="M729" s="483"/>
      <c r="N729" s="483"/>
    </row>
    <row r="730" spans="13:14" ht="15.75" customHeight="1">
      <c r="M730" s="483"/>
      <c r="N730" s="483"/>
    </row>
    <row r="731" spans="13:14" ht="15.75" customHeight="1">
      <c r="M731" s="483"/>
      <c r="N731" s="483"/>
    </row>
    <row r="732" spans="13:14" ht="15.75" customHeight="1">
      <c r="M732" s="483"/>
      <c r="N732" s="483"/>
    </row>
    <row r="733" spans="13:14" ht="15.75" customHeight="1">
      <c r="M733" s="483"/>
      <c r="N733" s="483"/>
    </row>
    <row r="734" spans="13:14" ht="15.75" customHeight="1">
      <c r="M734" s="483"/>
      <c r="N734" s="483"/>
    </row>
    <row r="735" spans="13:14" ht="15.75" customHeight="1">
      <c r="M735" s="483"/>
      <c r="N735" s="483"/>
    </row>
    <row r="736" spans="13:14" ht="15.75" customHeight="1">
      <c r="M736" s="483"/>
      <c r="N736" s="483"/>
    </row>
    <row r="737" spans="13:14" ht="15.75" customHeight="1">
      <c r="M737" s="483"/>
      <c r="N737" s="483"/>
    </row>
    <row r="738" spans="13:14" ht="15.75" customHeight="1">
      <c r="M738" s="483"/>
      <c r="N738" s="483"/>
    </row>
    <row r="739" spans="13:14" ht="15.75" customHeight="1">
      <c r="M739" s="483"/>
      <c r="N739" s="483"/>
    </row>
    <row r="740" spans="13:14" ht="15.75" customHeight="1">
      <c r="M740" s="483"/>
      <c r="N740" s="483"/>
    </row>
    <row r="741" spans="13:14" ht="15.75" customHeight="1">
      <c r="M741" s="483"/>
      <c r="N741" s="483"/>
    </row>
    <row r="742" spans="13:14" ht="15.75" customHeight="1">
      <c r="M742" s="483"/>
      <c r="N742" s="483"/>
    </row>
    <row r="743" spans="13:14" ht="15.75" customHeight="1">
      <c r="M743" s="483"/>
      <c r="N743" s="483"/>
    </row>
    <row r="744" spans="13:14" ht="15.75" customHeight="1">
      <c r="M744" s="483"/>
      <c r="N744" s="483"/>
    </row>
    <row r="745" spans="13:14" ht="15.75" customHeight="1">
      <c r="M745" s="483"/>
      <c r="N745" s="483"/>
    </row>
    <row r="746" spans="13:14" ht="15.75" customHeight="1">
      <c r="M746" s="483"/>
      <c r="N746" s="483"/>
    </row>
    <row r="747" spans="13:14" ht="15.75" customHeight="1">
      <c r="M747" s="483"/>
      <c r="N747" s="483"/>
    </row>
    <row r="748" spans="13:14" ht="15.75" customHeight="1">
      <c r="M748" s="483"/>
      <c r="N748" s="483"/>
    </row>
    <row r="749" spans="13:14" ht="15.75" customHeight="1">
      <c r="M749" s="483"/>
      <c r="N749" s="483"/>
    </row>
    <row r="750" spans="13:14" ht="15.75" customHeight="1">
      <c r="M750" s="483"/>
      <c r="N750" s="483"/>
    </row>
    <row r="751" spans="13:14" ht="15.75" customHeight="1">
      <c r="M751" s="483"/>
      <c r="N751" s="483"/>
    </row>
    <row r="752" spans="13:14" ht="15.75" customHeight="1">
      <c r="M752" s="483"/>
      <c r="N752" s="483"/>
    </row>
    <row r="753" spans="13:14" ht="15.75" customHeight="1">
      <c r="M753" s="483"/>
      <c r="N753" s="483"/>
    </row>
    <row r="754" spans="13:14" ht="15.75" customHeight="1">
      <c r="M754" s="483"/>
      <c r="N754" s="483"/>
    </row>
    <row r="755" spans="13:14" ht="15.75" customHeight="1">
      <c r="M755" s="483"/>
      <c r="N755" s="483"/>
    </row>
    <row r="756" spans="13:14" ht="15.75" customHeight="1">
      <c r="M756" s="483"/>
      <c r="N756" s="483"/>
    </row>
    <row r="757" spans="13:14" ht="15.75" customHeight="1">
      <c r="M757" s="483"/>
      <c r="N757" s="483"/>
    </row>
    <row r="758" spans="13:14" ht="15.75" customHeight="1">
      <c r="M758" s="483"/>
      <c r="N758" s="483"/>
    </row>
    <row r="759" spans="13:14" ht="15.75" customHeight="1">
      <c r="M759" s="483"/>
      <c r="N759" s="483"/>
    </row>
    <row r="760" spans="13:14" ht="15.75" customHeight="1">
      <c r="M760" s="483"/>
      <c r="N760" s="483"/>
    </row>
    <row r="761" spans="13:14" ht="15.75" customHeight="1">
      <c r="M761" s="483"/>
      <c r="N761" s="483"/>
    </row>
    <row r="762" spans="13:14" ht="15.75" customHeight="1">
      <c r="M762" s="483"/>
      <c r="N762" s="483"/>
    </row>
    <row r="763" spans="13:14" ht="15.75" customHeight="1">
      <c r="M763" s="483"/>
      <c r="N763" s="483"/>
    </row>
    <row r="764" spans="13:14" ht="15.75" customHeight="1">
      <c r="M764" s="483"/>
      <c r="N764" s="483"/>
    </row>
    <row r="765" spans="13:14" ht="15.75" customHeight="1">
      <c r="M765" s="483"/>
      <c r="N765" s="483"/>
    </row>
    <row r="766" spans="13:14" ht="15.75" customHeight="1">
      <c r="M766" s="483"/>
      <c r="N766" s="483"/>
    </row>
    <row r="767" spans="13:14" ht="15.75" customHeight="1">
      <c r="M767" s="483"/>
      <c r="N767" s="483"/>
    </row>
    <row r="768" spans="13:14" ht="15.75" customHeight="1">
      <c r="M768" s="483"/>
      <c r="N768" s="483"/>
    </row>
    <row r="769" spans="13:14" ht="15.75" customHeight="1">
      <c r="M769" s="483"/>
      <c r="N769" s="483"/>
    </row>
    <row r="770" spans="13:14" ht="15.75" customHeight="1">
      <c r="M770" s="483"/>
      <c r="N770" s="483"/>
    </row>
    <row r="771" spans="13:14" ht="15.75" customHeight="1">
      <c r="M771" s="483"/>
      <c r="N771" s="483"/>
    </row>
    <row r="772" spans="13:14" ht="15.75" customHeight="1">
      <c r="M772" s="483"/>
      <c r="N772" s="483"/>
    </row>
    <row r="773" spans="13:14" ht="15.75" customHeight="1">
      <c r="M773" s="483"/>
      <c r="N773" s="483"/>
    </row>
    <row r="774" spans="13:14" ht="15.75" customHeight="1">
      <c r="M774" s="483"/>
      <c r="N774" s="483"/>
    </row>
    <row r="775" spans="13:14" ht="15.75" customHeight="1">
      <c r="M775" s="483"/>
      <c r="N775" s="483"/>
    </row>
    <row r="776" spans="13:14" ht="15.75" customHeight="1">
      <c r="M776" s="483"/>
      <c r="N776" s="483"/>
    </row>
    <row r="777" spans="13:14" ht="15.75" customHeight="1">
      <c r="M777" s="483"/>
      <c r="N777" s="483"/>
    </row>
    <row r="778" spans="13:14" ht="15.75" customHeight="1">
      <c r="M778" s="483"/>
      <c r="N778" s="483"/>
    </row>
    <row r="779" spans="13:14" ht="15.75" customHeight="1">
      <c r="M779" s="483"/>
      <c r="N779" s="483"/>
    </row>
    <row r="780" spans="13:14" ht="15.75" customHeight="1">
      <c r="M780" s="483"/>
      <c r="N780" s="483"/>
    </row>
    <row r="781" spans="13:14" ht="15.75" customHeight="1">
      <c r="M781" s="483"/>
      <c r="N781" s="483"/>
    </row>
    <row r="782" spans="13:14" ht="15.75" customHeight="1">
      <c r="M782" s="483"/>
      <c r="N782" s="483"/>
    </row>
    <row r="783" spans="13:14" ht="15.75" customHeight="1">
      <c r="M783" s="483"/>
      <c r="N783" s="483"/>
    </row>
    <row r="784" spans="13:14" ht="15.75" customHeight="1">
      <c r="M784" s="483"/>
      <c r="N784" s="483"/>
    </row>
    <row r="785" spans="13:14" ht="15.75" customHeight="1">
      <c r="M785" s="483"/>
      <c r="N785" s="483"/>
    </row>
    <row r="786" spans="13:14" ht="15.75" customHeight="1">
      <c r="M786" s="483"/>
      <c r="N786" s="483"/>
    </row>
    <row r="787" spans="13:14" ht="15.75" customHeight="1">
      <c r="M787" s="483"/>
      <c r="N787" s="483"/>
    </row>
    <row r="788" spans="13:14" ht="15.75" customHeight="1">
      <c r="M788" s="483"/>
      <c r="N788" s="483"/>
    </row>
    <row r="789" spans="13:14" ht="15.75" customHeight="1">
      <c r="M789" s="483"/>
      <c r="N789" s="483"/>
    </row>
    <row r="790" spans="13:14" ht="15.75" customHeight="1">
      <c r="M790" s="483"/>
      <c r="N790" s="483"/>
    </row>
    <row r="791" spans="13:14" ht="15.75" customHeight="1">
      <c r="M791" s="483"/>
      <c r="N791" s="483"/>
    </row>
    <row r="792" spans="13:14" ht="15.75" customHeight="1">
      <c r="M792" s="483"/>
      <c r="N792" s="483"/>
    </row>
    <row r="793" spans="13:14" ht="15.75" customHeight="1">
      <c r="M793" s="483"/>
      <c r="N793" s="483"/>
    </row>
    <row r="794" spans="13:14" ht="15.75" customHeight="1">
      <c r="M794" s="483"/>
      <c r="N794" s="483"/>
    </row>
    <row r="795" spans="13:14" ht="15.75" customHeight="1">
      <c r="M795" s="483"/>
      <c r="N795" s="483"/>
    </row>
    <row r="796" spans="13:14" ht="15.75" customHeight="1">
      <c r="M796" s="483"/>
      <c r="N796" s="483"/>
    </row>
    <row r="797" spans="13:14" ht="15.75" customHeight="1">
      <c r="M797" s="483"/>
      <c r="N797" s="483"/>
    </row>
    <row r="798" spans="13:14" ht="15.75" customHeight="1">
      <c r="M798" s="483"/>
      <c r="N798" s="483"/>
    </row>
    <row r="799" spans="13:14" ht="15.75" customHeight="1">
      <c r="M799" s="483"/>
      <c r="N799" s="483"/>
    </row>
    <row r="800" spans="13:14" ht="15.75" customHeight="1">
      <c r="M800" s="483"/>
      <c r="N800" s="483"/>
    </row>
    <row r="801" spans="13:14" ht="15.75" customHeight="1">
      <c r="M801" s="483"/>
      <c r="N801" s="483"/>
    </row>
    <row r="802" spans="13:14" ht="15.75" customHeight="1">
      <c r="M802" s="483"/>
      <c r="N802" s="483"/>
    </row>
    <row r="803" spans="13:14" ht="15.75" customHeight="1">
      <c r="M803" s="483"/>
      <c r="N803" s="483"/>
    </row>
    <row r="804" spans="13:14" ht="15.75" customHeight="1">
      <c r="M804" s="483"/>
      <c r="N804" s="483"/>
    </row>
    <row r="805" spans="13:14" ht="15.75" customHeight="1">
      <c r="M805" s="483"/>
      <c r="N805" s="483"/>
    </row>
    <row r="806" spans="13:14" ht="15.75" customHeight="1">
      <c r="M806" s="483"/>
      <c r="N806" s="483"/>
    </row>
    <row r="807" spans="13:14" ht="15.75" customHeight="1">
      <c r="M807" s="483"/>
      <c r="N807" s="483"/>
    </row>
    <row r="808" spans="13:14" ht="15.75" customHeight="1">
      <c r="M808" s="483"/>
      <c r="N808" s="483"/>
    </row>
    <row r="809" spans="13:14" ht="15.75" customHeight="1">
      <c r="M809" s="483"/>
      <c r="N809" s="483"/>
    </row>
    <row r="810" spans="13:14" ht="15.75" customHeight="1">
      <c r="M810" s="483"/>
      <c r="N810" s="483"/>
    </row>
    <row r="811" spans="13:14" ht="15.75" customHeight="1">
      <c r="M811" s="483"/>
      <c r="N811" s="483"/>
    </row>
    <row r="812" spans="13:14" ht="15.75" customHeight="1">
      <c r="M812" s="483"/>
      <c r="N812" s="483"/>
    </row>
    <row r="813" spans="13:14" ht="15.75" customHeight="1">
      <c r="M813" s="483"/>
      <c r="N813" s="483"/>
    </row>
    <row r="814" spans="13:14" ht="15.75" customHeight="1">
      <c r="M814" s="483"/>
      <c r="N814" s="483"/>
    </row>
    <row r="815" spans="13:14" ht="15.75" customHeight="1">
      <c r="M815" s="483"/>
      <c r="N815" s="483"/>
    </row>
    <row r="816" spans="13:14" ht="15.75" customHeight="1">
      <c r="M816" s="483"/>
      <c r="N816" s="483"/>
    </row>
    <row r="817" spans="13:14" ht="15.75" customHeight="1">
      <c r="M817" s="483"/>
      <c r="N817" s="483"/>
    </row>
    <row r="818" spans="13:14" ht="15.75" customHeight="1">
      <c r="M818" s="483"/>
      <c r="N818" s="483"/>
    </row>
    <row r="819" spans="13:14" ht="15.75" customHeight="1">
      <c r="M819" s="483"/>
      <c r="N819" s="483"/>
    </row>
    <row r="820" spans="13:14" ht="15.75" customHeight="1">
      <c r="M820" s="483"/>
      <c r="N820" s="483"/>
    </row>
    <row r="821" spans="13:14" ht="15.75" customHeight="1">
      <c r="M821" s="483"/>
      <c r="N821" s="483"/>
    </row>
    <row r="822" spans="13:14" ht="15.75" customHeight="1">
      <c r="M822" s="483"/>
      <c r="N822" s="483"/>
    </row>
    <row r="823" spans="13:14" ht="15.75" customHeight="1">
      <c r="M823" s="483"/>
      <c r="N823" s="483"/>
    </row>
    <row r="824" spans="13:14" ht="15.75" customHeight="1">
      <c r="M824" s="483"/>
      <c r="N824" s="483"/>
    </row>
    <row r="825" spans="13:14" ht="15.75" customHeight="1">
      <c r="M825" s="483"/>
      <c r="N825" s="483"/>
    </row>
    <row r="826" spans="13:14" ht="15.75" customHeight="1">
      <c r="M826" s="483"/>
      <c r="N826" s="483"/>
    </row>
    <row r="827" spans="13:14" ht="15.75" customHeight="1">
      <c r="M827" s="483"/>
      <c r="N827" s="483"/>
    </row>
    <row r="828" spans="13:14" ht="15.75" customHeight="1">
      <c r="M828" s="483"/>
      <c r="N828" s="483"/>
    </row>
    <row r="829" spans="13:14" ht="15.75" customHeight="1">
      <c r="M829" s="483"/>
      <c r="N829" s="483"/>
    </row>
    <row r="830" spans="13:14" ht="15.75" customHeight="1">
      <c r="M830" s="483"/>
      <c r="N830" s="483"/>
    </row>
    <row r="831" spans="13:14" ht="15.75" customHeight="1">
      <c r="M831" s="483"/>
      <c r="N831" s="483"/>
    </row>
    <row r="832" spans="13:14" ht="15.75" customHeight="1">
      <c r="M832" s="483"/>
      <c r="N832" s="483"/>
    </row>
    <row r="833" spans="13:14" ht="15.75" customHeight="1">
      <c r="M833" s="483"/>
      <c r="N833" s="483"/>
    </row>
    <row r="834" spans="13:14" ht="15.75" customHeight="1">
      <c r="M834" s="483"/>
      <c r="N834" s="483"/>
    </row>
    <row r="835" spans="13:14" ht="15.75" customHeight="1">
      <c r="M835" s="483"/>
      <c r="N835" s="483"/>
    </row>
    <row r="836" spans="13:14" ht="15.75" customHeight="1">
      <c r="M836" s="483"/>
      <c r="N836" s="483"/>
    </row>
    <row r="837" spans="13:14" ht="15.75" customHeight="1">
      <c r="M837" s="483"/>
      <c r="N837" s="483"/>
    </row>
    <row r="838" spans="13:14" ht="15.75" customHeight="1">
      <c r="M838" s="483"/>
      <c r="N838" s="483"/>
    </row>
    <row r="839" spans="13:14" ht="15.75" customHeight="1">
      <c r="M839" s="483"/>
      <c r="N839" s="483"/>
    </row>
    <row r="840" spans="13:14" ht="15.75" customHeight="1">
      <c r="M840" s="483"/>
      <c r="N840" s="483"/>
    </row>
    <row r="841" spans="13:14" ht="15.75" customHeight="1">
      <c r="M841" s="483"/>
      <c r="N841" s="483"/>
    </row>
    <row r="842" spans="13:14" ht="15.75" customHeight="1">
      <c r="M842" s="483"/>
      <c r="N842" s="483"/>
    </row>
    <row r="843" spans="13:14" ht="15.75" customHeight="1">
      <c r="M843" s="483"/>
      <c r="N843" s="483"/>
    </row>
    <row r="844" spans="13:14" ht="15.75" customHeight="1">
      <c r="M844" s="483"/>
      <c r="N844" s="483"/>
    </row>
    <row r="845" spans="13:14" ht="15.75" customHeight="1">
      <c r="M845" s="483"/>
      <c r="N845" s="483"/>
    </row>
    <row r="846" spans="13:14" ht="15.75" customHeight="1">
      <c r="M846" s="483"/>
      <c r="N846" s="483"/>
    </row>
    <row r="847" spans="13:14" ht="15.75" customHeight="1">
      <c r="M847" s="483"/>
      <c r="N847" s="483"/>
    </row>
    <row r="848" spans="13:14" ht="15.75" customHeight="1">
      <c r="M848" s="483"/>
      <c r="N848" s="483"/>
    </row>
    <row r="849" spans="13:14" ht="15.75" customHeight="1">
      <c r="M849" s="483"/>
      <c r="N849" s="483"/>
    </row>
    <row r="850" spans="13:14" ht="15.75" customHeight="1">
      <c r="M850" s="483"/>
      <c r="N850" s="483"/>
    </row>
    <row r="851" spans="13:14" ht="15.75" customHeight="1">
      <c r="M851" s="483"/>
      <c r="N851" s="483"/>
    </row>
    <row r="852" spans="13:14" ht="15.75" customHeight="1">
      <c r="M852" s="483"/>
      <c r="N852" s="483"/>
    </row>
    <row r="853" spans="13:14" ht="15.75" customHeight="1">
      <c r="M853" s="483"/>
      <c r="N853" s="483"/>
    </row>
    <row r="854" spans="13:14" ht="15.75" customHeight="1">
      <c r="M854" s="483"/>
      <c r="N854" s="483"/>
    </row>
    <row r="855" spans="13:14" ht="15.75" customHeight="1">
      <c r="M855" s="483"/>
      <c r="N855" s="483"/>
    </row>
    <row r="856" spans="13:14" ht="15.75" customHeight="1">
      <c r="M856" s="483"/>
      <c r="N856" s="483"/>
    </row>
    <row r="857" spans="13:14" ht="15.75" customHeight="1">
      <c r="M857" s="483"/>
      <c r="N857" s="483"/>
    </row>
    <row r="858" spans="13:14" ht="15.75" customHeight="1">
      <c r="M858" s="483"/>
      <c r="N858" s="483"/>
    </row>
    <row r="859" spans="13:14" ht="15.75" customHeight="1">
      <c r="M859" s="483"/>
      <c r="N859" s="483"/>
    </row>
    <row r="860" spans="13:14" ht="15.75" customHeight="1">
      <c r="M860" s="483"/>
      <c r="N860" s="483"/>
    </row>
    <row r="861" spans="13:14" ht="15.75" customHeight="1">
      <c r="M861" s="483"/>
      <c r="N861" s="483"/>
    </row>
    <row r="862" spans="13:14" ht="15.75" customHeight="1">
      <c r="M862" s="483"/>
      <c r="N862" s="483"/>
    </row>
    <row r="863" spans="13:14" ht="15.75" customHeight="1">
      <c r="M863" s="483"/>
      <c r="N863" s="483"/>
    </row>
    <row r="864" spans="13:14" ht="15.75" customHeight="1">
      <c r="M864" s="483"/>
      <c r="N864" s="483"/>
    </row>
    <row r="865" spans="13:14" ht="15.75" customHeight="1">
      <c r="M865" s="483"/>
      <c r="N865" s="483"/>
    </row>
    <row r="866" spans="13:14" ht="15.75" customHeight="1">
      <c r="M866" s="483"/>
      <c r="N866" s="483"/>
    </row>
    <row r="867" spans="13:14" ht="15.75" customHeight="1">
      <c r="M867" s="483"/>
      <c r="N867" s="483"/>
    </row>
    <row r="868" spans="13:14" ht="15.75" customHeight="1">
      <c r="M868" s="483"/>
      <c r="N868" s="483"/>
    </row>
    <row r="869" spans="13:14" ht="15.75" customHeight="1">
      <c r="M869" s="483"/>
      <c r="N869" s="483"/>
    </row>
    <row r="870" spans="13:14" ht="15.75" customHeight="1">
      <c r="M870" s="483"/>
      <c r="N870" s="483"/>
    </row>
    <row r="871" spans="13:14" ht="15.75" customHeight="1">
      <c r="M871" s="483"/>
      <c r="N871" s="483"/>
    </row>
    <row r="872" spans="13:14" ht="15.75" customHeight="1">
      <c r="M872" s="483"/>
      <c r="N872" s="483"/>
    </row>
    <row r="873" spans="13:14" ht="15.75" customHeight="1">
      <c r="M873" s="483"/>
      <c r="N873" s="483"/>
    </row>
    <row r="874" spans="13:14" ht="15.75" customHeight="1">
      <c r="M874" s="483"/>
      <c r="N874" s="483"/>
    </row>
    <row r="875" spans="13:14" ht="15.75" customHeight="1">
      <c r="M875" s="483"/>
      <c r="N875" s="483"/>
    </row>
    <row r="876" spans="13:14" ht="15.75" customHeight="1">
      <c r="M876" s="483"/>
      <c r="N876" s="483"/>
    </row>
    <row r="877" spans="13:14" ht="15.75" customHeight="1">
      <c r="M877" s="483"/>
      <c r="N877" s="483"/>
    </row>
    <row r="878" spans="13:14" ht="15.75" customHeight="1">
      <c r="M878" s="483"/>
      <c r="N878" s="483"/>
    </row>
    <row r="879" spans="13:14" ht="15.75" customHeight="1">
      <c r="M879" s="483"/>
      <c r="N879" s="483"/>
    </row>
    <row r="880" spans="13:14" ht="15.75" customHeight="1">
      <c r="M880" s="483"/>
      <c r="N880" s="483"/>
    </row>
    <row r="881" spans="13:14" ht="15.75" customHeight="1">
      <c r="M881" s="483"/>
      <c r="N881" s="483"/>
    </row>
    <row r="882" spans="13:14" ht="15.75" customHeight="1">
      <c r="M882" s="483"/>
      <c r="N882" s="483"/>
    </row>
    <row r="883" spans="13:14" ht="15.75" customHeight="1">
      <c r="M883" s="483"/>
      <c r="N883" s="483"/>
    </row>
    <row r="884" spans="13:14" ht="15.75" customHeight="1">
      <c r="M884" s="483"/>
      <c r="N884" s="483"/>
    </row>
    <row r="885" spans="13:14" ht="15.75" customHeight="1">
      <c r="M885" s="483"/>
      <c r="N885" s="483"/>
    </row>
    <row r="886" spans="13:14" ht="15.75" customHeight="1">
      <c r="M886" s="483"/>
      <c r="N886" s="483"/>
    </row>
    <row r="887" spans="13:14" ht="15.75" customHeight="1">
      <c r="M887" s="483"/>
      <c r="N887" s="483"/>
    </row>
    <row r="888" spans="13:14" ht="15.75" customHeight="1">
      <c r="M888" s="483"/>
      <c r="N888" s="483"/>
    </row>
    <row r="889" spans="13:14" ht="15.75" customHeight="1">
      <c r="M889" s="483"/>
      <c r="N889" s="483"/>
    </row>
    <row r="890" spans="13:14" ht="15.75" customHeight="1">
      <c r="M890" s="483"/>
      <c r="N890" s="483"/>
    </row>
    <row r="891" spans="13:14" ht="15.75" customHeight="1">
      <c r="M891" s="483"/>
      <c r="N891" s="483"/>
    </row>
    <row r="892" spans="13:14" ht="15.75" customHeight="1">
      <c r="M892" s="483"/>
      <c r="N892" s="483"/>
    </row>
    <row r="893" spans="13:14" ht="15.75" customHeight="1">
      <c r="M893" s="483"/>
      <c r="N893" s="483"/>
    </row>
    <row r="894" spans="13:14" ht="15.75" customHeight="1">
      <c r="M894" s="483"/>
      <c r="N894" s="483"/>
    </row>
    <row r="895" spans="13:14" ht="15.75" customHeight="1">
      <c r="M895" s="483"/>
      <c r="N895" s="483"/>
    </row>
    <row r="896" spans="13:14" ht="15.75" customHeight="1">
      <c r="M896" s="483"/>
      <c r="N896" s="483"/>
    </row>
    <row r="897" spans="13:14" ht="15.75" customHeight="1">
      <c r="M897" s="483"/>
      <c r="N897" s="483"/>
    </row>
    <row r="898" spans="13:14" ht="15.75" customHeight="1">
      <c r="M898" s="483"/>
      <c r="N898" s="483"/>
    </row>
    <row r="899" spans="13:14" ht="15.75" customHeight="1">
      <c r="M899" s="483"/>
      <c r="N899" s="483"/>
    </row>
    <row r="900" spans="13:14" ht="15.75" customHeight="1">
      <c r="M900" s="483"/>
      <c r="N900" s="483"/>
    </row>
    <row r="901" spans="13:14" ht="15.75" customHeight="1">
      <c r="M901" s="483"/>
      <c r="N901" s="483"/>
    </row>
    <row r="902" spans="13:14" ht="15.75" customHeight="1">
      <c r="M902" s="483"/>
      <c r="N902" s="483"/>
    </row>
    <row r="903" spans="13:14" ht="15.75" customHeight="1">
      <c r="M903" s="483"/>
      <c r="N903" s="483"/>
    </row>
    <row r="904" spans="13:14" ht="15.75" customHeight="1">
      <c r="M904" s="483"/>
      <c r="N904" s="483"/>
    </row>
    <row r="905" spans="13:14" ht="15.75" customHeight="1">
      <c r="M905" s="483"/>
      <c r="N905" s="483"/>
    </row>
    <row r="906" spans="13:14" ht="15.75" customHeight="1">
      <c r="M906" s="483"/>
      <c r="N906" s="483"/>
    </row>
    <row r="907" spans="13:14" ht="15.75" customHeight="1">
      <c r="M907" s="483"/>
      <c r="N907" s="483"/>
    </row>
    <row r="908" spans="13:14" ht="15.75" customHeight="1">
      <c r="M908" s="483"/>
      <c r="N908" s="483"/>
    </row>
    <row r="909" spans="13:14" ht="15.75" customHeight="1">
      <c r="M909" s="483"/>
      <c r="N909" s="483"/>
    </row>
    <row r="910" spans="13:14" ht="15.75" customHeight="1">
      <c r="M910" s="483"/>
      <c r="N910" s="483"/>
    </row>
    <row r="911" spans="13:14" ht="15.75" customHeight="1">
      <c r="M911" s="483"/>
      <c r="N911" s="483"/>
    </row>
    <row r="912" spans="13:14" ht="15.75" customHeight="1">
      <c r="M912" s="483"/>
      <c r="N912" s="483"/>
    </row>
    <row r="913" spans="13:14" ht="15.75" customHeight="1">
      <c r="M913" s="483"/>
      <c r="N913" s="483"/>
    </row>
    <row r="914" spans="13:14" ht="15.75" customHeight="1">
      <c r="M914" s="483"/>
      <c r="N914" s="483"/>
    </row>
    <row r="915" spans="13:14" ht="15.75" customHeight="1">
      <c r="M915" s="483"/>
      <c r="N915" s="483"/>
    </row>
    <row r="916" spans="13:14" ht="15.75" customHeight="1">
      <c r="M916" s="483"/>
      <c r="N916" s="483"/>
    </row>
    <row r="917" spans="13:14" ht="15.75" customHeight="1">
      <c r="M917" s="483"/>
      <c r="N917" s="483"/>
    </row>
    <row r="918" spans="13:14" ht="15.75" customHeight="1">
      <c r="M918" s="483"/>
      <c r="N918" s="483"/>
    </row>
    <row r="919" spans="13:14" ht="15.75" customHeight="1">
      <c r="M919" s="483"/>
      <c r="N919" s="483"/>
    </row>
    <row r="920" spans="13:14" ht="15.75" customHeight="1">
      <c r="M920" s="483"/>
      <c r="N920" s="483"/>
    </row>
    <row r="921" spans="13:14" ht="15.75" customHeight="1">
      <c r="M921" s="483"/>
      <c r="N921" s="483"/>
    </row>
    <row r="922" spans="13:14" ht="15.75" customHeight="1">
      <c r="M922" s="483"/>
      <c r="N922" s="483"/>
    </row>
    <row r="923" spans="13:14" ht="15.75" customHeight="1">
      <c r="M923" s="483"/>
      <c r="N923" s="483"/>
    </row>
    <row r="924" spans="13:14" ht="15.75" customHeight="1">
      <c r="M924" s="483"/>
      <c r="N924" s="483"/>
    </row>
    <row r="925" spans="13:14" ht="15.75" customHeight="1">
      <c r="M925" s="483"/>
      <c r="N925" s="483"/>
    </row>
    <row r="926" spans="13:14" ht="15.75" customHeight="1">
      <c r="M926" s="483"/>
      <c r="N926" s="483"/>
    </row>
    <row r="927" spans="13:14" ht="15.75" customHeight="1">
      <c r="M927" s="483"/>
      <c r="N927" s="483"/>
    </row>
    <row r="928" spans="13:14" ht="15.75" customHeight="1">
      <c r="M928" s="483"/>
      <c r="N928" s="483"/>
    </row>
    <row r="929" spans="13:14" ht="15.75" customHeight="1">
      <c r="M929" s="483"/>
      <c r="N929" s="483"/>
    </row>
    <row r="930" spans="13:14" ht="15.75" customHeight="1">
      <c r="M930" s="483"/>
      <c r="N930" s="483"/>
    </row>
    <row r="931" spans="13:14" ht="15.75" customHeight="1">
      <c r="M931" s="483"/>
      <c r="N931" s="483"/>
    </row>
    <row r="932" spans="13:14" ht="15.75" customHeight="1">
      <c r="M932" s="483"/>
      <c r="N932" s="483"/>
    </row>
    <row r="933" spans="13:14" ht="15.75" customHeight="1">
      <c r="M933" s="483"/>
      <c r="N933" s="483"/>
    </row>
    <row r="934" spans="13:14" ht="15.75" customHeight="1">
      <c r="M934" s="483"/>
      <c r="N934" s="483"/>
    </row>
    <row r="935" spans="13:14" ht="15.75" customHeight="1">
      <c r="M935" s="483"/>
      <c r="N935" s="483"/>
    </row>
    <row r="936" spans="13:14" ht="15.75" customHeight="1">
      <c r="M936" s="483"/>
      <c r="N936" s="483"/>
    </row>
    <row r="937" spans="13:14" ht="15.75" customHeight="1">
      <c r="M937" s="483"/>
      <c r="N937" s="483"/>
    </row>
    <row r="938" spans="13:14" ht="15.75" customHeight="1">
      <c r="M938" s="483"/>
      <c r="N938" s="483"/>
    </row>
    <row r="939" spans="13:14" ht="15.75" customHeight="1">
      <c r="M939" s="483"/>
      <c r="N939" s="483"/>
    </row>
    <row r="940" spans="13:14" ht="15.75" customHeight="1">
      <c r="M940" s="483"/>
      <c r="N940" s="483"/>
    </row>
    <row r="941" spans="13:14" ht="15.75" customHeight="1">
      <c r="M941" s="483"/>
      <c r="N941" s="483"/>
    </row>
    <row r="942" spans="13:14" ht="15.75" customHeight="1">
      <c r="M942" s="483"/>
      <c r="N942" s="483"/>
    </row>
    <row r="943" spans="13:14" ht="15.75" customHeight="1">
      <c r="M943" s="483"/>
      <c r="N943" s="483"/>
    </row>
    <row r="944" spans="13:14" ht="15.75" customHeight="1">
      <c r="M944" s="483"/>
      <c r="N944" s="483"/>
    </row>
    <row r="945" spans="13:14" ht="15.75" customHeight="1">
      <c r="M945" s="483"/>
      <c r="N945" s="483"/>
    </row>
    <row r="946" spans="13:14" ht="15.75" customHeight="1">
      <c r="M946" s="483"/>
      <c r="N946" s="483"/>
    </row>
    <row r="947" spans="13:14" ht="15.75" customHeight="1">
      <c r="M947" s="483"/>
      <c r="N947" s="483"/>
    </row>
    <row r="948" spans="13:14" ht="15.75" customHeight="1">
      <c r="M948" s="483"/>
      <c r="N948" s="483"/>
    </row>
    <row r="949" spans="13:14" ht="15.75" customHeight="1">
      <c r="M949" s="483"/>
      <c r="N949" s="483"/>
    </row>
    <row r="950" spans="13:14" ht="15.75" customHeight="1">
      <c r="M950" s="483"/>
      <c r="N950" s="483"/>
    </row>
    <row r="951" spans="13:14" ht="15.75" customHeight="1">
      <c r="M951" s="483"/>
      <c r="N951" s="483"/>
    </row>
    <row r="952" spans="13:14" ht="15.75" customHeight="1">
      <c r="M952" s="483"/>
      <c r="N952" s="483"/>
    </row>
    <row r="953" spans="13:14" ht="15.75" customHeight="1">
      <c r="M953" s="483"/>
      <c r="N953" s="483"/>
    </row>
    <row r="954" spans="13:14" ht="15.75" customHeight="1">
      <c r="M954" s="483"/>
      <c r="N954" s="483"/>
    </row>
    <row r="955" spans="13:14" ht="15.75" customHeight="1">
      <c r="M955" s="483"/>
      <c r="N955" s="483"/>
    </row>
    <row r="956" spans="13:14" ht="15.75" customHeight="1">
      <c r="M956" s="483"/>
      <c r="N956" s="483"/>
    </row>
    <row r="957" spans="13:14" ht="15.75" customHeight="1">
      <c r="M957" s="483"/>
      <c r="N957" s="483"/>
    </row>
    <row r="958" spans="13:14" ht="15.75" customHeight="1">
      <c r="M958" s="483"/>
      <c r="N958" s="483"/>
    </row>
    <row r="959" spans="13:14" ht="15.75" customHeight="1">
      <c r="M959" s="483"/>
      <c r="N959" s="483"/>
    </row>
    <row r="960" spans="13:14" ht="15.75" customHeight="1">
      <c r="M960" s="483"/>
      <c r="N960" s="483"/>
    </row>
    <row r="961" spans="13:14" ht="15.75" customHeight="1">
      <c r="M961" s="483"/>
      <c r="N961" s="483"/>
    </row>
    <row r="962" spans="13:14" ht="15.75" customHeight="1">
      <c r="M962" s="483"/>
      <c r="N962" s="483"/>
    </row>
    <row r="963" spans="13:14" ht="15.75" customHeight="1">
      <c r="M963" s="483"/>
      <c r="N963" s="483"/>
    </row>
    <row r="964" spans="13:14" ht="15.75" customHeight="1">
      <c r="M964" s="483"/>
      <c r="N964" s="483"/>
    </row>
    <row r="965" spans="13:14" ht="15.75" customHeight="1">
      <c r="M965" s="483"/>
      <c r="N965" s="483"/>
    </row>
    <row r="966" spans="13:14" ht="15.75" customHeight="1">
      <c r="M966" s="483"/>
      <c r="N966" s="483"/>
    </row>
    <row r="967" spans="13:14" ht="15.75" customHeight="1">
      <c r="M967" s="483"/>
      <c r="N967" s="483"/>
    </row>
    <row r="968" spans="13:14" ht="15.75" customHeight="1">
      <c r="M968" s="483"/>
      <c r="N968" s="483"/>
    </row>
    <row r="969" spans="13:14" ht="15.75" customHeight="1">
      <c r="M969" s="483"/>
      <c r="N969" s="483"/>
    </row>
    <row r="970" spans="13:14" ht="15.75" customHeight="1">
      <c r="M970" s="483"/>
      <c r="N970" s="483"/>
    </row>
    <row r="971" spans="13:14" ht="15.75" customHeight="1">
      <c r="M971" s="483"/>
      <c r="N971" s="483"/>
    </row>
    <row r="972" spans="13:14" ht="15.75" customHeight="1">
      <c r="M972" s="483"/>
      <c r="N972" s="483"/>
    </row>
    <row r="973" spans="13:14" ht="15.75" customHeight="1">
      <c r="M973" s="483"/>
      <c r="N973" s="483"/>
    </row>
    <row r="974" spans="13:14" ht="15.75" customHeight="1">
      <c r="M974" s="483"/>
      <c r="N974" s="483"/>
    </row>
    <row r="975" spans="13:14" ht="15.75" customHeight="1">
      <c r="M975" s="483"/>
      <c r="N975" s="483"/>
    </row>
    <row r="976" spans="13:14" ht="15.75" customHeight="1">
      <c r="M976" s="483"/>
      <c r="N976" s="483"/>
    </row>
    <row r="977" spans="13:14" ht="15.75" customHeight="1">
      <c r="M977" s="483"/>
      <c r="N977" s="483"/>
    </row>
    <row r="978" spans="13:14" ht="15.75" customHeight="1">
      <c r="M978" s="483"/>
      <c r="N978" s="483"/>
    </row>
    <row r="979" spans="13:14" ht="15.75" customHeight="1">
      <c r="M979" s="483"/>
      <c r="N979" s="483"/>
    </row>
    <row r="980" spans="13:14" ht="15.75" customHeight="1">
      <c r="M980" s="483"/>
      <c r="N980" s="483"/>
    </row>
    <row r="981" spans="13:14" ht="15.75" customHeight="1">
      <c r="M981" s="483"/>
      <c r="N981" s="483"/>
    </row>
    <row r="982" spans="13:14" ht="15.75" customHeight="1">
      <c r="M982" s="483"/>
      <c r="N982" s="483"/>
    </row>
    <row r="983" spans="13:14" ht="15.75" customHeight="1">
      <c r="M983" s="483"/>
      <c r="N983" s="483"/>
    </row>
    <row r="984" spans="13:14" ht="15.75" customHeight="1">
      <c r="M984" s="483"/>
      <c r="N984" s="483"/>
    </row>
    <row r="985" spans="13:14" ht="15.75" customHeight="1">
      <c r="M985" s="483"/>
      <c r="N985" s="483"/>
    </row>
    <row r="986" spans="13:14" ht="15.75" customHeight="1">
      <c r="M986" s="483"/>
      <c r="N986" s="483"/>
    </row>
    <row r="987" spans="13:14" ht="15.75" customHeight="1">
      <c r="M987" s="483"/>
      <c r="N987" s="483"/>
    </row>
    <row r="988" spans="13:14" ht="15.75" customHeight="1">
      <c r="M988" s="483"/>
      <c r="N988" s="483"/>
    </row>
    <row r="989" spans="13:14" ht="15.75" customHeight="1">
      <c r="M989" s="483"/>
      <c r="N989" s="483"/>
    </row>
    <row r="990" spans="13:14" ht="15.75" customHeight="1">
      <c r="M990" s="483"/>
      <c r="N990" s="483"/>
    </row>
    <row r="991" spans="13:14" ht="15.75" customHeight="1">
      <c r="M991" s="483"/>
      <c r="N991" s="483"/>
    </row>
    <row r="992" spans="13:14" ht="15.75" customHeight="1">
      <c r="M992" s="483"/>
      <c r="N992" s="483"/>
    </row>
    <row r="993" spans="13:14" ht="15.75" customHeight="1">
      <c r="M993" s="483"/>
      <c r="N993" s="483"/>
    </row>
    <row r="994" spans="13:14" ht="15.75" customHeight="1">
      <c r="M994" s="483"/>
      <c r="N994" s="483"/>
    </row>
    <row r="995" spans="13:14" ht="15.75" customHeight="1">
      <c r="M995" s="483"/>
      <c r="N995" s="483"/>
    </row>
    <row r="996" spans="13:14" ht="15.75" customHeight="1">
      <c r="M996" s="483"/>
      <c r="N996" s="483"/>
    </row>
    <row r="997" spans="13:14" ht="15.75" customHeight="1">
      <c r="M997" s="483"/>
      <c r="N997" s="483"/>
    </row>
    <row r="998" spans="13:14" ht="15.75" customHeight="1">
      <c r="M998" s="483"/>
      <c r="N998" s="483"/>
    </row>
    <row r="999" spans="13:14" ht="15.75" customHeight="1">
      <c r="M999" s="483"/>
      <c r="N999" s="483"/>
    </row>
    <row r="1000" spans="13:14" ht="15.75" customHeight="1">
      <c r="M1000" s="483"/>
      <c r="N1000" s="483"/>
    </row>
  </sheetData>
  <mergeCells count="39">
    <mergeCell ref="A21:B23"/>
    <mergeCell ref="C21:D21"/>
    <mergeCell ref="C12:C13"/>
    <mergeCell ref="D12:D13"/>
    <mergeCell ref="A20:B20"/>
    <mergeCell ref="C20:D20"/>
    <mergeCell ref="E20:F20"/>
    <mergeCell ref="E69:F70"/>
    <mergeCell ref="G69:G70"/>
    <mergeCell ref="H69:H70"/>
    <mergeCell ref="I69:I70"/>
    <mergeCell ref="J70:N70"/>
    <mergeCell ref="F21:F23"/>
    <mergeCell ref="G21:G23"/>
    <mergeCell ref="H21:H23"/>
    <mergeCell ref="I21:I23"/>
    <mergeCell ref="C22:C23"/>
    <mergeCell ref="D22:D23"/>
    <mergeCell ref="J21:N21"/>
    <mergeCell ref="C1:I1"/>
    <mergeCell ref="C2:N2"/>
    <mergeCell ref="C3:N3"/>
    <mergeCell ref="C4:N4"/>
    <mergeCell ref="C7:N7"/>
    <mergeCell ref="A9:N9"/>
    <mergeCell ref="A10:B10"/>
    <mergeCell ref="C10:D10"/>
    <mergeCell ref="E10:F10"/>
    <mergeCell ref="A11:B13"/>
    <mergeCell ref="C11:D11"/>
    <mergeCell ref="E11:E13"/>
    <mergeCell ref="F11:F13"/>
    <mergeCell ref="G11:G13"/>
    <mergeCell ref="E21:E23"/>
    <mergeCell ref="H11:H13"/>
    <mergeCell ref="I11:I13"/>
    <mergeCell ref="J10:N10"/>
    <mergeCell ref="J11:N11"/>
    <mergeCell ref="J20:N20"/>
  </mergeCells>
  <printOptions horizontalCentered="1"/>
  <pageMargins left="0.7" right="0.7" top="0.75" bottom="0.75" header="0" footer="0"/>
  <pageSetup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74E13"/>
  </sheetPr>
  <dimension ref="A1:E1000"/>
  <sheetViews>
    <sheetView workbookViewId="0"/>
  </sheetViews>
  <sheetFormatPr defaultColWidth="12.5703125" defaultRowHeight="15" customHeight="1"/>
  <cols>
    <col min="1" max="1" width="32.5703125" customWidth="1"/>
    <col min="2" max="2" width="2.5703125" customWidth="1"/>
    <col min="3" max="3" width="44.28515625" customWidth="1"/>
    <col min="4" max="5" width="13.42578125" customWidth="1"/>
    <col min="6" max="6" width="12.5703125" customWidth="1"/>
  </cols>
  <sheetData>
    <row r="1" spans="1:5" ht="15.75" customHeight="1">
      <c r="A1" s="484" t="s">
        <v>105</v>
      </c>
      <c r="B1" s="584" t="s">
        <v>106</v>
      </c>
      <c r="C1" s="585"/>
      <c r="D1" s="585"/>
      <c r="E1" s="586"/>
    </row>
    <row r="2" spans="1:5" ht="12.75" customHeight="1">
      <c r="A2" s="485" t="s">
        <v>107</v>
      </c>
      <c r="B2" s="587" t="s">
        <v>72</v>
      </c>
      <c r="C2" s="588"/>
      <c r="D2" s="588"/>
      <c r="E2" s="589"/>
    </row>
    <row r="3" spans="1:5" ht="29.25" customHeight="1">
      <c r="A3" s="79" t="s">
        <v>108</v>
      </c>
      <c r="B3" s="613" t="s">
        <v>1448</v>
      </c>
      <c r="C3" s="588"/>
      <c r="D3" s="588"/>
      <c r="E3" s="589"/>
    </row>
    <row r="4" spans="1:5" ht="42" customHeight="1">
      <c r="A4" s="485" t="s">
        <v>110</v>
      </c>
      <c r="B4" s="613" t="s">
        <v>1449</v>
      </c>
      <c r="C4" s="588"/>
      <c r="D4" s="588"/>
      <c r="E4" s="589"/>
    </row>
    <row r="5" spans="1:5" ht="182.25" customHeight="1">
      <c r="A5" s="485" t="s">
        <v>112</v>
      </c>
      <c r="B5" s="402" t="s">
        <v>1450</v>
      </c>
      <c r="C5" s="81"/>
      <c r="D5" s="81"/>
      <c r="E5" s="404"/>
    </row>
    <row r="6" spans="1:5" ht="30" customHeight="1">
      <c r="A6" s="485" t="s">
        <v>113</v>
      </c>
      <c r="B6" s="67" t="s">
        <v>1451</v>
      </c>
      <c r="C6" s="81"/>
      <c r="D6" s="81"/>
      <c r="E6" s="404"/>
    </row>
    <row r="7" spans="1:5" ht="12.75" customHeight="1">
      <c r="A7" s="486" t="s">
        <v>114</v>
      </c>
      <c r="B7" s="591" t="s">
        <v>115</v>
      </c>
      <c r="C7" s="592"/>
      <c r="D7" s="592"/>
      <c r="E7" s="593"/>
    </row>
    <row r="8" spans="1:5" ht="15.75" customHeight="1">
      <c r="A8" s="249"/>
      <c r="B8" s="249"/>
      <c r="C8" s="249"/>
      <c r="D8" s="249"/>
      <c r="E8" s="249"/>
    </row>
    <row r="9" spans="1:5" ht="15.75" customHeight="1">
      <c r="A9" s="748" t="s">
        <v>116</v>
      </c>
      <c r="B9" s="576"/>
      <c r="C9" s="576"/>
      <c r="D9" s="576"/>
      <c r="E9" s="577"/>
    </row>
    <row r="10" spans="1:5" ht="15.75" customHeight="1">
      <c r="A10" s="487">
        <v>1</v>
      </c>
      <c r="B10" s="739">
        <v>2</v>
      </c>
      <c r="C10" s="740"/>
      <c r="D10" s="739">
        <v>3</v>
      </c>
      <c r="E10" s="683"/>
    </row>
    <row r="11" spans="1:5" ht="38.25" customHeight="1">
      <c r="A11" s="488" t="s">
        <v>1452</v>
      </c>
      <c r="B11" s="741" t="s">
        <v>1453</v>
      </c>
      <c r="C11" s="616"/>
      <c r="D11" s="414" t="s">
        <v>1454</v>
      </c>
      <c r="E11" s="415" t="s">
        <v>1455</v>
      </c>
    </row>
    <row r="12" spans="1:5" ht="15.75" customHeight="1">
      <c r="A12" s="85" t="s">
        <v>1456</v>
      </c>
      <c r="B12" s="489">
        <v>1</v>
      </c>
      <c r="C12" s="490" t="s">
        <v>1457</v>
      </c>
      <c r="D12" s="491">
        <v>44970</v>
      </c>
      <c r="E12" s="492">
        <v>45334</v>
      </c>
    </row>
    <row r="13" spans="1:5" ht="15.75" customHeight="1">
      <c r="A13" s="85" t="s">
        <v>1458</v>
      </c>
      <c r="B13" s="489">
        <v>2</v>
      </c>
      <c r="C13" s="490" t="s">
        <v>1402</v>
      </c>
      <c r="D13" s="491">
        <v>45122</v>
      </c>
      <c r="E13" s="492">
        <v>45157</v>
      </c>
    </row>
    <row r="14" spans="1:5" ht="15.75" customHeight="1">
      <c r="A14" s="85" t="s">
        <v>1459</v>
      </c>
      <c r="B14" s="489">
        <v>3</v>
      </c>
      <c r="C14" s="490" t="s">
        <v>1460</v>
      </c>
      <c r="D14" s="493">
        <v>44928</v>
      </c>
      <c r="E14" s="494">
        <v>45291</v>
      </c>
    </row>
    <row r="15" spans="1:5" ht="15.75" customHeight="1">
      <c r="A15" s="85" t="s">
        <v>480</v>
      </c>
      <c r="B15" s="489">
        <v>4</v>
      </c>
      <c r="C15" s="490" t="s">
        <v>1461</v>
      </c>
      <c r="D15" s="493">
        <v>45170</v>
      </c>
      <c r="E15" s="494">
        <v>45260</v>
      </c>
    </row>
    <row r="16" spans="1:5" ht="15.75" customHeight="1">
      <c r="A16" s="495" t="s">
        <v>487</v>
      </c>
      <c r="B16" s="496">
        <v>5</v>
      </c>
      <c r="C16" s="497" t="s">
        <v>1462</v>
      </c>
      <c r="D16" s="498">
        <v>45200</v>
      </c>
      <c r="E16" s="499">
        <v>45291</v>
      </c>
    </row>
    <row r="17" spans="1:5" ht="16.5" customHeight="1">
      <c r="A17" s="481"/>
      <c r="B17" s="481"/>
      <c r="C17" s="481"/>
      <c r="D17" s="481"/>
      <c r="E17" s="481"/>
    </row>
    <row r="18" spans="1:5" ht="16.5" customHeight="1">
      <c r="A18" s="500">
        <v>1</v>
      </c>
      <c r="B18" s="742">
        <v>2</v>
      </c>
      <c r="C18" s="743"/>
      <c r="D18" s="744">
        <v>3</v>
      </c>
      <c r="E18" s="683"/>
    </row>
    <row r="19" spans="1:5" ht="38.25" customHeight="1">
      <c r="A19" s="501" t="s">
        <v>1452</v>
      </c>
      <c r="B19" s="745" t="s">
        <v>1453</v>
      </c>
      <c r="C19" s="577"/>
      <c r="D19" s="502" t="s">
        <v>1463</v>
      </c>
      <c r="E19" s="503" t="s">
        <v>1464</v>
      </c>
    </row>
    <row r="20" spans="1:5" ht="15.75" customHeight="1">
      <c r="A20" s="504" t="s">
        <v>128</v>
      </c>
      <c r="B20" s="505">
        <v>1</v>
      </c>
      <c r="C20" s="506" t="s">
        <v>1405</v>
      </c>
      <c r="D20" s="507">
        <v>44957</v>
      </c>
      <c r="E20" s="508">
        <v>44959</v>
      </c>
    </row>
    <row r="21" spans="1:5" ht="15.75" customHeight="1">
      <c r="A21" s="509" t="s">
        <v>1465</v>
      </c>
      <c r="B21" s="510">
        <v>2</v>
      </c>
      <c r="C21" s="511" t="s">
        <v>1419</v>
      </c>
      <c r="D21" s="512">
        <v>45056</v>
      </c>
      <c r="E21" s="513">
        <v>45057</v>
      </c>
    </row>
    <row r="22" spans="1:5" ht="15.75" customHeight="1">
      <c r="A22" s="509" t="s">
        <v>149</v>
      </c>
      <c r="B22" s="510">
        <v>3</v>
      </c>
      <c r="C22" s="462" t="s">
        <v>1431</v>
      </c>
      <c r="D22" s="514">
        <v>45155</v>
      </c>
      <c r="E22" s="515">
        <v>45156</v>
      </c>
    </row>
    <row r="23" spans="1:5" ht="15.75" customHeight="1">
      <c r="A23" s="509" t="s">
        <v>1466</v>
      </c>
      <c r="B23" s="510">
        <v>4</v>
      </c>
      <c r="C23" s="516" t="s">
        <v>1444</v>
      </c>
      <c r="D23" s="517">
        <v>45269</v>
      </c>
      <c r="E23" s="518">
        <v>45269</v>
      </c>
    </row>
    <row r="24" spans="1:5" ht="15.75" customHeight="1">
      <c r="A24" s="509" t="s">
        <v>1467</v>
      </c>
      <c r="B24" s="510">
        <v>5</v>
      </c>
      <c r="C24" s="516" t="s">
        <v>1468</v>
      </c>
      <c r="D24" s="519">
        <v>45254</v>
      </c>
      <c r="E24" s="518">
        <v>45254</v>
      </c>
    </row>
    <row r="25" spans="1:5" ht="16.5" hidden="1" customHeight="1">
      <c r="A25" s="520"/>
      <c r="B25" s="521"/>
      <c r="C25" s="374"/>
      <c r="D25" s="374"/>
      <c r="E25" s="378"/>
    </row>
    <row r="26" spans="1:5" ht="15.75" customHeight="1">
      <c r="A26" s="746" t="s">
        <v>1469</v>
      </c>
      <c r="B26" s="747"/>
      <c r="C26" s="522">
        <v>5</v>
      </c>
      <c r="D26" s="523"/>
      <c r="E26" s="523"/>
    </row>
    <row r="27" spans="1:5" ht="15.75" customHeight="1">
      <c r="A27" s="67"/>
      <c r="B27" s="66"/>
      <c r="C27" s="64"/>
      <c r="D27" s="64"/>
      <c r="E27" s="64"/>
    </row>
    <row r="28" spans="1:5" ht="15.75" customHeight="1">
      <c r="A28" s="65" t="s">
        <v>153</v>
      </c>
      <c r="B28" s="66"/>
      <c r="C28" s="64"/>
      <c r="D28" s="64"/>
      <c r="E28" s="64"/>
    </row>
    <row r="29" spans="1:5" ht="15.75" customHeight="1">
      <c r="A29" s="67"/>
      <c r="B29" s="66"/>
      <c r="C29" s="64"/>
      <c r="D29" s="70"/>
      <c r="E29" s="70"/>
    </row>
    <row r="30" spans="1:5" ht="15.75" customHeight="1">
      <c r="A30" s="68"/>
      <c r="B30" s="68"/>
      <c r="C30" s="69"/>
      <c r="D30" s="70"/>
      <c r="E30" s="70"/>
    </row>
    <row r="31" spans="1:5" ht="15.75" customHeight="1">
      <c r="A31" s="71" t="s">
        <v>1378</v>
      </c>
      <c r="B31" s="68"/>
      <c r="C31" s="72">
        <v>45348</v>
      </c>
      <c r="D31" s="70"/>
      <c r="E31" s="70"/>
    </row>
    <row r="32" spans="1:5" ht="15.75" customHeight="1">
      <c r="A32" s="482" t="s">
        <v>1379</v>
      </c>
      <c r="B32" s="74"/>
      <c r="C32" s="75" t="s">
        <v>156</v>
      </c>
      <c r="D32" s="70"/>
      <c r="E32" s="70"/>
    </row>
    <row r="33" spans="1:5" ht="15.75" customHeight="1">
      <c r="A33" s="64"/>
      <c r="B33" s="64"/>
      <c r="C33" s="64"/>
      <c r="D33" s="70"/>
      <c r="E33" s="70"/>
    </row>
    <row r="34" spans="1:5" ht="15.75" customHeight="1">
      <c r="A34" s="64"/>
      <c r="B34" s="64"/>
      <c r="C34" s="64"/>
      <c r="D34" s="70"/>
      <c r="E34" s="70"/>
    </row>
    <row r="35" spans="1:5" ht="15.75" customHeight="1">
      <c r="A35" s="64" t="s">
        <v>157</v>
      </c>
      <c r="B35" s="64"/>
      <c r="C35" s="64"/>
      <c r="D35" s="70"/>
      <c r="E35" s="70"/>
    </row>
    <row r="36" spans="1:5" ht="15.75" customHeight="1">
      <c r="A36" s="76"/>
      <c r="B36" s="64"/>
      <c r="C36" s="64"/>
      <c r="D36" s="70"/>
      <c r="E36" s="70"/>
    </row>
    <row r="37" spans="1:5" ht="15.75" customHeight="1">
      <c r="A37" s="68"/>
      <c r="B37" s="68"/>
      <c r="C37" s="69"/>
      <c r="D37" s="70"/>
      <c r="E37" s="70"/>
    </row>
    <row r="38" spans="1:5" ht="15.75" customHeight="1">
      <c r="A38" s="71" t="s">
        <v>158</v>
      </c>
      <c r="B38" s="68"/>
      <c r="C38" s="72">
        <v>45348</v>
      </c>
      <c r="D38" s="70"/>
      <c r="E38" s="70"/>
    </row>
    <row r="39" spans="1:5" ht="15.75" customHeight="1">
      <c r="A39" s="74" t="s">
        <v>159</v>
      </c>
      <c r="B39" s="74"/>
      <c r="C39" s="75" t="s">
        <v>156</v>
      </c>
      <c r="D39" s="70"/>
      <c r="E39" s="70"/>
    </row>
    <row r="40" spans="1:5" ht="15.75" customHeight="1"/>
    <row r="41" spans="1:5" ht="15.75" customHeight="1"/>
    <row r="42" spans="1:5" ht="15.75" customHeight="1"/>
    <row r="43" spans="1:5" ht="15.75" customHeight="1"/>
    <row r="44" spans="1:5" ht="15.75" customHeight="1"/>
    <row r="45" spans="1:5" ht="15.75" customHeight="1"/>
    <row r="46" spans="1:5" ht="15.75" customHeight="1"/>
    <row r="47" spans="1:5" ht="15.75" customHeight="1"/>
    <row r="48" spans="1:5"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26:B26"/>
    <mergeCell ref="B1:E1"/>
    <mergeCell ref="B2:E2"/>
    <mergeCell ref="B3:E3"/>
    <mergeCell ref="B4:E4"/>
    <mergeCell ref="B7:E7"/>
    <mergeCell ref="A9:E9"/>
    <mergeCell ref="D10:E10"/>
    <mergeCell ref="B10:C10"/>
    <mergeCell ref="B11:C11"/>
    <mergeCell ref="B18:C18"/>
    <mergeCell ref="D18:E18"/>
    <mergeCell ref="B19:C19"/>
  </mergeCells>
  <printOptions horizontalCentered="1"/>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74E13"/>
    <pageSetUpPr fitToPage="1"/>
  </sheetPr>
  <dimension ref="A1:E1000"/>
  <sheetViews>
    <sheetView workbookViewId="0"/>
  </sheetViews>
  <sheetFormatPr defaultColWidth="12.5703125" defaultRowHeight="15" customHeight="1"/>
  <cols>
    <col min="1" max="1" width="3.42578125" customWidth="1"/>
    <col min="2" max="3" width="42.85546875" customWidth="1"/>
    <col min="4" max="5" width="13.42578125" customWidth="1"/>
    <col min="6" max="6" width="12.5703125" customWidth="1"/>
  </cols>
  <sheetData>
    <row r="1" spans="1:5" ht="15.75" customHeight="1">
      <c r="A1" s="749" t="s">
        <v>105</v>
      </c>
      <c r="B1" s="648"/>
      <c r="C1" s="584" t="s">
        <v>106</v>
      </c>
      <c r="D1" s="585"/>
      <c r="E1" s="586"/>
    </row>
    <row r="2" spans="1:5" ht="15.75" customHeight="1">
      <c r="A2" s="750" t="s">
        <v>107</v>
      </c>
      <c r="B2" s="588"/>
      <c r="C2" s="587" t="s">
        <v>72</v>
      </c>
      <c r="D2" s="588"/>
      <c r="E2" s="589"/>
    </row>
    <row r="3" spans="1:5" ht="29.25" customHeight="1">
      <c r="A3" s="751" t="s">
        <v>108</v>
      </c>
      <c r="B3" s="588"/>
      <c r="C3" s="613" t="s">
        <v>1470</v>
      </c>
      <c r="D3" s="588"/>
      <c r="E3" s="589"/>
    </row>
    <row r="4" spans="1:5" ht="54.75" customHeight="1">
      <c r="A4" s="750" t="s">
        <v>110</v>
      </c>
      <c r="B4" s="588"/>
      <c r="C4" s="613" t="s">
        <v>1471</v>
      </c>
      <c r="D4" s="588"/>
      <c r="E4" s="589"/>
    </row>
    <row r="5" spans="1:5" ht="24.75" customHeight="1">
      <c r="A5" s="750" t="s">
        <v>112</v>
      </c>
      <c r="B5" s="588"/>
      <c r="C5" s="402" t="s">
        <v>1472</v>
      </c>
      <c r="D5" s="81"/>
      <c r="E5" s="404"/>
    </row>
    <row r="6" spans="1:5" ht="51.75" customHeight="1">
      <c r="A6" s="750" t="s">
        <v>113</v>
      </c>
      <c r="B6" s="588"/>
      <c r="C6" s="524" t="s">
        <v>1473</v>
      </c>
      <c r="D6" s="81"/>
      <c r="E6" s="404"/>
    </row>
    <row r="7" spans="1:5" ht="15.75" customHeight="1">
      <c r="A7" s="754" t="s">
        <v>114</v>
      </c>
      <c r="B7" s="673"/>
      <c r="C7" s="591" t="s">
        <v>115</v>
      </c>
      <c r="D7" s="592"/>
      <c r="E7" s="593"/>
    </row>
    <row r="8" spans="1:5" ht="15.75" customHeight="1">
      <c r="A8" s="525"/>
      <c r="B8" s="525"/>
      <c r="C8" s="525"/>
      <c r="D8" s="525"/>
      <c r="E8" s="525"/>
    </row>
    <row r="9" spans="1:5" ht="15.75" customHeight="1">
      <c r="A9" s="525"/>
      <c r="B9" s="525"/>
      <c r="C9" s="525"/>
      <c r="D9" s="525"/>
      <c r="E9" s="525"/>
    </row>
    <row r="10" spans="1:5" ht="15.75" customHeight="1">
      <c r="A10" s="755">
        <v>1</v>
      </c>
      <c r="B10" s="683"/>
      <c r="C10" s="526">
        <v>2</v>
      </c>
      <c r="D10" s="739">
        <v>3</v>
      </c>
      <c r="E10" s="683"/>
    </row>
    <row r="11" spans="1:5" ht="15.75" customHeight="1">
      <c r="A11" s="752" t="s">
        <v>1474</v>
      </c>
      <c r="B11" s="580"/>
      <c r="C11" s="527" t="s">
        <v>1475</v>
      </c>
      <c r="D11" s="414" t="s">
        <v>1476</v>
      </c>
      <c r="E11" s="415" t="s">
        <v>1477</v>
      </c>
    </row>
    <row r="12" spans="1:5" ht="15.75" customHeight="1">
      <c r="A12" s="85">
        <v>1</v>
      </c>
      <c r="B12" s="490" t="s">
        <v>1478</v>
      </c>
      <c r="C12" s="490" t="s">
        <v>1401</v>
      </c>
      <c r="D12" s="491">
        <v>44247</v>
      </c>
      <c r="E12" s="492">
        <v>44247</v>
      </c>
    </row>
    <row r="13" spans="1:5" ht="15.75" customHeight="1">
      <c r="A13" s="85">
        <v>2</v>
      </c>
      <c r="B13" s="490" t="s">
        <v>1479</v>
      </c>
      <c r="C13" s="490" t="s">
        <v>1480</v>
      </c>
      <c r="D13" s="491">
        <v>44247</v>
      </c>
      <c r="E13" s="492">
        <v>44247</v>
      </c>
    </row>
    <row r="14" spans="1:5" ht="15.75" customHeight="1">
      <c r="A14" s="495">
        <v>3</v>
      </c>
      <c r="B14" s="528" t="s">
        <v>1481</v>
      </c>
      <c r="C14" s="528" t="s">
        <v>1482</v>
      </c>
      <c r="D14" s="529">
        <v>44986</v>
      </c>
      <c r="E14" s="530">
        <v>45352</v>
      </c>
    </row>
    <row r="15" spans="1:5" ht="15.75" customHeight="1">
      <c r="A15" s="525"/>
      <c r="B15" s="525"/>
      <c r="C15" s="525"/>
      <c r="D15" s="525"/>
      <c r="E15" s="525"/>
    </row>
    <row r="16" spans="1:5" ht="15.75" customHeight="1">
      <c r="A16" s="753">
        <v>1</v>
      </c>
      <c r="B16" s="740"/>
      <c r="C16" s="531">
        <v>2</v>
      </c>
      <c r="D16" s="744">
        <v>3</v>
      </c>
      <c r="E16" s="683"/>
    </row>
    <row r="17" spans="1:5" ht="15.75" customHeight="1">
      <c r="A17" s="745" t="s">
        <v>1474</v>
      </c>
      <c r="B17" s="743"/>
      <c r="C17" s="532" t="s">
        <v>1475</v>
      </c>
      <c r="D17" s="271" t="s">
        <v>1483</v>
      </c>
      <c r="E17" s="272" t="s">
        <v>1484</v>
      </c>
    </row>
    <row r="18" spans="1:5" ht="15.75" customHeight="1">
      <c r="A18" s="533">
        <f t="array" aca="1" ref="A18" ca="1">IFERROR(SEQUENCE(COUNTA(B18:B90)),1)</f>
        <v>1</v>
      </c>
      <c r="B18" s="534" t="s">
        <v>1485</v>
      </c>
      <c r="C18" s="535" t="s">
        <v>1405</v>
      </c>
      <c r="D18" s="536">
        <v>44957</v>
      </c>
      <c r="E18" s="537">
        <v>44959</v>
      </c>
    </row>
    <row r="19" spans="1:5" ht="15.75" customHeight="1">
      <c r="A19" s="538"/>
      <c r="B19" s="539"/>
      <c r="C19" s="540" t="s">
        <v>1421</v>
      </c>
      <c r="D19" s="541">
        <v>45072</v>
      </c>
      <c r="E19" s="542">
        <v>45072</v>
      </c>
    </row>
    <row r="20" spans="1:5" ht="15.75" customHeight="1">
      <c r="A20" s="538"/>
      <c r="B20" s="539"/>
      <c r="C20" s="543" t="s">
        <v>1412</v>
      </c>
      <c r="D20" s="544">
        <v>45001</v>
      </c>
      <c r="E20" s="545">
        <v>45001</v>
      </c>
    </row>
    <row r="21" spans="1:5" ht="15.75" customHeight="1">
      <c r="A21" s="538">
        <v>2</v>
      </c>
      <c r="B21" s="539" t="s">
        <v>1486</v>
      </c>
      <c r="C21" s="546" t="s">
        <v>1405</v>
      </c>
      <c r="D21" s="547">
        <v>44957</v>
      </c>
      <c r="E21" s="548">
        <v>44959</v>
      </c>
    </row>
    <row r="22" spans="1:5" ht="15.75" customHeight="1">
      <c r="A22" s="538"/>
      <c r="B22" s="539"/>
      <c r="C22" s="543" t="s">
        <v>1409</v>
      </c>
      <c r="D22" s="544">
        <v>44988</v>
      </c>
      <c r="E22" s="545">
        <v>44988</v>
      </c>
    </row>
    <row r="23" spans="1:5" ht="15.75" customHeight="1">
      <c r="A23" s="538"/>
      <c r="B23" s="539"/>
      <c r="C23" s="543" t="s">
        <v>1412</v>
      </c>
      <c r="D23" s="544">
        <v>45001</v>
      </c>
      <c r="E23" s="545">
        <v>45001</v>
      </c>
    </row>
    <row r="24" spans="1:5" ht="15.75" customHeight="1">
      <c r="A24" s="538">
        <v>3</v>
      </c>
      <c r="B24" s="539" t="s">
        <v>1487</v>
      </c>
      <c r="C24" s="546" t="s">
        <v>1405</v>
      </c>
      <c r="D24" s="547">
        <v>44957</v>
      </c>
      <c r="E24" s="548">
        <v>44959</v>
      </c>
    </row>
    <row r="25" spans="1:5" ht="15.75" customHeight="1">
      <c r="A25" s="538"/>
      <c r="B25" s="539"/>
      <c r="C25" s="543" t="s">
        <v>1412</v>
      </c>
      <c r="D25" s="544">
        <v>45001</v>
      </c>
      <c r="E25" s="545">
        <v>45001</v>
      </c>
    </row>
    <row r="26" spans="1:5" ht="15.75" customHeight="1">
      <c r="A26" s="538">
        <v>4</v>
      </c>
      <c r="B26" s="539" t="s">
        <v>1488</v>
      </c>
      <c r="C26" s="546" t="s">
        <v>1405</v>
      </c>
      <c r="D26" s="547">
        <v>44957</v>
      </c>
      <c r="E26" s="548">
        <v>44959</v>
      </c>
    </row>
    <row r="27" spans="1:5" ht="15.75" customHeight="1">
      <c r="A27" s="538"/>
      <c r="B27" s="539"/>
      <c r="C27" s="543" t="s">
        <v>1412</v>
      </c>
      <c r="D27" s="544">
        <v>45001</v>
      </c>
      <c r="E27" s="545">
        <v>45001</v>
      </c>
    </row>
    <row r="28" spans="1:5" ht="15.75" customHeight="1">
      <c r="A28" s="538">
        <v>5</v>
      </c>
      <c r="B28" s="539" t="s">
        <v>1489</v>
      </c>
      <c r="C28" s="546" t="s">
        <v>1405</v>
      </c>
      <c r="D28" s="547">
        <v>44957</v>
      </c>
      <c r="E28" s="548">
        <v>44959</v>
      </c>
    </row>
    <row r="29" spans="1:5" ht="15.75" customHeight="1">
      <c r="A29" s="538"/>
      <c r="B29" s="539"/>
      <c r="C29" s="543" t="s">
        <v>1412</v>
      </c>
      <c r="D29" s="544">
        <v>45001</v>
      </c>
      <c r="E29" s="545">
        <v>45001</v>
      </c>
    </row>
    <row r="30" spans="1:5" ht="15.75" customHeight="1">
      <c r="A30" s="538"/>
      <c r="B30" s="539"/>
      <c r="C30" s="549" t="s">
        <v>1442</v>
      </c>
      <c r="D30" s="544">
        <v>45222</v>
      </c>
      <c r="E30" s="542">
        <v>45222</v>
      </c>
    </row>
    <row r="31" spans="1:5" ht="15.75" customHeight="1">
      <c r="A31" s="538">
        <v>6</v>
      </c>
      <c r="B31" s="539" t="s">
        <v>1490</v>
      </c>
      <c r="C31" s="546" t="s">
        <v>1405</v>
      </c>
      <c r="D31" s="547">
        <v>44957</v>
      </c>
      <c r="E31" s="548">
        <v>44959</v>
      </c>
    </row>
    <row r="32" spans="1:5" ht="15.75" customHeight="1">
      <c r="A32" s="538"/>
      <c r="B32" s="539"/>
      <c r="C32" s="543" t="s">
        <v>1412</v>
      </c>
      <c r="D32" s="544">
        <v>45001</v>
      </c>
      <c r="E32" s="545">
        <v>45001</v>
      </c>
    </row>
    <row r="33" spans="1:5" ht="15.75" customHeight="1">
      <c r="A33" s="538"/>
      <c r="B33" s="539"/>
      <c r="C33" s="543" t="s">
        <v>1412</v>
      </c>
      <c r="D33" s="544">
        <v>45008</v>
      </c>
      <c r="E33" s="545">
        <v>45008</v>
      </c>
    </row>
    <row r="34" spans="1:5" ht="15.75" customHeight="1">
      <c r="A34" s="538"/>
      <c r="B34" s="539"/>
      <c r="C34" s="550" t="s">
        <v>1417</v>
      </c>
      <c r="D34" s="544">
        <v>45043</v>
      </c>
      <c r="E34" s="545">
        <v>45044</v>
      </c>
    </row>
    <row r="35" spans="1:5" ht="15.75" customHeight="1">
      <c r="A35" s="538">
        <v>7</v>
      </c>
      <c r="B35" s="539" t="s">
        <v>1491</v>
      </c>
      <c r="C35" s="546" t="s">
        <v>1405</v>
      </c>
      <c r="D35" s="547">
        <v>44957</v>
      </c>
      <c r="E35" s="548">
        <v>44959</v>
      </c>
    </row>
    <row r="36" spans="1:5" ht="15.75" customHeight="1">
      <c r="A36" s="538">
        <v>8</v>
      </c>
      <c r="B36" s="551" t="s">
        <v>1492</v>
      </c>
      <c r="C36" s="552" t="s">
        <v>1493</v>
      </c>
      <c r="D36" s="547">
        <v>45227</v>
      </c>
      <c r="E36" s="548">
        <v>45227</v>
      </c>
    </row>
    <row r="37" spans="1:5" ht="15.75" customHeight="1">
      <c r="A37" s="538"/>
      <c r="B37" s="553"/>
      <c r="C37" s="552" t="s">
        <v>1494</v>
      </c>
      <c r="D37" s="547">
        <v>45248</v>
      </c>
      <c r="E37" s="548">
        <v>45227</v>
      </c>
    </row>
    <row r="38" spans="1:5" ht="15.75" customHeight="1">
      <c r="A38" s="538">
        <v>9</v>
      </c>
      <c r="B38" s="539" t="s">
        <v>1495</v>
      </c>
      <c r="C38" s="543" t="s">
        <v>1406</v>
      </c>
      <c r="D38" s="544">
        <v>44950</v>
      </c>
      <c r="E38" s="545">
        <v>44950</v>
      </c>
    </row>
    <row r="39" spans="1:5" ht="15.75" customHeight="1">
      <c r="A39" s="538"/>
      <c r="B39" s="539"/>
      <c r="C39" s="554" t="s">
        <v>1412</v>
      </c>
      <c r="D39" s="544">
        <v>45001</v>
      </c>
      <c r="E39" s="545">
        <v>45001</v>
      </c>
    </row>
    <row r="40" spans="1:5" ht="15.75" customHeight="1">
      <c r="A40" s="538"/>
      <c r="B40" s="539"/>
      <c r="C40" s="543" t="s">
        <v>1412</v>
      </c>
      <c r="D40" s="544">
        <v>45008</v>
      </c>
      <c r="E40" s="545">
        <v>45008</v>
      </c>
    </row>
    <row r="41" spans="1:5" ht="15.75" customHeight="1">
      <c r="A41" s="538"/>
      <c r="B41" s="539"/>
      <c r="C41" s="550" t="s">
        <v>1416</v>
      </c>
      <c r="D41" s="544">
        <v>45043</v>
      </c>
      <c r="E41" s="545">
        <v>45043</v>
      </c>
    </row>
    <row r="42" spans="1:5" ht="15.75" customHeight="1">
      <c r="A42" s="538"/>
      <c r="B42" s="539"/>
      <c r="C42" s="555" t="s">
        <v>1407</v>
      </c>
      <c r="D42" s="544">
        <v>44980</v>
      </c>
      <c r="E42" s="545">
        <v>44980</v>
      </c>
    </row>
    <row r="43" spans="1:5" ht="15.75" customHeight="1">
      <c r="A43" s="538"/>
      <c r="B43" s="539"/>
      <c r="C43" s="540" t="s">
        <v>1422</v>
      </c>
      <c r="D43" s="556">
        <v>45083</v>
      </c>
      <c r="E43" s="557">
        <v>45084</v>
      </c>
    </row>
    <row r="44" spans="1:5" ht="15.75" customHeight="1">
      <c r="A44" s="538"/>
      <c r="B44" s="539"/>
      <c r="C44" s="550" t="s">
        <v>1423</v>
      </c>
      <c r="D44" s="544">
        <v>45086</v>
      </c>
      <c r="E44" s="545">
        <v>45086</v>
      </c>
    </row>
    <row r="45" spans="1:5" ht="15.75" customHeight="1">
      <c r="A45" s="538"/>
      <c r="B45" s="539"/>
      <c r="C45" s="540" t="s">
        <v>788</v>
      </c>
      <c r="D45" s="558">
        <v>45091</v>
      </c>
      <c r="E45" s="559">
        <v>45093</v>
      </c>
    </row>
    <row r="46" spans="1:5" ht="15.75" customHeight="1">
      <c r="A46" s="538"/>
      <c r="B46" s="539"/>
      <c r="C46" s="540" t="s">
        <v>1425</v>
      </c>
      <c r="D46" s="558">
        <v>45098</v>
      </c>
      <c r="E46" s="559">
        <v>45098</v>
      </c>
    </row>
    <row r="47" spans="1:5" ht="15.75" customHeight="1">
      <c r="A47" s="538"/>
      <c r="B47" s="539"/>
      <c r="C47" s="540" t="s">
        <v>1426</v>
      </c>
      <c r="D47" s="541">
        <v>45098</v>
      </c>
      <c r="E47" s="542">
        <v>45100</v>
      </c>
    </row>
    <row r="48" spans="1:5" ht="15.75" customHeight="1">
      <c r="A48" s="538"/>
      <c r="B48" s="539"/>
      <c r="C48" s="550" t="s">
        <v>1427</v>
      </c>
      <c r="D48" s="544">
        <v>45106</v>
      </c>
      <c r="E48" s="545">
        <v>45106</v>
      </c>
    </row>
    <row r="49" spans="1:5" ht="15.75" customHeight="1">
      <c r="A49" s="538"/>
      <c r="B49" s="539"/>
      <c r="C49" s="550" t="s">
        <v>1430</v>
      </c>
      <c r="D49" s="544">
        <v>45148</v>
      </c>
      <c r="E49" s="545">
        <v>45148</v>
      </c>
    </row>
    <row r="50" spans="1:5" ht="15.75" customHeight="1">
      <c r="A50" s="538"/>
      <c r="B50" s="539"/>
      <c r="C50" s="560" t="s">
        <v>1434</v>
      </c>
      <c r="D50" s="544">
        <v>45162</v>
      </c>
      <c r="E50" s="545">
        <v>45162</v>
      </c>
    </row>
    <row r="51" spans="1:5" ht="15.75" customHeight="1">
      <c r="A51" s="538">
        <v>10</v>
      </c>
      <c r="B51" s="539" t="s">
        <v>1496</v>
      </c>
      <c r="C51" s="555" t="s">
        <v>1408</v>
      </c>
      <c r="D51" s="544">
        <v>44985</v>
      </c>
      <c r="E51" s="545">
        <v>44985</v>
      </c>
    </row>
    <row r="52" spans="1:5" ht="15.75" customHeight="1">
      <c r="A52" s="538">
        <v>11</v>
      </c>
      <c r="B52" s="539" t="s">
        <v>1497</v>
      </c>
      <c r="C52" s="555" t="s">
        <v>1498</v>
      </c>
      <c r="D52" s="544" t="s">
        <v>1437</v>
      </c>
      <c r="E52" s="545" t="s">
        <v>1437</v>
      </c>
    </row>
    <row r="53" spans="1:5" ht="15.75" customHeight="1">
      <c r="A53" s="538"/>
      <c r="B53" s="539"/>
      <c r="C53" s="555" t="s">
        <v>1499</v>
      </c>
      <c r="D53" s="544" t="s">
        <v>1439</v>
      </c>
      <c r="E53" s="545" t="s">
        <v>1439</v>
      </c>
    </row>
    <row r="54" spans="1:5" ht="15.75" customHeight="1">
      <c r="A54" s="538"/>
      <c r="B54" s="539"/>
      <c r="C54" s="543" t="s">
        <v>1409</v>
      </c>
      <c r="D54" s="544">
        <v>44988</v>
      </c>
      <c r="E54" s="545">
        <v>44988</v>
      </c>
    </row>
    <row r="55" spans="1:5" ht="15.75" customHeight="1">
      <c r="A55" s="538">
        <v>12</v>
      </c>
      <c r="B55" s="539" t="s">
        <v>1500</v>
      </c>
      <c r="C55" s="555" t="s">
        <v>1498</v>
      </c>
      <c r="D55" s="544" t="s">
        <v>1437</v>
      </c>
      <c r="E55" s="545" t="s">
        <v>1437</v>
      </c>
    </row>
    <row r="56" spans="1:5" ht="15.75" customHeight="1">
      <c r="A56" s="538"/>
      <c r="B56" s="539"/>
      <c r="C56" s="555" t="s">
        <v>1499</v>
      </c>
      <c r="D56" s="544" t="s">
        <v>1439</v>
      </c>
      <c r="E56" s="545" t="s">
        <v>1439</v>
      </c>
    </row>
    <row r="57" spans="1:5" ht="15.75" customHeight="1">
      <c r="A57" s="538"/>
      <c r="B57" s="539"/>
      <c r="C57" s="543" t="s">
        <v>1409</v>
      </c>
      <c r="D57" s="544">
        <v>44988</v>
      </c>
      <c r="E57" s="545">
        <v>44988</v>
      </c>
    </row>
    <row r="58" spans="1:5" ht="15.75" customHeight="1">
      <c r="A58" s="538">
        <v>13</v>
      </c>
      <c r="B58" s="539" t="s">
        <v>1501</v>
      </c>
      <c r="C58" s="555" t="s">
        <v>1498</v>
      </c>
      <c r="D58" s="544" t="s">
        <v>1437</v>
      </c>
      <c r="E58" s="545" t="s">
        <v>1437</v>
      </c>
    </row>
    <row r="59" spans="1:5" ht="15.75" customHeight="1">
      <c r="A59" s="538"/>
      <c r="B59" s="539"/>
      <c r="C59" s="555" t="s">
        <v>1499</v>
      </c>
      <c r="D59" s="544" t="s">
        <v>1439</v>
      </c>
      <c r="E59" s="545" t="s">
        <v>1439</v>
      </c>
    </row>
    <row r="60" spans="1:5" ht="15.75" customHeight="1">
      <c r="A60" s="538"/>
      <c r="B60" s="539"/>
      <c r="C60" s="543" t="s">
        <v>1409</v>
      </c>
      <c r="D60" s="544">
        <v>44988</v>
      </c>
      <c r="E60" s="545">
        <v>44988</v>
      </c>
    </row>
    <row r="61" spans="1:5" ht="15.75" customHeight="1">
      <c r="A61" s="538">
        <v>14</v>
      </c>
      <c r="B61" s="539" t="s">
        <v>1502</v>
      </c>
      <c r="C61" s="555" t="s">
        <v>1498</v>
      </c>
      <c r="D61" s="544">
        <v>44988</v>
      </c>
      <c r="E61" s="545">
        <v>44988</v>
      </c>
    </row>
    <row r="62" spans="1:5" ht="15.75" customHeight="1">
      <c r="A62" s="538"/>
      <c r="B62" s="539"/>
      <c r="C62" s="555" t="s">
        <v>1499</v>
      </c>
      <c r="D62" s="544" t="s">
        <v>1439</v>
      </c>
      <c r="E62" s="545" t="s">
        <v>1439</v>
      </c>
    </row>
    <row r="63" spans="1:5" ht="15.75" customHeight="1">
      <c r="A63" s="538"/>
      <c r="B63" s="539"/>
      <c r="C63" s="543" t="s">
        <v>1409</v>
      </c>
      <c r="D63" s="544">
        <v>44988</v>
      </c>
      <c r="E63" s="545">
        <v>44988</v>
      </c>
    </row>
    <row r="64" spans="1:5" ht="15.75" customHeight="1">
      <c r="A64" s="538">
        <v>15</v>
      </c>
      <c r="B64" s="539" t="s">
        <v>219</v>
      </c>
      <c r="C64" s="560" t="s">
        <v>1444</v>
      </c>
      <c r="D64" s="561">
        <v>45269</v>
      </c>
      <c r="E64" s="562">
        <v>45269</v>
      </c>
    </row>
    <row r="65" spans="1:5" ht="15.75" customHeight="1">
      <c r="A65" s="538">
        <v>16</v>
      </c>
      <c r="B65" s="539" t="s">
        <v>1503</v>
      </c>
      <c r="C65" s="555" t="s">
        <v>1408</v>
      </c>
      <c r="D65" s="544">
        <v>44985</v>
      </c>
      <c r="E65" s="545">
        <v>44985</v>
      </c>
    </row>
    <row r="66" spans="1:5" ht="15.75" customHeight="1">
      <c r="A66" s="538"/>
      <c r="B66" s="539"/>
      <c r="C66" s="543" t="s">
        <v>1410</v>
      </c>
      <c r="D66" s="544">
        <v>44998</v>
      </c>
      <c r="E66" s="545">
        <v>44998</v>
      </c>
    </row>
    <row r="67" spans="1:5" ht="15.75" customHeight="1">
      <c r="A67" s="538">
        <v>17</v>
      </c>
      <c r="B67" s="539" t="s">
        <v>1504</v>
      </c>
      <c r="C67" s="555" t="s">
        <v>1505</v>
      </c>
      <c r="D67" s="547">
        <v>45000</v>
      </c>
      <c r="E67" s="548">
        <v>45000</v>
      </c>
    </row>
    <row r="68" spans="1:5" ht="15.75" customHeight="1">
      <c r="A68" s="538"/>
      <c r="B68" s="539"/>
      <c r="C68" s="549" t="s">
        <v>1327</v>
      </c>
      <c r="D68" s="544">
        <v>45190</v>
      </c>
      <c r="E68" s="545">
        <v>45191</v>
      </c>
    </row>
    <row r="69" spans="1:5" ht="15.75" customHeight="1">
      <c r="A69" s="538"/>
      <c r="B69" s="539"/>
      <c r="C69" s="555" t="s">
        <v>1413</v>
      </c>
      <c r="D69" s="544">
        <v>45009</v>
      </c>
      <c r="E69" s="545">
        <v>45009</v>
      </c>
    </row>
    <row r="70" spans="1:5" ht="15.75" customHeight="1">
      <c r="A70" s="538"/>
      <c r="B70" s="563"/>
      <c r="C70" s="550" t="s">
        <v>1429</v>
      </c>
      <c r="D70" s="544">
        <v>45147</v>
      </c>
      <c r="E70" s="545">
        <v>45147</v>
      </c>
    </row>
    <row r="71" spans="1:5" ht="15.75" customHeight="1">
      <c r="A71" s="538">
        <v>18</v>
      </c>
      <c r="B71" s="563" t="s">
        <v>1506</v>
      </c>
      <c r="C71" s="543" t="s">
        <v>1433</v>
      </c>
      <c r="D71" s="544">
        <v>45161</v>
      </c>
      <c r="E71" s="545">
        <v>45163</v>
      </c>
    </row>
    <row r="72" spans="1:5" ht="15.75" customHeight="1">
      <c r="A72" s="538">
        <v>19</v>
      </c>
      <c r="B72" s="563" t="s">
        <v>1507</v>
      </c>
      <c r="C72" s="550" t="s">
        <v>1418</v>
      </c>
      <c r="D72" s="544">
        <v>45049</v>
      </c>
      <c r="E72" s="545">
        <v>45049</v>
      </c>
    </row>
    <row r="73" spans="1:5" ht="15.75" customHeight="1">
      <c r="A73" s="538"/>
      <c r="B73" s="539"/>
      <c r="C73" s="550" t="s">
        <v>985</v>
      </c>
      <c r="D73" s="544">
        <v>45070</v>
      </c>
      <c r="E73" s="545">
        <v>45070</v>
      </c>
    </row>
    <row r="74" spans="1:5" ht="15.75" customHeight="1">
      <c r="A74" s="538">
        <v>20</v>
      </c>
      <c r="B74" s="539" t="s">
        <v>1508</v>
      </c>
      <c r="C74" s="550" t="s">
        <v>1420</v>
      </c>
      <c r="D74" s="544">
        <v>45069</v>
      </c>
      <c r="E74" s="545">
        <v>45069</v>
      </c>
    </row>
    <row r="75" spans="1:5" ht="15.75" customHeight="1">
      <c r="A75" s="538">
        <v>21</v>
      </c>
      <c r="B75" s="564" t="s">
        <v>1509</v>
      </c>
      <c r="C75" s="540" t="s">
        <v>1424</v>
      </c>
      <c r="D75" s="544">
        <v>45091</v>
      </c>
      <c r="E75" s="545">
        <v>45092</v>
      </c>
    </row>
    <row r="76" spans="1:5" ht="15.75" customHeight="1">
      <c r="A76" s="538"/>
      <c r="B76" s="539"/>
      <c r="C76" s="560" t="s">
        <v>1431</v>
      </c>
      <c r="D76" s="544">
        <v>45155</v>
      </c>
      <c r="E76" s="545">
        <v>45156</v>
      </c>
    </row>
    <row r="77" spans="1:5" ht="15.75" customHeight="1">
      <c r="A77" s="538"/>
      <c r="B77" s="539"/>
      <c r="C77" s="560" t="s">
        <v>1443</v>
      </c>
      <c r="D77" s="561">
        <v>45227</v>
      </c>
      <c r="E77" s="562">
        <v>45227</v>
      </c>
    </row>
    <row r="78" spans="1:5" ht="15.75" customHeight="1">
      <c r="A78" s="538">
        <v>22</v>
      </c>
      <c r="B78" s="539" t="s">
        <v>1510</v>
      </c>
      <c r="C78" s="540" t="s">
        <v>1425</v>
      </c>
      <c r="D78" s="544">
        <v>45098</v>
      </c>
      <c r="E78" s="545">
        <v>45098</v>
      </c>
    </row>
    <row r="79" spans="1:5" ht="15.75" customHeight="1">
      <c r="A79" s="538"/>
      <c r="B79" s="565"/>
      <c r="C79" s="550" t="s">
        <v>1428</v>
      </c>
      <c r="D79" s="544">
        <v>45134</v>
      </c>
      <c r="E79" s="545">
        <v>45134</v>
      </c>
    </row>
    <row r="80" spans="1:5" ht="15.75" customHeight="1">
      <c r="A80" s="538"/>
      <c r="B80" s="565"/>
      <c r="C80" s="560" t="s">
        <v>1432</v>
      </c>
      <c r="D80" s="544">
        <v>45155</v>
      </c>
      <c r="E80" s="545">
        <v>45156</v>
      </c>
    </row>
    <row r="81" spans="1:5" ht="15.75" customHeight="1">
      <c r="A81" s="538"/>
      <c r="B81" s="565"/>
      <c r="C81" s="560" t="s">
        <v>1433</v>
      </c>
      <c r="D81" s="544">
        <v>45161</v>
      </c>
      <c r="E81" s="545">
        <v>45163</v>
      </c>
    </row>
    <row r="82" spans="1:5" ht="15.75" customHeight="1">
      <c r="A82" s="538">
        <v>23</v>
      </c>
      <c r="B82" s="565" t="s">
        <v>1511</v>
      </c>
      <c r="C82" s="555" t="s">
        <v>1512</v>
      </c>
      <c r="D82" s="544">
        <v>45012</v>
      </c>
      <c r="E82" s="545">
        <v>45012</v>
      </c>
    </row>
    <row r="83" spans="1:5" ht="15.75" customHeight="1">
      <c r="A83" s="538"/>
      <c r="B83" s="539"/>
      <c r="C83" s="550" t="s">
        <v>1513</v>
      </c>
      <c r="D83" s="544">
        <v>45013</v>
      </c>
      <c r="E83" s="545">
        <v>45014</v>
      </c>
    </row>
    <row r="84" spans="1:5" ht="15.75" customHeight="1">
      <c r="A84" s="538">
        <v>24</v>
      </c>
      <c r="B84" s="539" t="s">
        <v>1514</v>
      </c>
      <c r="C84" s="540" t="s">
        <v>1425</v>
      </c>
      <c r="D84" s="544">
        <v>45098</v>
      </c>
      <c r="E84" s="545">
        <v>45098</v>
      </c>
    </row>
    <row r="85" spans="1:5" ht="15.75" customHeight="1">
      <c r="A85" s="538"/>
      <c r="B85" s="566"/>
      <c r="C85" s="549" t="s">
        <v>1441</v>
      </c>
      <c r="D85" s="544">
        <v>45198</v>
      </c>
      <c r="E85" s="545">
        <v>45199</v>
      </c>
    </row>
    <row r="86" spans="1:5" ht="15.75" customHeight="1">
      <c r="A86" s="538"/>
      <c r="B86" s="566"/>
      <c r="C86" s="560" t="s">
        <v>1435</v>
      </c>
      <c r="D86" s="544">
        <v>45169</v>
      </c>
      <c r="E86" s="545">
        <v>45169</v>
      </c>
    </row>
    <row r="87" spans="1:5" ht="15.75" customHeight="1">
      <c r="A87" s="538">
        <v>25</v>
      </c>
      <c r="B87" s="566" t="s">
        <v>1515</v>
      </c>
      <c r="C87" s="550" t="s">
        <v>1429</v>
      </c>
      <c r="D87" s="544">
        <v>45147</v>
      </c>
      <c r="E87" s="545">
        <v>45147</v>
      </c>
    </row>
    <row r="88" spans="1:5" ht="15.75" customHeight="1">
      <c r="A88" s="538"/>
      <c r="B88" s="546"/>
      <c r="C88" s="550" t="s">
        <v>1445</v>
      </c>
      <c r="D88" s="561">
        <v>45212</v>
      </c>
      <c r="E88" s="562">
        <v>45212</v>
      </c>
    </row>
    <row r="89" spans="1:5" ht="15.75" customHeight="1">
      <c r="A89" s="538"/>
      <c r="B89" s="546"/>
      <c r="C89" s="550" t="s">
        <v>1446</v>
      </c>
      <c r="D89" s="561">
        <v>45254</v>
      </c>
      <c r="E89" s="562">
        <v>45254</v>
      </c>
    </row>
    <row r="90" spans="1:5" ht="15.75" hidden="1" customHeight="1">
      <c r="A90" s="567"/>
      <c r="B90" s="568"/>
      <c r="C90" s="568"/>
      <c r="D90" s="569"/>
      <c r="E90" s="570"/>
    </row>
    <row r="91" spans="1:5" ht="15.75" customHeight="1">
      <c r="A91" s="571"/>
      <c r="B91" s="572" t="s">
        <v>1516</v>
      </c>
      <c r="C91" s="573">
        <f>COUNTA(B18:B90)</f>
        <v>25</v>
      </c>
      <c r="D91" s="574"/>
      <c r="E91" s="574"/>
    </row>
    <row r="92" spans="1:5" ht="15.75" customHeight="1">
      <c r="A92" s="65"/>
      <c r="B92" s="249"/>
      <c r="C92" s="249"/>
      <c r="D92" s="249"/>
      <c r="E92" s="249"/>
    </row>
    <row r="93" spans="1:5" ht="15.75" customHeight="1">
      <c r="A93" s="65" t="s">
        <v>153</v>
      </c>
      <c r="B93" s="66"/>
      <c r="C93" s="64"/>
      <c r="D93" s="64"/>
      <c r="E93" s="64"/>
    </row>
    <row r="94" spans="1:5" ht="15.75" customHeight="1">
      <c r="A94" s="67"/>
      <c r="B94" s="66"/>
      <c r="C94" s="64"/>
      <c r="D94" s="64"/>
      <c r="E94" s="64"/>
    </row>
    <row r="95" spans="1:5" ht="15.75" customHeight="1">
      <c r="A95" s="66"/>
      <c r="B95" s="68"/>
      <c r="C95" s="69"/>
      <c r="D95" s="249"/>
      <c r="E95" s="249"/>
    </row>
    <row r="96" spans="1:5" ht="15.75" customHeight="1">
      <c r="A96" s="66"/>
      <c r="B96" s="71" t="s">
        <v>1378</v>
      </c>
      <c r="C96" s="72">
        <v>45348</v>
      </c>
      <c r="D96" s="249"/>
      <c r="E96" s="249"/>
    </row>
    <row r="97" spans="1:5" ht="15.75" customHeight="1">
      <c r="A97" s="73"/>
      <c r="B97" s="482" t="s">
        <v>1379</v>
      </c>
      <c r="C97" s="75" t="s">
        <v>156</v>
      </c>
      <c r="D97" s="249"/>
      <c r="E97" s="249"/>
    </row>
    <row r="98" spans="1:5" ht="15.75" customHeight="1">
      <c r="A98" s="64"/>
      <c r="B98" s="64"/>
      <c r="C98" s="64"/>
      <c r="D98" s="249"/>
      <c r="E98" s="249"/>
    </row>
    <row r="99" spans="1:5" ht="15.75" customHeight="1">
      <c r="A99" s="64"/>
      <c r="B99" s="64"/>
      <c r="C99" s="64"/>
      <c r="D99" s="249"/>
      <c r="E99" s="249"/>
    </row>
    <row r="100" spans="1:5" ht="15.75" customHeight="1">
      <c r="A100" s="64" t="s">
        <v>157</v>
      </c>
      <c r="B100" s="64"/>
      <c r="C100" s="64"/>
      <c r="D100" s="249"/>
      <c r="E100" s="249"/>
    </row>
    <row r="101" spans="1:5" ht="15.75" customHeight="1">
      <c r="A101" s="76"/>
      <c r="B101" s="64"/>
      <c r="C101" s="64"/>
      <c r="D101" s="249"/>
      <c r="E101" s="249"/>
    </row>
    <row r="102" spans="1:5" ht="15.75" customHeight="1">
      <c r="A102" s="66"/>
      <c r="B102" s="68"/>
      <c r="C102" s="69"/>
      <c r="D102" s="249"/>
      <c r="E102" s="249"/>
    </row>
    <row r="103" spans="1:5" ht="15.75" customHeight="1">
      <c r="A103" s="66"/>
      <c r="B103" s="71" t="s">
        <v>158</v>
      </c>
      <c r="C103" s="72">
        <v>45348</v>
      </c>
      <c r="D103" s="249"/>
      <c r="E103" s="249"/>
    </row>
    <row r="104" spans="1:5" ht="15.75" customHeight="1">
      <c r="A104" s="74"/>
      <c r="B104" s="74" t="s">
        <v>159</v>
      </c>
      <c r="C104" s="75" t="s">
        <v>156</v>
      </c>
      <c r="D104" s="249"/>
      <c r="E104" s="249"/>
    </row>
    <row r="105" spans="1:5" ht="15.75" customHeight="1"/>
    <row r="106" spans="1:5" ht="15.75" customHeight="1"/>
    <row r="107" spans="1:5" ht="15.75" customHeight="1"/>
    <row r="108" spans="1:5" ht="15.75" customHeight="1"/>
    <row r="109" spans="1:5" ht="15.75" customHeight="1"/>
    <row r="110" spans="1:5" ht="15.75" customHeight="1"/>
    <row r="111" spans="1:5" ht="15.75" customHeight="1"/>
    <row r="112" spans="1:5"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C4:E4"/>
    <mergeCell ref="A11:B11"/>
    <mergeCell ref="A16:B16"/>
    <mergeCell ref="D16:E16"/>
    <mergeCell ref="A17:B17"/>
    <mergeCell ref="A4:B4"/>
    <mergeCell ref="A5:B5"/>
    <mergeCell ref="A6:B6"/>
    <mergeCell ref="A7:B7"/>
    <mergeCell ref="C7:E7"/>
    <mergeCell ref="A10:B10"/>
    <mergeCell ref="D10:E10"/>
    <mergeCell ref="A1:B1"/>
    <mergeCell ref="C1:E1"/>
    <mergeCell ref="A2:B2"/>
    <mergeCell ref="C2:E2"/>
    <mergeCell ref="A3:B3"/>
    <mergeCell ref="C3:E3"/>
  </mergeCells>
  <pageMargins left="0.7" right="0.7" top="0.75" bottom="0.75" header="0" footer="0"/>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Reference Matrix</vt:lpstr>
      <vt:lpstr>Higher Education (Oc1)</vt:lpstr>
      <vt:lpstr>Higher Education (Oc2)</vt:lpstr>
      <vt:lpstr>Higher Education (Op1)</vt:lpstr>
      <vt:lpstr>Higher Education (Op2)</vt:lpstr>
      <vt:lpstr>Advanced Education (Oc1)</vt:lpstr>
      <vt:lpstr>Advanced Education (Op1_SC)</vt:lpstr>
      <vt:lpstr>Advanced Education (Op2)</vt:lpstr>
      <vt:lpstr>Research Program (Op&amp;Oc)</vt:lpstr>
      <vt:lpstr>Extension Program (Op1&amp;Op3)</vt:lpstr>
      <vt:lpstr>Extension Program (Op2)</vt:lpstr>
      <vt:lpstr>Extension Program (Oc)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CICS</cp:lastModifiedBy>
  <dcterms:modified xsi:type="dcterms:W3CDTF">2025-05-08T03:15:33Z</dcterms:modified>
</cp:coreProperties>
</file>